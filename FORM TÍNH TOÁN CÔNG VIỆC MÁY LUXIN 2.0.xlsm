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ong.nh\Desktop\"/>
    </mc:Choice>
  </mc:AlternateContent>
  <xr:revisionPtr revIDLastSave="0" documentId="13_ncr:1_{EC5B00D5-C035-46A0-96E2-7B699F5C0C4A}" xr6:coauthVersionLast="47" xr6:coauthVersionMax="47" xr10:uidLastSave="{00000000-0000-0000-0000-000000000000}"/>
  <bookViews>
    <workbookView xWindow="-108" yWindow="-108" windowWidth="23256" windowHeight="12456" tabRatio="857" xr2:uid="{00000000-000D-0000-FFFF-FFFF00000000}"/>
  </bookViews>
  <sheets>
    <sheet name="FORM IN Leanline 7" sheetId="20" r:id="rId1"/>
    <sheet name="Sheet1" sheetId="21" state="hidden" r:id="rId2"/>
    <sheet name="SETUP DAO" sheetId="2" r:id="rId3"/>
    <sheet name="CHECK DAO" sheetId="17" r:id="rId4"/>
    <sheet name="PPC" sheetId="12" r:id="rId5"/>
  </sheets>
  <definedNames>
    <definedName name="___________________________________________________A70000">#REF!</definedName>
    <definedName name="__________________________________________________A70000">#REF!</definedName>
    <definedName name="_________________________________________________A70000">#REF!</definedName>
    <definedName name="________________________________________________A70000">#REF!</definedName>
    <definedName name="_______________________________________________A70000">#REF!</definedName>
    <definedName name="______________________________________________A70000">#REF!</definedName>
    <definedName name="_____________________________________________A70000">#REF!</definedName>
    <definedName name="____________________________________________A70000">#REF!</definedName>
    <definedName name="___________________________________________A70000">#REF!</definedName>
    <definedName name="__________________________________________A70000">#REF!</definedName>
    <definedName name="_________________________________________A70000">#REF!</definedName>
    <definedName name="________________________________________A70000">#REF!</definedName>
    <definedName name="_______________________________________A70000">#REF!</definedName>
    <definedName name="______________________________________A70000">#REF!</definedName>
    <definedName name="_____________________________________A70000">#REF!</definedName>
    <definedName name="____________________________________A70000">#REF!</definedName>
    <definedName name="___________________________________A70000">#REF!</definedName>
    <definedName name="__________________________________A70000">#REF!</definedName>
    <definedName name="_________________________________A70000">#REF!</definedName>
    <definedName name="________________________________A70000">#REF!</definedName>
    <definedName name="_______________________________A70000">#REF!</definedName>
    <definedName name="______________________________A70000">#REF!</definedName>
    <definedName name="_____________________________A70000">#REF!</definedName>
    <definedName name="____________________________A70000">#REF!</definedName>
    <definedName name="___________________________A70000">#REF!</definedName>
    <definedName name="__________________________A70000">#REF!</definedName>
    <definedName name="_________________________A70000">#REF!</definedName>
    <definedName name="________________________A70000">#REF!</definedName>
    <definedName name="_______________________A70000">#REF!</definedName>
    <definedName name="______________________A70000">#REF!</definedName>
    <definedName name="_____________________A70000">#REF!</definedName>
    <definedName name="____________________A70000">#REF!</definedName>
    <definedName name="___________________A70000">#REF!</definedName>
    <definedName name="__________________A70000">#REF!</definedName>
    <definedName name="_________________A70000">#REF!</definedName>
    <definedName name="________________A70000">#REF!</definedName>
    <definedName name="_______________A70000">#REF!</definedName>
    <definedName name="______________A70000">#REF!</definedName>
    <definedName name="_____________A70000">#REF!</definedName>
    <definedName name="____________A70000">#REF!</definedName>
    <definedName name="___________A70000">#REF!</definedName>
    <definedName name="__________A70000">#REF!</definedName>
    <definedName name="_________A70000">#REF!</definedName>
    <definedName name="________A70000">#REF!</definedName>
    <definedName name="_______A70000">#REF!</definedName>
    <definedName name="______A70000">#REF!</definedName>
    <definedName name="_____A70000">#REF!</definedName>
    <definedName name="____A70000">#REF!</definedName>
    <definedName name="___A70000">#REF!</definedName>
    <definedName name="__A70000">#REF!</definedName>
    <definedName name="_A70000">#REF!</definedName>
    <definedName name="_xlnm._FilterDatabase" localSheetId="3" hidden="1">'CHECK DAO'!$A$2:$G$334</definedName>
    <definedName name="_xlnm._FilterDatabase" localSheetId="0" hidden="1">'FORM IN Leanline 7'!$A$5:$AM$39</definedName>
    <definedName name="_xlnm._FilterDatabase" localSheetId="4" hidden="1">PPC!#REF!</definedName>
    <definedName name="_xlnm._FilterDatabase" localSheetId="2" hidden="1">'SETUP DAO'!$A$1:$AL$64</definedName>
    <definedName name="_xlpm.AdjustedResult" hidden="1" xlm="1">#NAME?</definedName>
    <definedName name="_xlpm.Check_Has_Data" hidden="1" xlm="1">#NAME?</definedName>
    <definedName name="_xlpm.Clean_Data" hidden="1" xlm="1">#NAME?</definedName>
    <definedName name="_xlpm.Clean_Input" hidden="1" xlm="1">#NAME?</definedName>
    <definedName name="_xlpm.cleanBody" hidden="1" xlm="1">#NAME?</definedName>
    <definedName name="_xlpm.cleanOrd" hidden="1" xlm="1">#NAME?</definedName>
    <definedName name="_xlpm.cleanSel" hidden="1" xlm="1">#NAME?</definedName>
    <definedName name="_xlpm.col" hidden="1" xlm="1">#NAME?</definedName>
    <definedName name="_xlpm.Col_Totals" hidden="1" xlm="1">#NAME?</definedName>
    <definedName name="_xlpm.Data_Body" hidden="1" xlm="1">#NAME?</definedName>
    <definedName name="_xlpm.Data_Header" hidden="1" xlm="1">#NAME?</definedName>
    <definedName name="_xlpm.Data_Range" hidden="1" xlm="1">#NAME?</definedName>
    <definedName name="_xlpm.Data_TenDon" hidden="1" xlm="1">#NAME?</definedName>
    <definedName name="_xlpm.Filtered_Body" hidden="1" xlm="1">#NAME?</definedName>
    <definedName name="_xlpm.final_result" hidden="1" xlm="1">#NAME?</definedName>
    <definedName name="_xlpm.h" hidden="1" xlm="1">#NAME?</definedName>
    <definedName name="_xlpm.Input_Don" hidden="1" xlm="1">#NAME?</definedName>
    <definedName name="_xlpm.Input_Range" hidden="1" xlm="1">#NAME?</definedName>
    <definedName name="_xlpm.Is_Selected" hidden="1" xlm="1">#NAME?</definedName>
    <definedName name="_xlpm.isSel" hidden="1" xlm="1">#NAME?</definedName>
    <definedName name="_xlpm.keep" hidden="1" xlm="1">#NAME?</definedName>
    <definedName name="_xlpm.newVal" hidden="1" xlm="1">#NAME?</definedName>
    <definedName name="_xlpm.no_s" hidden="1" xlm="1">#NAME?</definedName>
    <definedName name="_xlpm.num_display" hidden="1" xlm="1">#NAME?</definedName>
    <definedName name="_xlpm.num_lookup" hidden="1" xlm="1">#NAME?</definedName>
    <definedName name="_xlpm.numText" hidden="1" xlm="1">#NAME?</definedName>
    <definedName name="_xlpm.numVal" hidden="1" xlm="1">#NAME?</definedName>
    <definedName name="_xlpm.ord" hidden="1" xlm="1">#NAME?</definedName>
    <definedName name="_xlpm.Result" hidden="1" xlm="1">#NAME?</definedName>
    <definedName name="_xlpm.Result_Size" hidden="1" xlm="1">#NAME?</definedName>
    <definedName name="_xlpm.s" hidden="1" xlm="1">#NAME?</definedName>
    <definedName name="_xlpm.search_key" hidden="1" xlm="1">#NAME?</definedName>
    <definedName name="_xlpm.sel" hidden="1" xlm="1">#NAME?</definedName>
    <definedName name="_xlpm.size_item" hidden="1" xlm="1">#NAME?</definedName>
    <definedName name="_xlpm.sorted_raw" hidden="1" xlm="1">#NAME?</definedName>
    <definedName name="_xlpm.sorted_result" hidden="1" xlm="1">#NAME?</definedName>
    <definedName name="_xlpm.sz_body" hidden="1" xlm="1">#NAME?</definedName>
    <definedName name="_xlpm.sz_header" hidden="1" xlm="1">#NAME?</definedName>
    <definedName name="_xlpm.target_col" hidden="1" xlm="1">#NAME?</definedName>
    <definedName name="_xlpm.val_for_sort" hidden="1" xlm="1">#NAME?</definedName>
    <definedName name="a">#REF!</definedName>
    <definedName name="AA">#REF!</definedName>
    <definedName name="aaaa">#REF!</definedName>
    <definedName name="AAAAAAAAAAAAAA">#REF!</definedName>
    <definedName name="ATD通用作业标准">#REF!</definedName>
    <definedName name="bv">#REF!</definedName>
    <definedName name="bvf">#REF!</definedName>
    <definedName name="BVHJ">#REF!</definedName>
    <definedName name="D">#REF!</definedName>
    <definedName name="_xlnm.Database">#REF!</definedName>
    <definedName name="DD">#REF!</definedName>
    <definedName name="ddd">#REF!</definedName>
    <definedName name="ExternalData_1" localSheetId="4" hidden="1">PPC!$A$1:$CG$4073</definedName>
    <definedName name="gdfg">#REF!</definedName>
    <definedName name="gkg">#REF!</definedName>
    <definedName name="me">#REF!</definedName>
    <definedName name="mee">#REF!</definedName>
    <definedName name="_xlnm.Print_Area" localSheetId="0">'FORM IN Leanline 7'!$A$1:$AM$45</definedName>
    <definedName name="_xlnm.Print_Area">#REF!</definedName>
    <definedName name="s">#REF!</definedName>
    <definedName name="sm">#REF!</definedName>
    <definedName name="xxxx">#REF!</definedName>
    <definedName name="上盖检查2">#REF!</definedName>
    <definedName name="是">#REF!</definedName>
    <definedName name="暗暗暗暗">#REF!</definedName>
    <definedName name="最新的">#REF!</definedName>
    <definedName name="称">#REF!</definedName>
    <definedName name="耳蜗派">#REF!</definedName>
    <definedName name="自变量">#REF!</definedName>
    <definedName name="虽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H2" i="12" l="1"/>
  <c r="CH3" i="12"/>
  <c r="CH4" i="12"/>
  <c r="CH5" i="12"/>
  <c r="CH6" i="12"/>
  <c r="CH7" i="12"/>
  <c r="CH8" i="12"/>
  <c r="CH9" i="12"/>
  <c r="CH10" i="12"/>
  <c r="CH11" i="12"/>
  <c r="CH12" i="12"/>
  <c r="CH13" i="12"/>
  <c r="CH14" i="12"/>
  <c r="CH15" i="12"/>
  <c r="CH16" i="12"/>
  <c r="CH17" i="12"/>
  <c r="CH18" i="12"/>
  <c r="CH19" i="12"/>
  <c r="CH20" i="12"/>
  <c r="CH21" i="12"/>
  <c r="CH22" i="12"/>
  <c r="CH23" i="12"/>
  <c r="CH24" i="12"/>
  <c r="CH25" i="12"/>
  <c r="CH26" i="12"/>
  <c r="CH27" i="12"/>
  <c r="CH28" i="12"/>
  <c r="CH29" i="12"/>
  <c r="CH30" i="12"/>
  <c r="CH31" i="12"/>
  <c r="CH32" i="12"/>
  <c r="CH33" i="12"/>
  <c r="CH34" i="12"/>
  <c r="CH35" i="12"/>
  <c r="CH36" i="12"/>
  <c r="CH37" i="12"/>
  <c r="CH38" i="12"/>
  <c r="CH39" i="12"/>
  <c r="CH40" i="12"/>
  <c r="CH41" i="12"/>
  <c r="CH42" i="12"/>
  <c r="CH43" i="12"/>
  <c r="CH44" i="12"/>
  <c r="CH45" i="12"/>
  <c r="CH46" i="12"/>
  <c r="CH47" i="12"/>
  <c r="CH48" i="12"/>
  <c r="CH49" i="12"/>
  <c r="CH50" i="12"/>
  <c r="CH51" i="12"/>
  <c r="CH52" i="12"/>
  <c r="CH53" i="12"/>
  <c r="CH54" i="12"/>
  <c r="CH55" i="12"/>
  <c r="CH56" i="12"/>
  <c r="CH57" i="12"/>
  <c r="CH58" i="12"/>
  <c r="CH59" i="12"/>
  <c r="CH60" i="12"/>
  <c r="CH61" i="12"/>
  <c r="CH62" i="12"/>
  <c r="CH63" i="12"/>
  <c r="CH64" i="12"/>
  <c r="CH65" i="12"/>
  <c r="CH66" i="12"/>
  <c r="CH67" i="12"/>
  <c r="CH68" i="12"/>
  <c r="CH69" i="12"/>
  <c r="CH70" i="12"/>
  <c r="CH71" i="12"/>
  <c r="CH72" i="12"/>
  <c r="CH73" i="12"/>
  <c r="CH74" i="12"/>
  <c r="CH75" i="12"/>
  <c r="CH76" i="12"/>
  <c r="CH77" i="12"/>
  <c r="CH78" i="12"/>
  <c r="CH79" i="12"/>
  <c r="CH80" i="12"/>
  <c r="CH81" i="12"/>
  <c r="CH82" i="12"/>
  <c r="CH83" i="12"/>
  <c r="CH84" i="12"/>
  <c r="CH85" i="12"/>
  <c r="CH86" i="12"/>
  <c r="CH87" i="12"/>
  <c r="CH88" i="12"/>
  <c r="CH89" i="12"/>
  <c r="CH90" i="12"/>
  <c r="CH91" i="12"/>
  <c r="CH92" i="12"/>
  <c r="CH93" i="12"/>
  <c r="CH94" i="12"/>
  <c r="CH95" i="12"/>
  <c r="CH96" i="12"/>
  <c r="CH97" i="12"/>
  <c r="CH98" i="12"/>
  <c r="CH99" i="12"/>
  <c r="CH100" i="12"/>
  <c r="CH101" i="12"/>
  <c r="CH102" i="12"/>
  <c r="CH103" i="12"/>
  <c r="CH104" i="12"/>
  <c r="CH105" i="12"/>
  <c r="CH106" i="12"/>
  <c r="CH107" i="12"/>
  <c r="CH108" i="12"/>
  <c r="CH109" i="12"/>
  <c r="CH110" i="12"/>
  <c r="CH111" i="12"/>
  <c r="CH112" i="12"/>
  <c r="CH113" i="12"/>
  <c r="CH114" i="12"/>
  <c r="CH115" i="12"/>
  <c r="CH116" i="12"/>
  <c r="CH117" i="12"/>
  <c r="CH118" i="12"/>
  <c r="CH119" i="12"/>
  <c r="CH120" i="12"/>
  <c r="CH121" i="12"/>
  <c r="CH122" i="12"/>
  <c r="CH123" i="12"/>
  <c r="CH124" i="12"/>
  <c r="CH125" i="12"/>
  <c r="CH126" i="12"/>
  <c r="CH127" i="12"/>
  <c r="CH128" i="12"/>
  <c r="CH129" i="12"/>
  <c r="CH130" i="12"/>
  <c r="CH131" i="12"/>
  <c r="CH132" i="12"/>
  <c r="CH133" i="12"/>
  <c r="CH134" i="12"/>
  <c r="CH135" i="12"/>
  <c r="CH136" i="12"/>
  <c r="CH137" i="12"/>
  <c r="CH138" i="12"/>
  <c r="CH139" i="12"/>
  <c r="CH140" i="12"/>
  <c r="CH141" i="12"/>
  <c r="CH142" i="12"/>
  <c r="CH143" i="12"/>
  <c r="CH144" i="12"/>
  <c r="CH145" i="12"/>
  <c r="CH146" i="12"/>
  <c r="CH147" i="12"/>
  <c r="CH148" i="12"/>
  <c r="CH149" i="12"/>
  <c r="CH150" i="12"/>
  <c r="CH151" i="12"/>
  <c r="CH152" i="12"/>
  <c r="CH153" i="12"/>
  <c r="CH154" i="12"/>
  <c r="CH155" i="12"/>
  <c r="CH156" i="12"/>
  <c r="CH157" i="12"/>
  <c r="CH158" i="12"/>
  <c r="CH159" i="12"/>
  <c r="CH160" i="12"/>
  <c r="CH161" i="12"/>
  <c r="CH162" i="12"/>
  <c r="CH163" i="12"/>
  <c r="CH164" i="12"/>
  <c r="CH165" i="12"/>
  <c r="CH166" i="12"/>
  <c r="CH167" i="12"/>
  <c r="CH168" i="12"/>
  <c r="CH169" i="12"/>
  <c r="CH170" i="12"/>
  <c r="CH171" i="12"/>
  <c r="CH172" i="12"/>
  <c r="CH173" i="12"/>
  <c r="CH174" i="12"/>
  <c r="CH175" i="12"/>
  <c r="CH176" i="12"/>
  <c r="CH177" i="12"/>
  <c r="CH178" i="12"/>
  <c r="CH179" i="12"/>
  <c r="CH180" i="12"/>
  <c r="CH181" i="12"/>
  <c r="CH182" i="12"/>
  <c r="CH183" i="12"/>
  <c r="CH184" i="12"/>
  <c r="CH185" i="12"/>
  <c r="CH186" i="12"/>
  <c r="CH187" i="12"/>
  <c r="CH188" i="12"/>
  <c r="CH189" i="12"/>
  <c r="CH190" i="12"/>
  <c r="CH191" i="12"/>
  <c r="CH192" i="12"/>
  <c r="CH193" i="12"/>
  <c r="CH194" i="12"/>
  <c r="CH195" i="12"/>
  <c r="CH196" i="12"/>
  <c r="CH197" i="12"/>
  <c r="CH198" i="12"/>
  <c r="CH199" i="12"/>
  <c r="CH200" i="12"/>
  <c r="CH201" i="12"/>
  <c r="CH202" i="12"/>
  <c r="CH203" i="12"/>
  <c r="CH204" i="12"/>
  <c r="CH205" i="12"/>
  <c r="CH206" i="12"/>
  <c r="CH207" i="12"/>
  <c r="CH208" i="12"/>
  <c r="CH209" i="12"/>
  <c r="CH210" i="12"/>
  <c r="CH211" i="12"/>
  <c r="CH212" i="12"/>
  <c r="CH213" i="12"/>
  <c r="CH214" i="12"/>
  <c r="CH215" i="12"/>
  <c r="CH216" i="12"/>
  <c r="CH217" i="12"/>
  <c r="CH218" i="12"/>
  <c r="CH219" i="12"/>
  <c r="CH220" i="12"/>
  <c r="CH221" i="12"/>
  <c r="CH222" i="12"/>
  <c r="CH223" i="12"/>
  <c r="CH224" i="12"/>
  <c r="CH225" i="12"/>
  <c r="CH226" i="12"/>
  <c r="CH227" i="12"/>
  <c r="CH228" i="12"/>
  <c r="CH229" i="12"/>
  <c r="CH230" i="12"/>
  <c r="CH231" i="12"/>
  <c r="CH232" i="12"/>
  <c r="CH233" i="12"/>
  <c r="CH234" i="12"/>
  <c r="CH235" i="12"/>
  <c r="CH236" i="12"/>
  <c r="CH237" i="12"/>
  <c r="CH238" i="12"/>
  <c r="CH239" i="12"/>
  <c r="CH240" i="12"/>
  <c r="CH241" i="12"/>
  <c r="CH242" i="12"/>
  <c r="CH243" i="12"/>
  <c r="CH244" i="12"/>
  <c r="CH245" i="12"/>
  <c r="CH246" i="12"/>
  <c r="CH247" i="12"/>
  <c r="CH248" i="12"/>
  <c r="CH249" i="12"/>
  <c r="CH250" i="12"/>
  <c r="CH251" i="12"/>
  <c r="CH252" i="12"/>
  <c r="CH253" i="12"/>
  <c r="CH254" i="12"/>
  <c r="CH255" i="12"/>
  <c r="CH256" i="12"/>
  <c r="CH257" i="12"/>
  <c r="CH258" i="12"/>
  <c r="CH259" i="12"/>
  <c r="CH260" i="12"/>
  <c r="CH261" i="12"/>
  <c r="CH262" i="12"/>
  <c r="CH263" i="12"/>
  <c r="CH264" i="12"/>
  <c r="CH265" i="12"/>
  <c r="CH266" i="12"/>
  <c r="CH267" i="12"/>
  <c r="CH268" i="12"/>
  <c r="CH269" i="12"/>
  <c r="CH270" i="12"/>
  <c r="CH271" i="12"/>
  <c r="CH272" i="12"/>
  <c r="CH273" i="12"/>
  <c r="CH274" i="12"/>
  <c r="CH275" i="12"/>
  <c r="CH276" i="12"/>
  <c r="CH277" i="12"/>
  <c r="CH278" i="12"/>
  <c r="CH279" i="12"/>
  <c r="CH280" i="12"/>
  <c r="CH281" i="12"/>
  <c r="CH282" i="12"/>
  <c r="CH283" i="12"/>
  <c r="CH284" i="12"/>
  <c r="CH285" i="12"/>
  <c r="CH286" i="12"/>
  <c r="CH287" i="12"/>
  <c r="CH288" i="12"/>
  <c r="CH289" i="12"/>
  <c r="CH290" i="12"/>
  <c r="CH291" i="12"/>
  <c r="CH292" i="12"/>
  <c r="CH293" i="12"/>
  <c r="CH294" i="12"/>
  <c r="CH295" i="12"/>
  <c r="CH296" i="12"/>
  <c r="CH297" i="12"/>
  <c r="CH298" i="12"/>
  <c r="CH299" i="12"/>
  <c r="CH300" i="12"/>
  <c r="CH301" i="12"/>
  <c r="CH302" i="12"/>
  <c r="CH303" i="12"/>
  <c r="CH304" i="12"/>
  <c r="CH305" i="12"/>
  <c r="CH306" i="12"/>
  <c r="CH307" i="12"/>
  <c r="CH308" i="12"/>
  <c r="CH309" i="12"/>
  <c r="CH310" i="12"/>
  <c r="CH311" i="12"/>
  <c r="CH312" i="12"/>
  <c r="CH313" i="12"/>
  <c r="CH314" i="12"/>
  <c r="CH315" i="12"/>
  <c r="CH316" i="12"/>
  <c r="CH317" i="12"/>
  <c r="CH318" i="12"/>
  <c r="CH319" i="12"/>
  <c r="CH320" i="12"/>
  <c r="CH321" i="12"/>
  <c r="CH322" i="12"/>
  <c r="CH323" i="12"/>
  <c r="CH324" i="12"/>
  <c r="CH325" i="12"/>
  <c r="CH326" i="12"/>
  <c r="CH327" i="12"/>
  <c r="CH328" i="12"/>
  <c r="CH329" i="12"/>
  <c r="CH330" i="12"/>
  <c r="CH331" i="12"/>
  <c r="CH332" i="12"/>
  <c r="CH333" i="12"/>
  <c r="CH334" i="12"/>
  <c r="CH335" i="12"/>
  <c r="CH336" i="12"/>
  <c r="CH337" i="12"/>
  <c r="CH338" i="12"/>
  <c r="CH339" i="12"/>
  <c r="CH340" i="12"/>
  <c r="CH341" i="12"/>
  <c r="CH342" i="12"/>
  <c r="CH343" i="12"/>
  <c r="CH344" i="12"/>
  <c r="CH345" i="12"/>
  <c r="CH346" i="12"/>
  <c r="CH347" i="12"/>
  <c r="CH348" i="12"/>
  <c r="CH349" i="12"/>
  <c r="CH350" i="12"/>
  <c r="CH351" i="12"/>
  <c r="CH352" i="12"/>
  <c r="CH353" i="12"/>
  <c r="CH354" i="12"/>
  <c r="CH355" i="12"/>
  <c r="CH356" i="12"/>
  <c r="CH357" i="12"/>
  <c r="CH358" i="12"/>
  <c r="CH359" i="12"/>
  <c r="CH360" i="12"/>
  <c r="CH361" i="12"/>
  <c r="CH362" i="12"/>
  <c r="CH363" i="12"/>
  <c r="CH364" i="12"/>
  <c r="CH365" i="12"/>
  <c r="CH366" i="12"/>
  <c r="CH367" i="12"/>
  <c r="CH368" i="12"/>
  <c r="CH369" i="12"/>
  <c r="CH370" i="12"/>
  <c r="CH371" i="12"/>
  <c r="CH372" i="12"/>
  <c r="CH373" i="12"/>
  <c r="CH374" i="12"/>
  <c r="CH375" i="12"/>
  <c r="CH376" i="12"/>
  <c r="CH377" i="12"/>
  <c r="CH378" i="12"/>
  <c r="CH379" i="12"/>
  <c r="CH380" i="12"/>
  <c r="CH381" i="12"/>
  <c r="CH382" i="12"/>
  <c r="CH383" i="12"/>
  <c r="CH384" i="12"/>
  <c r="CH385" i="12"/>
  <c r="CH386" i="12"/>
  <c r="CH387" i="12"/>
  <c r="CH388" i="12"/>
  <c r="CH389" i="12"/>
  <c r="CH390" i="12"/>
  <c r="CH391" i="12"/>
  <c r="CH392" i="12"/>
  <c r="CH393" i="12"/>
  <c r="CH394" i="12"/>
  <c r="CH395" i="12"/>
  <c r="CH396" i="12"/>
  <c r="CH397" i="12"/>
  <c r="CH398" i="12"/>
  <c r="CH399" i="12"/>
  <c r="CH400" i="12"/>
  <c r="CH401" i="12"/>
  <c r="CH402" i="12"/>
  <c r="CH403" i="12"/>
  <c r="CH404" i="12"/>
  <c r="CH405" i="12"/>
  <c r="CH406" i="12"/>
  <c r="CH407" i="12"/>
  <c r="CH408" i="12"/>
  <c r="CH409" i="12"/>
  <c r="CH410" i="12"/>
  <c r="CH411" i="12"/>
  <c r="CH412" i="12"/>
  <c r="CH413" i="12"/>
  <c r="CH414" i="12"/>
  <c r="CH415" i="12"/>
  <c r="CH416" i="12"/>
  <c r="CH417" i="12"/>
  <c r="CH418" i="12"/>
  <c r="CH419" i="12"/>
  <c r="CH420" i="12"/>
  <c r="CH421" i="12"/>
  <c r="CH422" i="12"/>
  <c r="CH423" i="12"/>
  <c r="CH424" i="12"/>
  <c r="CH425" i="12"/>
  <c r="CH426" i="12"/>
  <c r="CH427" i="12"/>
  <c r="CH428" i="12"/>
  <c r="CH429" i="12"/>
  <c r="CH430" i="12"/>
  <c r="CH431" i="12"/>
  <c r="CH432" i="12"/>
  <c r="CH433" i="12"/>
  <c r="CH434" i="12"/>
  <c r="CH435" i="12"/>
  <c r="CH436" i="12"/>
  <c r="CH437" i="12"/>
  <c r="CH438" i="12"/>
  <c r="CH439" i="12"/>
  <c r="CH440" i="12"/>
  <c r="CH441" i="12"/>
  <c r="CH442" i="12"/>
  <c r="CH443" i="12"/>
  <c r="CH444" i="12"/>
  <c r="CH445" i="12"/>
  <c r="CH446" i="12"/>
  <c r="CH447" i="12"/>
  <c r="CH448" i="12"/>
  <c r="CH449" i="12"/>
  <c r="CH450" i="12"/>
  <c r="CH451" i="12"/>
  <c r="CH452" i="12"/>
  <c r="CH453" i="12"/>
  <c r="CH454" i="12"/>
  <c r="CH455" i="12"/>
  <c r="CH456" i="12"/>
  <c r="CH457" i="12"/>
  <c r="CH458" i="12"/>
  <c r="CH459" i="12"/>
  <c r="CH460" i="12"/>
  <c r="CH461" i="12"/>
  <c r="CH462" i="12"/>
  <c r="CH463" i="12"/>
  <c r="CH464" i="12"/>
  <c r="CH465" i="12"/>
  <c r="CH466" i="12"/>
  <c r="CH467" i="12"/>
  <c r="CH468" i="12"/>
  <c r="CH469" i="12"/>
  <c r="CH470" i="12"/>
  <c r="CH471" i="12"/>
  <c r="CH472" i="12"/>
  <c r="CH473" i="12"/>
  <c r="CH474" i="12"/>
  <c r="CH475" i="12"/>
  <c r="CH476" i="12"/>
  <c r="CH477" i="12"/>
  <c r="CH478" i="12"/>
  <c r="CH479" i="12"/>
  <c r="CH480" i="12"/>
  <c r="CH481" i="12"/>
  <c r="CH482" i="12"/>
  <c r="CH483" i="12"/>
  <c r="CH484" i="12"/>
  <c r="CH485" i="12"/>
  <c r="CH486" i="12"/>
  <c r="CH487" i="12"/>
  <c r="CH488" i="12"/>
  <c r="CH489" i="12"/>
  <c r="CH490" i="12"/>
  <c r="CH491" i="12"/>
  <c r="CH492" i="12"/>
  <c r="CH493" i="12"/>
  <c r="CH494" i="12"/>
  <c r="CH495" i="12"/>
  <c r="CH496" i="12"/>
  <c r="CH497" i="12"/>
  <c r="CH498" i="12"/>
  <c r="CH499" i="12"/>
  <c r="CH500" i="12"/>
  <c r="CH501" i="12"/>
  <c r="CH502" i="12"/>
  <c r="CH503" i="12"/>
  <c r="CH504" i="12"/>
  <c r="CH505" i="12"/>
  <c r="CH506" i="12"/>
  <c r="CH507" i="12"/>
  <c r="CH508" i="12"/>
  <c r="CH509" i="12"/>
  <c r="CH510" i="12"/>
  <c r="CH511" i="12"/>
  <c r="CH512" i="12"/>
  <c r="CH513" i="12"/>
  <c r="CH514" i="12"/>
  <c r="CH515" i="12"/>
  <c r="CH516" i="12"/>
  <c r="CH517" i="12"/>
  <c r="CH518" i="12"/>
  <c r="CH519" i="12"/>
  <c r="CH520" i="12"/>
  <c r="CH521" i="12"/>
  <c r="CH522" i="12"/>
  <c r="CH523" i="12"/>
  <c r="CH524" i="12"/>
  <c r="CH525" i="12"/>
  <c r="CH526" i="12"/>
  <c r="CH527" i="12"/>
  <c r="CH528" i="12"/>
  <c r="CH529" i="12"/>
  <c r="CH530" i="12"/>
  <c r="CH531" i="12"/>
  <c r="CH532" i="12"/>
  <c r="CH533" i="12"/>
  <c r="CH534" i="12"/>
  <c r="CH535" i="12"/>
  <c r="CH536" i="12"/>
  <c r="CH537" i="12"/>
  <c r="CH538" i="12"/>
  <c r="CH539" i="12"/>
  <c r="CH540" i="12"/>
  <c r="CH541" i="12"/>
  <c r="CH542" i="12"/>
  <c r="CH543" i="12"/>
  <c r="CH544" i="12"/>
  <c r="CH545" i="12"/>
  <c r="CH546" i="12"/>
  <c r="CH547" i="12"/>
  <c r="CH548" i="12"/>
  <c r="CH549" i="12"/>
  <c r="CH550" i="12"/>
  <c r="CH551" i="12"/>
  <c r="CH552" i="12"/>
  <c r="CH553" i="12"/>
  <c r="CH554" i="12"/>
  <c r="CH555" i="12"/>
  <c r="CH556" i="12"/>
  <c r="CH557" i="12"/>
  <c r="CH558" i="12"/>
  <c r="CH559" i="12"/>
  <c r="CH560" i="12"/>
  <c r="CH561" i="12"/>
  <c r="CH562" i="12"/>
  <c r="CH563" i="12"/>
  <c r="CH564" i="12"/>
  <c r="CH565" i="12"/>
  <c r="CH566" i="12"/>
  <c r="CH567" i="12"/>
  <c r="CH568" i="12"/>
  <c r="CH569" i="12"/>
  <c r="CH570" i="12"/>
  <c r="CH571" i="12"/>
  <c r="CH572" i="12"/>
  <c r="CH573" i="12"/>
  <c r="CH574" i="12"/>
  <c r="CH575" i="12"/>
  <c r="CH576" i="12"/>
  <c r="CH577" i="12"/>
  <c r="CH578" i="12"/>
  <c r="CH579" i="12"/>
  <c r="CH580" i="12"/>
  <c r="CH581" i="12"/>
  <c r="CH582" i="12"/>
  <c r="CH583" i="12"/>
  <c r="CH584" i="12"/>
  <c r="CH585" i="12"/>
  <c r="CH586" i="12"/>
  <c r="CH587" i="12"/>
  <c r="CH588" i="12"/>
  <c r="CH589" i="12"/>
  <c r="CH590" i="12"/>
  <c r="CH591" i="12"/>
  <c r="CH592" i="12"/>
  <c r="CH593" i="12"/>
  <c r="CH594" i="12"/>
  <c r="CH595" i="12"/>
  <c r="CH596" i="12"/>
  <c r="CH597" i="12"/>
  <c r="CH598" i="12"/>
  <c r="CH599" i="12"/>
  <c r="CH600" i="12"/>
  <c r="CH601" i="12"/>
  <c r="CH602" i="12"/>
  <c r="CH603" i="12"/>
  <c r="CH604" i="12"/>
  <c r="CH605" i="12"/>
  <c r="CH606" i="12"/>
  <c r="CH607" i="12"/>
  <c r="CH608" i="12"/>
  <c r="CH609" i="12"/>
  <c r="CH610" i="12"/>
  <c r="CH611" i="12"/>
  <c r="CH612" i="12"/>
  <c r="CH613" i="12"/>
  <c r="CH614" i="12"/>
  <c r="CH615" i="12"/>
  <c r="CH616" i="12"/>
  <c r="CH617" i="12"/>
  <c r="CH618" i="12"/>
  <c r="CH619" i="12"/>
  <c r="CH620" i="12"/>
  <c r="CH621" i="12"/>
  <c r="CH622" i="12"/>
  <c r="CH623" i="12"/>
  <c r="CH624" i="12"/>
  <c r="CH625" i="12"/>
  <c r="CH626" i="12"/>
  <c r="CH627" i="12"/>
  <c r="CH628" i="12"/>
  <c r="CH629" i="12"/>
  <c r="CH630" i="12"/>
  <c r="CH631" i="12"/>
  <c r="CH632" i="12"/>
  <c r="CH633" i="12"/>
  <c r="CH634" i="12"/>
  <c r="CH635" i="12"/>
  <c r="CH636" i="12"/>
  <c r="CH637" i="12"/>
  <c r="CH638" i="12"/>
  <c r="CH639" i="12"/>
  <c r="CH640" i="12"/>
  <c r="CH641" i="12"/>
  <c r="CH642" i="12"/>
  <c r="CH643" i="12"/>
  <c r="CH644" i="12"/>
  <c r="CH645" i="12"/>
  <c r="CH646" i="12"/>
  <c r="CH647" i="12"/>
  <c r="CH648" i="12"/>
  <c r="CH649" i="12"/>
  <c r="CH650" i="12"/>
  <c r="CH651" i="12"/>
  <c r="CH652" i="12"/>
  <c r="CH653" i="12"/>
  <c r="CH654" i="12"/>
  <c r="CH655" i="12"/>
  <c r="CH656" i="12"/>
  <c r="CH657" i="12"/>
  <c r="CH658" i="12"/>
  <c r="CH659" i="12"/>
  <c r="CH660" i="12"/>
  <c r="CH661" i="12"/>
  <c r="CH662" i="12"/>
  <c r="CH663" i="12"/>
  <c r="CH664" i="12"/>
  <c r="CH665" i="12"/>
  <c r="CH666" i="12"/>
  <c r="CH667" i="12"/>
  <c r="CH668" i="12"/>
  <c r="CH669" i="12"/>
  <c r="CH670" i="12"/>
  <c r="CH671" i="12"/>
  <c r="CH672" i="12"/>
  <c r="CH673" i="12"/>
  <c r="CH674" i="12"/>
  <c r="CH675" i="12"/>
  <c r="CH676" i="12"/>
  <c r="CH677" i="12"/>
  <c r="CH678" i="12"/>
  <c r="CH679" i="12"/>
  <c r="CH680" i="12"/>
  <c r="CH681" i="12"/>
  <c r="CH682" i="12"/>
  <c r="CH683" i="12"/>
  <c r="CH684" i="12"/>
  <c r="CH685" i="12"/>
  <c r="CH686" i="12"/>
  <c r="CH687" i="12"/>
  <c r="CH688" i="12"/>
  <c r="CH689" i="12"/>
  <c r="CH690" i="12"/>
  <c r="CH691" i="12"/>
  <c r="CH692" i="12"/>
  <c r="CH693" i="12"/>
  <c r="CH694" i="12"/>
  <c r="CH695" i="12"/>
  <c r="CH696" i="12"/>
  <c r="CH697" i="12"/>
  <c r="CH698" i="12"/>
  <c r="CH699" i="12"/>
  <c r="CH700" i="12"/>
  <c r="CH701" i="12"/>
  <c r="CH702" i="12"/>
  <c r="CH703" i="12"/>
  <c r="CH704" i="12"/>
  <c r="CH705" i="12"/>
  <c r="CH706" i="12"/>
  <c r="CH707" i="12"/>
  <c r="CH708" i="12"/>
  <c r="CH709" i="12"/>
  <c r="CH710" i="12"/>
  <c r="CH711" i="12"/>
  <c r="CH712" i="12"/>
  <c r="CH713" i="12"/>
  <c r="CH714" i="12"/>
  <c r="CH715" i="12"/>
  <c r="CH716" i="12"/>
  <c r="CH717" i="12"/>
  <c r="CH718" i="12"/>
  <c r="CH719" i="12"/>
  <c r="CH720" i="12"/>
  <c r="CH721" i="12"/>
  <c r="CH722" i="12"/>
  <c r="CH723" i="12"/>
  <c r="CH724" i="12"/>
  <c r="CH725" i="12"/>
  <c r="CH726" i="12"/>
  <c r="CH727" i="12"/>
  <c r="CH728" i="12"/>
  <c r="CH729" i="12"/>
  <c r="CH730" i="12"/>
  <c r="CH731" i="12"/>
  <c r="CH732" i="12"/>
  <c r="CH733" i="12"/>
  <c r="CH734" i="12"/>
  <c r="CH735" i="12"/>
  <c r="CH736" i="12"/>
  <c r="CH737" i="12"/>
  <c r="CH738" i="12"/>
  <c r="CH739" i="12"/>
  <c r="CH740" i="12"/>
  <c r="CH741" i="12"/>
  <c r="CH742" i="12"/>
  <c r="CH743" i="12"/>
  <c r="CH744" i="12"/>
  <c r="CH745" i="12"/>
  <c r="CH746" i="12"/>
  <c r="CH747" i="12"/>
  <c r="CH748" i="12"/>
  <c r="CH749" i="12"/>
  <c r="CH750" i="12"/>
  <c r="CH751" i="12"/>
  <c r="CH752" i="12"/>
  <c r="CH753" i="12"/>
  <c r="CH754" i="12"/>
  <c r="CH755" i="12"/>
  <c r="CH756" i="12"/>
  <c r="CH757" i="12"/>
  <c r="CH758" i="12"/>
  <c r="CH759" i="12"/>
  <c r="CH760" i="12"/>
  <c r="CH761" i="12"/>
  <c r="CH762" i="12"/>
  <c r="CH763" i="12"/>
  <c r="CH764" i="12"/>
  <c r="CH765" i="12"/>
  <c r="CH766" i="12"/>
  <c r="CH767" i="12"/>
  <c r="CH768" i="12"/>
  <c r="CH769" i="12"/>
  <c r="CH770" i="12"/>
  <c r="CH771" i="12"/>
  <c r="CH772" i="12"/>
  <c r="CH773" i="12"/>
  <c r="CH774" i="12"/>
  <c r="CH775" i="12"/>
  <c r="CH776" i="12"/>
  <c r="CH777" i="12"/>
  <c r="CH778" i="12"/>
  <c r="CH779" i="12"/>
  <c r="CH780" i="12"/>
  <c r="CH781" i="12"/>
  <c r="CH782" i="12"/>
  <c r="CH783" i="12"/>
  <c r="CH784" i="12"/>
  <c r="CH785" i="12"/>
  <c r="CH786" i="12"/>
  <c r="CH787" i="12"/>
  <c r="CH788" i="12"/>
  <c r="CH789" i="12"/>
  <c r="CH790" i="12"/>
  <c r="CH791" i="12"/>
  <c r="CH792" i="12"/>
  <c r="CH793" i="12"/>
  <c r="CH794" i="12"/>
  <c r="CH795" i="12"/>
  <c r="CH796" i="12"/>
  <c r="CH797" i="12"/>
  <c r="CH798" i="12"/>
  <c r="CH799" i="12"/>
  <c r="CH800" i="12"/>
  <c r="CH801" i="12"/>
  <c r="CH802" i="12"/>
  <c r="CH803" i="12"/>
  <c r="CH804" i="12"/>
  <c r="CH805" i="12"/>
  <c r="CH806" i="12"/>
  <c r="CH807" i="12"/>
  <c r="CH808" i="12"/>
  <c r="CH809" i="12"/>
  <c r="CH810" i="12"/>
  <c r="CH811" i="12"/>
  <c r="CH812" i="12"/>
  <c r="CH813" i="12"/>
  <c r="CH814" i="12"/>
  <c r="CH815" i="12"/>
  <c r="CH816" i="12"/>
  <c r="CH817" i="12"/>
  <c r="CH818" i="12"/>
  <c r="CH819" i="12"/>
  <c r="CH820" i="12"/>
  <c r="CH821" i="12"/>
  <c r="CH822" i="12"/>
  <c r="CH823" i="12"/>
  <c r="CH824" i="12"/>
  <c r="CH825" i="12"/>
  <c r="CH826" i="12"/>
  <c r="CH827" i="12"/>
  <c r="CH828" i="12"/>
  <c r="CH829" i="12"/>
  <c r="CH830" i="12"/>
  <c r="CH831" i="12"/>
  <c r="CH832" i="12"/>
  <c r="CH833" i="12"/>
  <c r="CH834" i="12"/>
  <c r="CH835" i="12"/>
  <c r="CH836" i="12"/>
  <c r="CH837" i="12"/>
  <c r="CH838" i="12"/>
  <c r="CH839" i="12"/>
  <c r="CH840" i="12"/>
  <c r="CH841" i="12"/>
  <c r="CH842" i="12"/>
  <c r="CH843" i="12"/>
  <c r="CH844" i="12"/>
  <c r="CH845" i="12"/>
  <c r="CH846" i="12"/>
  <c r="CH847" i="12"/>
  <c r="CH848" i="12"/>
  <c r="CH849" i="12"/>
  <c r="CH850" i="12"/>
  <c r="CH851" i="12"/>
  <c r="CH852" i="12"/>
  <c r="CH853" i="12"/>
  <c r="CH854" i="12"/>
  <c r="CH855" i="12"/>
  <c r="CH856" i="12"/>
  <c r="CH857" i="12"/>
  <c r="CH858" i="12"/>
  <c r="CH859" i="12"/>
  <c r="CH860" i="12"/>
  <c r="CH861" i="12"/>
  <c r="CH862" i="12"/>
  <c r="CH863" i="12"/>
  <c r="CH864" i="12"/>
  <c r="CH865" i="12"/>
  <c r="CH866" i="12"/>
  <c r="CH867" i="12"/>
  <c r="CH868" i="12"/>
  <c r="CH869" i="12"/>
  <c r="CH870" i="12"/>
  <c r="CH871" i="12"/>
  <c r="CH872" i="12"/>
  <c r="CH873" i="12"/>
  <c r="CH874" i="12"/>
  <c r="CH875" i="12"/>
  <c r="CH876" i="12"/>
  <c r="CH877" i="12"/>
  <c r="CH878" i="12"/>
  <c r="CH879" i="12"/>
  <c r="CH880" i="12"/>
  <c r="CH881" i="12"/>
  <c r="CH882" i="12"/>
  <c r="CH883" i="12"/>
  <c r="CH884" i="12"/>
  <c r="CH885" i="12"/>
  <c r="CH886" i="12"/>
  <c r="CH887" i="12"/>
  <c r="CH888" i="12"/>
  <c r="CH889" i="12"/>
  <c r="CH890" i="12"/>
  <c r="CH891" i="12"/>
  <c r="CH892" i="12"/>
  <c r="CH893" i="12"/>
  <c r="CH894" i="12"/>
  <c r="CH895" i="12"/>
  <c r="CH896" i="12"/>
  <c r="CH897" i="12"/>
  <c r="CH898" i="12"/>
  <c r="CH899" i="12"/>
  <c r="CH900" i="12"/>
  <c r="CH901" i="12"/>
  <c r="CH902" i="12"/>
  <c r="CH903" i="12"/>
  <c r="CH904" i="12"/>
  <c r="CH905" i="12"/>
  <c r="CH906" i="12"/>
  <c r="CH907" i="12"/>
  <c r="CH908" i="12"/>
  <c r="CH909" i="12"/>
  <c r="CH910" i="12"/>
  <c r="CH911" i="12"/>
  <c r="CH912" i="12"/>
  <c r="CH913" i="12"/>
  <c r="CH914" i="12"/>
  <c r="CH915" i="12"/>
  <c r="CH916" i="12"/>
  <c r="CH917" i="12"/>
  <c r="CH918" i="12"/>
  <c r="CH919" i="12"/>
  <c r="CH920" i="12"/>
  <c r="CH921" i="12"/>
  <c r="CH922" i="12"/>
  <c r="CH923" i="12"/>
  <c r="CH924" i="12"/>
  <c r="CH925" i="12"/>
  <c r="CH926" i="12"/>
  <c r="CH927" i="12"/>
  <c r="CH928" i="12"/>
  <c r="CH929" i="12"/>
  <c r="CH930" i="12"/>
  <c r="CH931" i="12"/>
  <c r="CH932" i="12"/>
  <c r="CH933" i="12"/>
  <c r="CH934" i="12"/>
  <c r="CH935" i="12"/>
  <c r="CH936" i="12"/>
  <c r="CH937" i="12"/>
  <c r="CH938" i="12"/>
  <c r="CH939" i="12"/>
  <c r="CH940" i="12"/>
  <c r="CH941" i="12"/>
  <c r="CH942" i="12"/>
  <c r="CH943" i="12"/>
  <c r="CH944" i="12"/>
  <c r="CH945" i="12"/>
  <c r="CH946" i="12"/>
  <c r="CH947" i="12"/>
  <c r="CH948" i="12"/>
  <c r="CH949" i="12"/>
  <c r="CH950" i="12"/>
  <c r="CH951" i="12"/>
  <c r="CH952" i="12"/>
  <c r="CH953" i="12"/>
  <c r="CH954" i="12"/>
  <c r="CH955" i="12"/>
  <c r="CH956" i="12"/>
  <c r="CH957" i="12"/>
  <c r="CH958" i="12"/>
  <c r="CH959" i="12"/>
  <c r="CH960" i="12"/>
  <c r="CH961" i="12"/>
  <c r="CH962" i="12"/>
  <c r="CH963" i="12"/>
  <c r="CH964" i="12"/>
  <c r="CH965" i="12"/>
  <c r="CH966" i="12"/>
  <c r="CH967" i="12"/>
  <c r="CH968" i="12"/>
  <c r="CH969" i="12"/>
  <c r="CH970" i="12"/>
  <c r="CH971" i="12"/>
  <c r="CH972" i="12"/>
  <c r="CH973" i="12"/>
  <c r="CH974" i="12"/>
  <c r="CH975" i="12"/>
  <c r="CH976" i="12"/>
  <c r="CH977" i="12"/>
  <c r="CH978" i="12"/>
  <c r="CH979" i="12"/>
  <c r="CH980" i="12"/>
  <c r="CH981" i="12"/>
  <c r="CH982" i="12"/>
  <c r="CH983" i="12"/>
  <c r="CH984" i="12"/>
  <c r="CH985" i="12"/>
  <c r="CH986" i="12"/>
  <c r="CH987" i="12"/>
  <c r="CH988" i="12"/>
  <c r="CH989" i="12"/>
  <c r="CH990" i="12"/>
  <c r="CH991" i="12"/>
  <c r="CH992" i="12"/>
  <c r="CH993" i="12"/>
  <c r="CH994" i="12"/>
  <c r="CH995" i="12"/>
  <c r="CH996" i="12"/>
  <c r="CH997" i="12"/>
  <c r="CH998" i="12"/>
  <c r="CH999" i="12"/>
  <c r="CH1000" i="12"/>
  <c r="CH1001" i="12"/>
  <c r="CH1002" i="12"/>
  <c r="CH1003" i="12"/>
  <c r="CH1004" i="12"/>
  <c r="CH1005" i="12"/>
  <c r="CH1006" i="12"/>
  <c r="CH1007" i="12"/>
  <c r="CH1008" i="12"/>
  <c r="CH1009" i="12"/>
  <c r="CH1010" i="12"/>
  <c r="CH1011" i="12"/>
  <c r="CH1012" i="12"/>
  <c r="CH1013" i="12"/>
  <c r="CH1014" i="12"/>
  <c r="CH1015" i="12"/>
  <c r="CH1016" i="12"/>
  <c r="CH1017" i="12"/>
  <c r="CH1018" i="12"/>
  <c r="CH1019" i="12"/>
  <c r="CH1020" i="12"/>
  <c r="CH1021" i="12"/>
  <c r="CH1022" i="12"/>
  <c r="CH1023" i="12"/>
  <c r="CH1024" i="12"/>
  <c r="CH1025" i="12"/>
  <c r="CH1026" i="12"/>
  <c r="CH1027" i="12"/>
  <c r="CH1028" i="12"/>
  <c r="CH1029" i="12"/>
  <c r="CH1030" i="12"/>
  <c r="CH1031" i="12"/>
  <c r="CH1032" i="12"/>
  <c r="CH1033" i="12"/>
  <c r="CH1034" i="12"/>
  <c r="CH1035" i="12"/>
  <c r="CH1036" i="12"/>
  <c r="CH1037" i="12"/>
  <c r="CH1038" i="12"/>
  <c r="CH1039" i="12"/>
  <c r="CH1040" i="12"/>
  <c r="CH1041" i="12"/>
  <c r="CH1042" i="12"/>
  <c r="CH1043" i="12"/>
  <c r="CH1044" i="12"/>
  <c r="CH1045" i="12"/>
  <c r="CH1046" i="12"/>
  <c r="CH1047" i="12"/>
  <c r="CH1048" i="12"/>
  <c r="CH1049" i="12"/>
  <c r="CH1050" i="12"/>
  <c r="CH1051" i="12"/>
  <c r="CH1052" i="12"/>
  <c r="CH1053" i="12"/>
  <c r="CH1054" i="12"/>
  <c r="CH1055" i="12"/>
  <c r="CH1056" i="12"/>
  <c r="CH1057" i="12"/>
  <c r="CH1058" i="12"/>
  <c r="CH1059" i="12"/>
  <c r="CH1060" i="12"/>
  <c r="CH1061" i="12"/>
  <c r="CH1062" i="12"/>
  <c r="CH1063" i="12"/>
  <c r="CH1064" i="12"/>
  <c r="CH1065" i="12"/>
  <c r="CH1066" i="12"/>
  <c r="CH1067" i="12"/>
  <c r="CH1068" i="12"/>
  <c r="CH1069" i="12"/>
  <c r="CH1070" i="12"/>
  <c r="CH1071" i="12"/>
  <c r="CH1072" i="12"/>
  <c r="CH1073" i="12"/>
  <c r="CH1074" i="12"/>
  <c r="CH1075" i="12"/>
  <c r="CH1076" i="12"/>
  <c r="CH1077" i="12"/>
  <c r="CH1078" i="12"/>
  <c r="CH1079" i="12"/>
  <c r="CH1080" i="12"/>
  <c r="CH1081" i="12"/>
  <c r="CH1082" i="12"/>
  <c r="CH1083" i="12"/>
  <c r="CH1084" i="12"/>
  <c r="CH1085" i="12"/>
  <c r="CH1086" i="12"/>
  <c r="CH1087" i="12"/>
  <c r="CH1088" i="12"/>
  <c r="CH1089" i="12"/>
  <c r="CH1090" i="12"/>
  <c r="CH1091" i="12"/>
  <c r="CH1092" i="12"/>
  <c r="CH1093" i="12"/>
  <c r="CH1094" i="12"/>
  <c r="CH1095" i="12"/>
  <c r="CH1096" i="12"/>
  <c r="CH1097" i="12"/>
  <c r="CH1098" i="12"/>
  <c r="CH1099" i="12"/>
  <c r="CH1100" i="12"/>
  <c r="CH1101" i="12"/>
  <c r="CH1102" i="12"/>
  <c r="CH1103" i="12"/>
  <c r="CH1104" i="12"/>
  <c r="CH1105" i="12"/>
  <c r="CH1106" i="12"/>
  <c r="CH1107" i="12"/>
  <c r="CH1108" i="12"/>
  <c r="CH1109" i="12"/>
  <c r="CH1110" i="12"/>
  <c r="CH1111" i="12"/>
  <c r="CH1112" i="12"/>
  <c r="CH1113" i="12"/>
  <c r="CH1114" i="12"/>
  <c r="CH1115" i="12"/>
  <c r="CH1116" i="12"/>
  <c r="CH1117" i="12"/>
  <c r="CH1118" i="12"/>
  <c r="CH1119" i="12"/>
  <c r="CH1120" i="12"/>
  <c r="CH1121" i="12"/>
  <c r="CH1122" i="12"/>
  <c r="CH1123" i="12"/>
  <c r="CH1124" i="12"/>
  <c r="CH1125" i="12"/>
  <c r="CH1126" i="12"/>
  <c r="CH1127" i="12"/>
  <c r="CH1128" i="12"/>
  <c r="CH1129" i="12"/>
  <c r="CH1130" i="12"/>
  <c r="CH1131" i="12"/>
  <c r="CH1132" i="12"/>
  <c r="CH1133" i="12"/>
  <c r="CH1134" i="12"/>
  <c r="CH1135" i="12"/>
  <c r="CH1136" i="12"/>
  <c r="CH1137" i="12"/>
  <c r="CH1138" i="12"/>
  <c r="CH1139" i="12"/>
  <c r="CH1140" i="12"/>
  <c r="CH1141" i="12"/>
  <c r="CH1142" i="12"/>
  <c r="CH1143" i="12"/>
  <c r="CH1144" i="12"/>
  <c r="CH1145" i="12"/>
  <c r="CH1146" i="12"/>
  <c r="CH1147" i="12"/>
  <c r="CH1148" i="12"/>
  <c r="CH1149" i="12"/>
  <c r="CH1150" i="12"/>
  <c r="CH1151" i="12"/>
  <c r="CH1152" i="12"/>
  <c r="CH1153" i="12"/>
  <c r="CH1154" i="12"/>
  <c r="CH1155" i="12"/>
  <c r="CH1156" i="12"/>
  <c r="CH1157" i="12"/>
  <c r="CH1158" i="12"/>
  <c r="CH1159" i="12"/>
  <c r="CH1160" i="12"/>
  <c r="CH1161" i="12"/>
  <c r="CH1162" i="12"/>
  <c r="CH1163" i="12"/>
  <c r="CH1164" i="12"/>
  <c r="CH1165" i="12"/>
  <c r="CH1166" i="12"/>
  <c r="CH1167" i="12"/>
  <c r="CH1168" i="12"/>
  <c r="CH1169" i="12"/>
  <c r="CH1170" i="12"/>
  <c r="CH1171" i="12"/>
  <c r="CH1172" i="12"/>
  <c r="CH1173" i="12"/>
  <c r="CH1174" i="12"/>
  <c r="CH1175" i="12"/>
  <c r="CH1176" i="12"/>
  <c r="CH1177" i="12"/>
  <c r="CH1178" i="12"/>
  <c r="CH1179" i="12"/>
  <c r="CH1180" i="12"/>
  <c r="CH1181" i="12"/>
  <c r="CH1182" i="12"/>
  <c r="CH1183" i="12"/>
  <c r="CH1184" i="12"/>
  <c r="CH1185" i="12"/>
  <c r="CH1186" i="12"/>
  <c r="CH1187" i="12"/>
  <c r="CH1188" i="12"/>
  <c r="CH1189" i="12"/>
  <c r="CH1190" i="12"/>
  <c r="CH1191" i="12"/>
  <c r="CH1192" i="12"/>
  <c r="CH1193" i="12"/>
  <c r="CH1194" i="12"/>
  <c r="CH1195" i="12"/>
  <c r="CH1196" i="12"/>
  <c r="CH1197" i="12"/>
  <c r="CH1198" i="12"/>
  <c r="CH1199" i="12"/>
  <c r="CH1200" i="12"/>
  <c r="CH1201" i="12"/>
  <c r="CH1202" i="12"/>
  <c r="CH1203" i="12"/>
  <c r="CH1204" i="12"/>
  <c r="CH1205" i="12"/>
  <c r="CH1206" i="12"/>
  <c r="CH1207" i="12"/>
  <c r="CH1208" i="12"/>
  <c r="CH1209" i="12"/>
  <c r="CH1210" i="12"/>
  <c r="CH1211" i="12"/>
  <c r="CH1212" i="12"/>
  <c r="CH1213" i="12"/>
  <c r="CH1214" i="12"/>
  <c r="CH1215" i="12"/>
  <c r="CH1216" i="12"/>
  <c r="CH1217" i="12"/>
  <c r="CH1218" i="12"/>
  <c r="CH1219" i="12"/>
  <c r="CH1220" i="12"/>
  <c r="CH1221" i="12"/>
  <c r="CH1222" i="12"/>
  <c r="CH1223" i="12"/>
  <c r="CH1224" i="12"/>
  <c r="CH1225" i="12"/>
  <c r="CH1226" i="12"/>
  <c r="CH1227" i="12"/>
  <c r="CH1228" i="12"/>
  <c r="CH1229" i="12"/>
  <c r="CH1230" i="12"/>
  <c r="CH1231" i="12"/>
  <c r="CH1232" i="12"/>
  <c r="CH1233" i="12"/>
  <c r="CH1234" i="12"/>
  <c r="CH1235" i="12"/>
  <c r="CH1236" i="12"/>
  <c r="CH1237" i="12"/>
  <c r="CH1238" i="12"/>
  <c r="CH1239" i="12"/>
  <c r="CH1240" i="12"/>
  <c r="CH1241" i="12"/>
  <c r="CH1242" i="12"/>
  <c r="CH1243" i="12"/>
  <c r="CH1244" i="12"/>
  <c r="CH1245" i="12"/>
  <c r="CH1246" i="12"/>
  <c r="CH1247" i="12"/>
  <c r="CH1248" i="12"/>
  <c r="CH1249" i="12"/>
  <c r="CH1250" i="12"/>
  <c r="CH1251" i="12"/>
  <c r="CH1252" i="12"/>
  <c r="CH1253" i="12"/>
  <c r="CH1254" i="12"/>
  <c r="CH1255" i="12"/>
  <c r="CH1256" i="12"/>
  <c r="CH1257" i="12"/>
  <c r="CH1258" i="12"/>
  <c r="CH1259" i="12"/>
  <c r="CH1260" i="12"/>
  <c r="CH1261" i="12"/>
  <c r="CH1262" i="12"/>
  <c r="CH1263" i="12"/>
  <c r="CH1264" i="12"/>
  <c r="CH1265" i="12"/>
  <c r="CH1266" i="12"/>
  <c r="CH1267" i="12"/>
  <c r="CH1268" i="12"/>
  <c r="CH1269" i="12"/>
  <c r="CH1270" i="12"/>
  <c r="CH1271" i="12"/>
  <c r="CH1272" i="12"/>
  <c r="CH1273" i="12"/>
  <c r="CH1274" i="12"/>
  <c r="CH1275" i="12"/>
  <c r="CH1276" i="12"/>
  <c r="CH1277" i="12"/>
  <c r="CH1278" i="12"/>
  <c r="CH1279" i="12"/>
  <c r="CH1280" i="12"/>
  <c r="CH1281" i="12"/>
  <c r="CH1282" i="12"/>
  <c r="CH1283" i="12"/>
  <c r="CH1284" i="12"/>
  <c r="CH1285" i="12"/>
  <c r="CH1286" i="12"/>
  <c r="CH1287" i="12"/>
  <c r="CH1288" i="12"/>
  <c r="CH1289" i="12"/>
  <c r="CH1290" i="12"/>
  <c r="CH1291" i="12"/>
  <c r="CH1292" i="12"/>
  <c r="CH1293" i="12"/>
  <c r="CH1294" i="12"/>
  <c r="CH1295" i="12"/>
  <c r="CH1296" i="12"/>
  <c r="CH1297" i="12"/>
  <c r="CH1298" i="12"/>
  <c r="CH1299" i="12"/>
  <c r="CH1300" i="12"/>
  <c r="CH1301" i="12"/>
  <c r="CH1302" i="12"/>
  <c r="CH1303" i="12"/>
  <c r="CH1304" i="12"/>
  <c r="CH1305" i="12"/>
  <c r="CH1306" i="12"/>
  <c r="CH1307" i="12"/>
  <c r="CH1308" i="12"/>
  <c r="CH1309" i="12"/>
  <c r="CH1310" i="12"/>
  <c r="CH1311" i="12"/>
  <c r="CH1312" i="12"/>
  <c r="CH1313" i="12"/>
  <c r="CH1314" i="12"/>
  <c r="CH1315" i="12"/>
  <c r="CH1316" i="12"/>
  <c r="CH1317" i="12"/>
  <c r="CH1318" i="12"/>
  <c r="CH1319" i="12"/>
  <c r="CH1320" i="12"/>
  <c r="CH1321" i="12"/>
  <c r="CH1322" i="12"/>
  <c r="CH1323" i="12"/>
  <c r="CH1324" i="12"/>
  <c r="CH1325" i="12"/>
  <c r="CH1326" i="12"/>
  <c r="CH1327" i="12"/>
  <c r="CH1328" i="12"/>
  <c r="CH1329" i="12"/>
  <c r="CH1330" i="12"/>
  <c r="CH1331" i="12"/>
  <c r="CH1332" i="12"/>
  <c r="CH1333" i="12"/>
  <c r="CH1334" i="12"/>
  <c r="CH1335" i="12"/>
  <c r="CH1336" i="12"/>
  <c r="CH1337" i="12"/>
  <c r="CH1338" i="12"/>
  <c r="CH1339" i="12"/>
  <c r="CH1340" i="12"/>
  <c r="CH1341" i="12"/>
  <c r="CH1342" i="12"/>
  <c r="CH1343" i="12"/>
  <c r="CH1344" i="12"/>
  <c r="CH1345" i="12"/>
  <c r="CH1346" i="12"/>
  <c r="CH1347" i="12"/>
  <c r="CH1348" i="12"/>
  <c r="CH1349" i="12"/>
  <c r="CH1350" i="12"/>
  <c r="CH1351" i="12"/>
  <c r="CH1352" i="12"/>
  <c r="CH1353" i="12"/>
  <c r="CH1354" i="12"/>
  <c r="CH1355" i="12"/>
  <c r="CH1356" i="12"/>
  <c r="CH1357" i="12"/>
  <c r="CH1358" i="12"/>
  <c r="CH1359" i="12"/>
  <c r="CH1360" i="12"/>
  <c r="CH1361" i="12"/>
  <c r="CH1362" i="12"/>
  <c r="CH1363" i="12"/>
  <c r="CH1364" i="12"/>
  <c r="CH1365" i="12"/>
  <c r="CH1366" i="12"/>
  <c r="CH1367" i="12"/>
  <c r="CH1368" i="12"/>
  <c r="CH1369" i="12"/>
  <c r="CH1370" i="12"/>
  <c r="CH1371" i="12"/>
  <c r="CH1372" i="12"/>
  <c r="CH1373" i="12"/>
  <c r="CH1374" i="12"/>
  <c r="CH1375" i="12"/>
  <c r="CH1376" i="12"/>
  <c r="CH1377" i="12"/>
  <c r="CH1378" i="12"/>
  <c r="CH1379" i="12"/>
  <c r="CH1380" i="12"/>
  <c r="CH1381" i="12"/>
  <c r="CH1382" i="12"/>
  <c r="CH1383" i="12"/>
  <c r="CH1384" i="12"/>
  <c r="CH1385" i="12"/>
  <c r="CH1386" i="12"/>
  <c r="CH1387" i="12"/>
  <c r="CH1388" i="12"/>
  <c r="CH1389" i="12"/>
  <c r="CH1390" i="12"/>
  <c r="CH1391" i="12"/>
  <c r="CH1392" i="12"/>
  <c r="CH1393" i="12"/>
  <c r="CH1394" i="12"/>
  <c r="CH1395" i="12"/>
  <c r="CH1396" i="12"/>
  <c r="CH1397" i="12"/>
  <c r="CH1398" i="12"/>
  <c r="CH1399" i="12"/>
  <c r="CH1400" i="12"/>
  <c r="CH1401" i="12"/>
  <c r="CH1402" i="12"/>
  <c r="CH1403" i="12"/>
  <c r="CH1404" i="12"/>
  <c r="CH1405" i="12"/>
  <c r="CH1406" i="12"/>
  <c r="CH1407" i="12"/>
  <c r="CH1408" i="12"/>
  <c r="CH1409" i="12"/>
  <c r="CH1410" i="12"/>
  <c r="CH1411" i="12"/>
  <c r="CH1412" i="12"/>
  <c r="CH1413" i="12"/>
  <c r="CH1414" i="12"/>
  <c r="CH1415" i="12"/>
  <c r="CH1416" i="12"/>
  <c r="CH1417" i="12"/>
  <c r="CH1418" i="12"/>
  <c r="CH1419" i="12"/>
  <c r="CH1420" i="12"/>
  <c r="CH1421" i="12"/>
  <c r="CH1422" i="12"/>
  <c r="CH1423" i="12"/>
  <c r="CH1424" i="12"/>
  <c r="CH1425" i="12"/>
  <c r="CH1426" i="12"/>
  <c r="CH1427" i="12"/>
  <c r="CH1428" i="12"/>
  <c r="CH1429" i="12"/>
  <c r="CH1430" i="12"/>
  <c r="CH1431" i="12"/>
  <c r="CH1432" i="12"/>
  <c r="CH1433" i="12"/>
  <c r="CH1434" i="12"/>
  <c r="CH1435" i="12"/>
  <c r="CH1436" i="12"/>
  <c r="CH1437" i="12"/>
  <c r="CH1438" i="12"/>
  <c r="CH1439" i="12"/>
  <c r="CH1440" i="12"/>
  <c r="CH1441" i="12"/>
  <c r="CH1442" i="12"/>
  <c r="CH1443" i="12"/>
  <c r="CH1444" i="12"/>
  <c r="CH1445" i="12"/>
  <c r="CH1446" i="12"/>
  <c r="CH1447" i="12"/>
  <c r="CH1448" i="12"/>
  <c r="CH1449" i="12"/>
  <c r="CH1450" i="12"/>
  <c r="CH1451" i="12"/>
  <c r="CH1452" i="12"/>
  <c r="CH1453" i="12"/>
  <c r="CH1454" i="12"/>
  <c r="CH1455" i="12"/>
  <c r="CH1456" i="12"/>
  <c r="CH1457" i="12"/>
  <c r="CH1458" i="12"/>
  <c r="CH1459" i="12"/>
  <c r="CH1460" i="12"/>
  <c r="CH1461" i="12"/>
  <c r="CH1462" i="12"/>
  <c r="CH1463" i="12"/>
  <c r="CH1464" i="12"/>
  <c r="CH1465" i="12"/>
  <c r="CH1466" i="12"/>
  <c r="CH1467" i="12"/>
  <c r="CH1468" i="12"/>
  <c r="CH1469" i="12"/>
  <c r="CH1470" i="12"/>
  <c r="CH1471" i="12"/>
  <c r="CH1472" i="12"/>
  <c r="CH1473" i="12"/>
  <c r="CH1474" i="12"/>
  <c r="CH1475" i="12"/>
  <c r="CH1476" i="12"/>
  <c r="CH1477" i="12"/>
  <c r="CH1478" i="12"/>
  <c r="CH1479" i="12"/>
  <c r="CH1480" i="12"/>
  <c r="CH1481" i="12"/>
  <c r="CH1482" i="12"/>
  <c r="CH1483" i="12"/>
  <c r="CH1484" i="12"/>
  <c r="CH1485" i="12"/>
  <c r="CH1486" i="12"/>
  <c r="CH1487" i="12"/>
  <c r="CH1488" i="12"/>
  <c r="CH1489" i="12"/>
  <c r="CH1490" i="12"/>
  <c r="CH1491" i="12"/>
  <c r="CH1492" i="12"/>
  <c r="CH1493" i="12"/>
  <c r="CH1494" i="12"/>
  <c r="CH1495" i="12"/>
  <c r="CH1496" i="12"/>
  <c r="CH1497" i="12"/>
  <c r="CH1498" i="12"/>
  <c r="CH1499" i="12"/>
  <c r="CH1500" i="12"/>
  <c r="CH1501" i="12"/>
  <c r="CH1502" i="12"/>
  <c r="CH1503" i="12"/>
  <c r="CH1504" i="12"/>
  <c r="CH1505" i="12"/>
  <c r="CH1506" i="12"/>
  <c r="CH1507" i="12"/>
  <c r="CH1508" i="12"/>
  <c r="CH1509" i="12"/>
  <c r="CH1510" i="12"/>
  <c r="CH1511" i="12"/>
  <c r="CH1512" i="12"/>
  <c r="CH1513" i="12"/>
  <c r="CH1514" i="12"/>
  <c r="CH1515" i="12"/>
  <c r="CH1516" i="12"/>
  <c r="CH1517" i="12"/>
  <c r="CH1518" i="12"/>
  <c r="CH1519" i="12"/>
  <c r="CH1520" i="12"/>
  <c r="CH1521" i="12"/>
  <c r="CH1522" i="12"/>
  <c r="CH1523" i="12"/>
  <c r="CH1524" i="12"/>
  <c r="CH1525" i="12"/>
  <c r="CH1526" i="12"/>
  <c r="CH1527" i="12"/>
  <c r="CH1528" i="12"/>
  <c r="CH1529" i="12"/>
  <c r="CH1530" i="12"/>
  <c r="CH1531" i="12"/>
  <c r="CH1532" i="12"/>
  <c r="CH1533" i="12"/>
  <c r="CH1534" i="12"/>
  <c r="CH1535" i="12"/>
  <c r="CH1536" i="12"/>
  <c r="CH1537" i="12"/>
  <c r="CH1538" i="12"/>
  <c r="CH1539" i="12"/>
  <c r="CH1540" i="12"/>
  <c r="CH1541" i="12"/>
  <c r="CH1542" i="12"/>
  <c r="CH1543" i="12"/>
  <c r="CH1544" i="12"/>
  <c r="CH1545" i="12"/>
  <c r="CH1546" i="12"/>
  <c r="CH1547" i="12"/>
  <c r="CH1548" i="12"/>
  <c r="CH1549" i="12"/>
  <c r="CH1550" i="12"/>
  <c r="CH1551" i="12"/>
  <c r="CH1552" i="12"/>
  <c r="CH1553" i="12"/>
  <c r="CH1554" i="12"/>
  <c r="CH1555" i="12"/>
  <c r="CH1556" i="12"/>
  <c r="CH1557" i="12"/>
  <c r="CH1558" i="12"/>
  <c r="CH1559" i="12"/>
  <c r="CH1560" i="12"/>
  <c r="CH1561" i="12"/>
  <c r="CH1562" i="12"/>
  <c r="CH1563" i="12"/>
  <c r="CH1564" i="12"/>
  <c r="CH1565" i="12"/>
  <c r="CH1566" i="12"/>
  <c r="CH1567" i="12"/>
  <c r="CH1568" i="12"/>
  <c r="CH1569" i="12"/>
  <c r="CH1570" i="12"/>
  <c r="CH1571" i="12"/>
  <c r="CH1572" i="12"/>
  <c r="CH1573" i="12"/>
  <c r="CH1574" i="12"/>
  <c r="CH1575" i="12"/>
  <c r="CH1576" i="12"/>
  <c r="CH1577" i="12"/>
  <c r="CH1578" i="12"/>
  <c r="CH1579" i="12"/>
  <c r="CH1580" i="12"/>
  <c r="CH1581" i="12"/>
  <c r="CH1582" i="12"/>
  <c r="CH1583" i="12"/>
  <c r="CH1584" i="12"/>
  <c r="CH1585" i="12"/>
  <c r="CH1586" i="12"/>
  <c r="CH1587" i="12"/>
  <c r="CH1588" i="12"/>
  <c r="CH1589" i="12"/>
  <c r="CH1590" i="12"/>
  <c r="CH1591" i="12"/>
  <c r="CH1592" i="12"/>
  <c r="CH1593" i="12"/>
  <c r="CH1594" i="12"/>
  <c r="CH1595" i="12"/>
  <c r="CH1596" i="12"/>
  <c r="CH1597" i="12"/>
  <c r="CH1598" i="12"/>
  <c r="CH1599" i="12"/>
  <c r="CH1600" i="12"/>
  <c r="CH1601" i="12"/>
  <c r="CH1602" i="12"/>
  <c r="CH1603" i="12"/>
  <c r="CH1604" i="12"/>
  <c r="CH1605" i="12"/>
  <c r="CH1606" i="12"/>
  <c r="CH1607" i="12"/>
  <c r="CH1608" i="12"/>
  <c r="CH1609" i="12"/>
  <c r="CH1610" i="12"/>
  <c r="CH1611" i="12"/>
  <c r="CH1612" i="12"/>
  <c r="CH1613" i="12"/>
  <c r="CH1614" i="12"/>
  <c r="CH1615" i="12"/>
  <c r="CH1616" i="12"/>
  <c r="CH1617" i="12"/>
  <c r="CH1618" i="12"/>
  <c r="CH1619" i="12"/>
  <c r="CH1620" i="12"/>
  <c r="CH1621" i="12"/>
  <c r="CH1622" i="12"/>
  <c r="CH1623" i="12"/>
  <c r="CH1624" i="12"/>
  <c r="CH1625" i="12"/>
  <c r="CH1626" i="12"/>
  <c r="CH1627" i="12"/>
  <c r="CH1628" i="12"/>
  <c r="CH1629" i="12"/>
  <c r="CH1630" i="12"/>
  <c r="CH1631" i="12"/>
  <c r="CH1632" i="12"/>
  <c r="CH1633" i="12"/>
  <c r="CH1634" i="12"/>
  <c r="CH1635" i="12"/>
  <c r="CH1636" i="12"/>
  <c r="CH1637" i="12"/>
  <c r="CH1638" i="12"/>
  <c r="CH1639" i="12"/>
  <c r="CH1640" i="12"/>
  <c r="CH1641" i="12"/>
  <c r="CH1642" i="12"/>
  <c r="CH1643" i="12"/>
  <c r="CH1644" i="12"/>
  <c r="CH1645" i="12"/>
  <c r="CH1646" i="12"/>
  <c r="CH1647" i="12"/>
  <c r="CH1648" i="12"/>
  <c r="CH1649" i="12"/>
  <c r="CH1650" i="12"/>
  <c r="CH1651" i="12"/>
  <c r="CH1652" i="12"/>
  <c r="CH1653" i="12"/>
  <c r="CH1654" i="12"/>
  <c r="CH1655" i="12"/>
  <c r="CH1656" i="12"/>
  <c r="CH1657" i="12"/>
  <c r="CH1658" i="12"/>
  <c r="CH1659" i="12"/>
  <c r="CH1660" i="12"/>
  <c r="CH1661" i="12"/>
  <c r="CH1662" i="12"/>
  <c r="CH1663" i="12"/>
  <c r="CH1664" i="12"/>
  <c r="CH1665" i="12"/>
  <c r="CH1666" i="12"/>
  <c r="CH1667" i="12"/>
  <c r="CH1668" i="12"/>
  <c r="CH1669" i="12"/>
  <c r="CH1670" i="12"/>
  <c r="CH1671" i="12"/>
  <c r="CH1672" i="12"/>
  <c r="CH1673" i="12"/>
  <c r="CH1674" i="12"/>
  <c r="CH1675" i="12"/>
  <c r="CH1676" i="12"/>
  <c r="CH1677" i="12"/>
  <c r="CH1678" i="12"/>
  <c r="CH1679" i="12"/>
  <c r="CH1680" i="12"/>
  <c r="CH1681" i="12"/>
  <c r="CH1682" i="12"/>
  <c r="CH1683" i="12"/>
  <c r="CH1684" i="12"/>
  <c r="CH1685" i="12"/>
  <c r="CH1686" i="12"/>
  <c r="CH1687" i="12"/>
  <c r="CH1688" i="12"/>
  <c r="CH1689" i="12"/>
  <c r="CH1690" i="12"/>
  <c r="CH1691" i="12"/>
  <c r="CH1692" i="12"/>
  <c r="CH1693" i="12"/>
  <c r="CH1694" i="12"/>
  <c r="CH1695" i="12"/>
  <c r="CH1696" i="12"/>
  <c r="CH1697" i="12"/>
  <c r="CH1698" i="12"/>
  <c r="CH1699" i="12"/>
  <c r="CH1700" i="12"/>
  <c r="CH1701" i="12"/>
  <c r="CH1702" i="12"/>
  <c r="CH1703" i="12"/>
  <c r="CH1704" i="12"/>
  <c r="CH1705" i="12"/>
  <c r="CH1706" i="12"/>
  <c r="CH1707" i="12"/>
  <c r="CH1708" i="12"/>
  <c r="CH1709" i="12"/>
  <c r="CH1710" i="12"/>
  <c r="CH1711" i="12"/>
  <c r="CH1712" i="12"/>
  <c r="CH1713" i="12"/>
  <c r="CH1714" i="12"/>
  <c r="CH1715" i="12"/>
  <c r="CH1716" i="12"/>
  <c r="CH1717" i="12"/>
  <c r="CH1718" i="12"/>
  <c r="CH1719" i="12"/>
  <c r="CH1720" i="12"/>
  <c r="CH1721" i="12"/>
  <c r="CH1722" i="12"/>
  <c r="CH1723" i="12"/>
  <c r="CH1724" i="12"/>
  <c r="CH1725" i="12"/>
  <c r="CH1726" i="12"/>
  <c r="CH1727" i="12"/>
  <c r="CH1728" i="12"/>
  <c r="CH1729" i="12"/>
  <c r="CH1730" i="12"/>
  <c r="CH1731" i="12"/>
  <c r="CH1732" i="12"/>
  <c r="CH1733" i="12"/>
  <c r="CH1734" i="12"/>
  <c r="CH1735" i="12"/>
  <c r="CH1736" i="12"/>
  <c r="CH1737" i="12"/>
  <c r="CH1738" i="12"/>
  <c r="CH1739" i="12"/>
  <c r="CH1740" i="12"/>
  <c r="CH1741" i="12"/>
  <c r="CH1742" i="12"/>
  <c r="CH1743" i="12"/>
  <c r="CH1744" i="12"/>
  <c r="CH1745" i="12"/>
  <c r="CH1746" i="12"/>
  <c r="CH1747" i="12"/>
  <c r="CH1748" i="12"/>
  <c r="CH1749" i="12"/>
  <c r="CH1750" i="12"/>
  <c r="CH1751" i="12"/>
  <c r="CH1752" i="12"/>
  <c r="CH1753" i="12"/>
  <c r="CH1754" i="12"/>
  <c r="CH1755" i="12"/>
  <c r="CH1756" i="12"/>
  <c r="CH1757" i="12"/>
  <c r="CH1758" i="12"/>
  <c r="CH1759" i="12"/>
  <c r="CH1760" i="12"/>
  <c r="CH1761" i="12"/>
  <c r="CH1762" i="12"/>
  <c r="CH1763" i="12"/>
  <c r="CH1764" i="12"/>
  <c r="CH1765" i="12"/>
  <c r="CH1766" i="12"/>
  <c r="CH1767" i="12"/>
  <c r="CH1768" i="12"/>
  <c r="CH1769" i="12"/>
  <c r="CH1770" i="12"/>
  <c r="CH1771" i="12"/>
  <c r="CH1772" i="12"/>
  <c r="CH1773" i="12"/>
  <c r="CH1774" i="12"/>
  <c r="CH1775" i="12"/>
  <c r="CH1776" i="12"/>
  <c r="CH1777" i="12"/>
  <c r="CH1778" i="12"/>
  <c r="CH1779" i="12"/>
  <c r="CH1780" i="12"/>
  <c r="CH1781" i="12"/>
  <c r="CH1782" i="12"/>
  <c r="CH1783" i="12"/>
  <c r="CH1784" i="12"/>
  <c r="CH1785" i="12"/>
  <c r="CH1786" i="12"/>
  <c r="CH1787" i="12"/>
  <c r="CH1788" i="12"/>
  <c r="CH1789" i="12"/>
  <c r="CH1790" i="12"/>
  <c r="CH1791" i="12"/>
  <c r="CH1792" i="12"/>
  <c r="CH1793" i="12"/>
  <c r="CH1794" i="12"/>
  <c r="CH1795" i="12"/>
  <c r="CH1796" i="12"/>
  <c r="CH1797" i="12"/>
  <c r="CH1798" i="12"/>
  <c r="CH1799" i="12"/>
  <c r="CH1800" i="12"/>
  <c r="CH1801" i="12"/>
  <c r="CH1802" i="12"/>
  <c r="CH1803" i="12"/>
  <c r="CH1804" i="12"/>
  <c r="CH1805" i="12"/>
  <c r="CH1806" i="12"/>
  <c r="CH1807" i="12"/>
  <c r="CH1808" i="12"/>
  <c r="CH1809" i="12"/>
  <c r="CH1810" i="12"/>
  <c r="CH1811" i="12"/>
  <c r="CH1812" i="12"/>
  <c r="CH1813" i="12"/>
  <c r="CH1814" i="12"/>
  <c r="CH1815" i="12"/>
  <c r="CH1816" i="12"/>
  <c r="CH1817" i="12"/>
  <c r="CH1818" i="12"/>
  <c r="CH1819" i="12"/>
  <c r="CH1820" i="12"/>
  <c r="CH1821" i="12"/>
  <c r="CH1822" i="12"/>
  <c r="CH1823" i="12"/>
  <c r="CH1824" i="12"/>
  <c r="CH1825" i="12"/>
  <c r="CH1826" i="12"/>
  <c r="CH1827" i="12"/>
  <c r="CH1828" i="12"/>
  <c r="CH1829" i="12"/>
  <c r="CH1830" i="12"/>
  <c r="CH1831" i="12"/>
  <c r="CH1832" i="12"/>
  <c r="CH1833" i="12"/>
  <c r="CH1834" i="12"/>
  <c r="CH1835" i="12"/>
  <c r="CH1836" i="12"/>
  <c r="CH1837" i="12"/>
  <c r="CH1838" i="12"/>
  <c r="CH1839" i="12"/>
  <c r="CH1840" i="12"/>
  <c r="CH1841" i="12"/>
  <c r="CH1842" i="12"/>
  <c r="CH1843" i="12"/>
  <c r="CH1844" i="12"/>
  <c r="CH1845" i="12"/>
  <c r="CH1846" i="12"/>
  <c r="CH1847" i="12"/>
  <c r="CH1848" i="12"/>
  <c r="CH1849" i="12"/>
  <c r="CH1850" i="12"/>
  <c r="CH1851" i="12"/>
  <c r="CH1852" i="12"/>
  <c r="CH1853" i="12"/>
  <c r="CH1854" i="12"/>
  <c r="CH1855" i="12"/>
  <c r="CH1856" i="12"/>
  <c r="CH1857" i="12"/>
  <c r="CH1858" i="12"/>
  <c r="CH1859" i="12"/>
  <c r="CH1860" i="12"/>
  <c r="CH1861" i="12"/>
  <c r="CH1862" i="12"/>
  <c r="CH1863" i="12"/>
  <c r="CH1864" i="12"/>
  <c r="CH1865" i="12"/>
  <c r="CH1866" i="12"/>
  <c r="CH1867" i="12"/>
  <c r="CH1868" i="12"/>
  <c r="CH1869" i="12"/>
  <c r="CH1870" i="12"/>
  <c r="CH1871" i="12"/>
  <c r="CH1872" i="12"/>
  <c r="CH1873" i="12"/>
  <c r="CH1874" i="12"/>
  <c r="CH1875" i="12"/>
  <c r="CH1876" i="12"/>
  <c r="CH1877" i="12"/>
  <c r="CH1878" i="12"/>
  <c r="CH1879" i="12"/>
  <c r="CH1880" i="12"/>
  <c r="CH1881" i="12"/>
  <c r="CH1882" i="12"/>
  <c r="CH1883" i="12"/>
  <c r="CH1884" i="12"/>
  <c r="CH1885" i="12"/>
  <c r="CH1886" i="12"/>
  <c r="CH1887" i="12"/>
  <c r="CH1888" i="12"/>
  <c r="CH1889" i="12"/>
  <c r="CH1890" i="12"/>
  <c r="CH1891" i="12"/>
  <c r="CH1892" i="12"/>
  <c r="CH1893" i="12"/>
  <c r="CH1894" i="12"/>
  <c r="CH1895" i="12"/>
  <c r="CH1896" i="12"/>
  <c r="CH1897" i="12"/>
  <c r="CH1898" i="12"/>
  <c r="CH1899" i="12"/>
  <c r="CH1900" i="12"/>
  <c r="CH1901" i="12"/>
  <c r="CH1902" i="12"/>
  <c r="CH1903" i="12"/>
  <c r="CH1904" i="12"/>
  <c r="CH1905" i="12"/>
  <c r="CH1906" i="12"/>
  <c r="CH1907" i="12"/>
  <c r="CH1908" i="12"/>
  <c r="CH1909" i="12"/>
  <c r="CH1910" i="12"/>
  <c r="CH1911" i="12"/>
  <c r="CH1912" i="12"/>
  <c r="CH1913" i="12"/>
  <c r="CH1914" i="12"/>
  <c r="CH1915" i="12"/>
  <c r="CH1916" i="12"/>
  <c r="CH1917" i="12"/>
  <c r="CH1918" i="12"/>
  <c r="CH1919" i="12"/>
  <c r="CH1920" i="12"/>
  <c r="CH1921" i="12"/>
  <c r="CH1922" i="12"/>
  <c r="CH1923" i="12"/>
  <c r="CH1924" i="12"/>
  <c r="CH1925" i="12"/>
  <c r="CH1926" i="12"/>
  <c r="CH1927" i="12"/>
  <c r="CH1928" i="12"/>
  <c r="CH1929" i="12"/>
  <c r="CH1930" i="12"/>
  <c r="CH1931" i="12"/>
  <c r="CH1932" i="12"/>
  <c r="CH1933" i="12"/>
  <c r="CH1934" i="12"/>
  <c r="CH1935" i="12"/>
  <c r="CH1936" i="12"/>
  <c r="CH1937" i="12"/>
  <c r="CH1938" i="12"/>
  <c r="CH1939" i="12"/>
  <c r="CH1940" i="12"/>
  <c r="CH1941" i="12"/>
  <c r="CH1942" i="12"/>
  <c r="CH1943" i="12"/>
  <c r="CH1944" i="12"/>
  <c r="CH1945" i="12"/>
  <c r="CH1946" i="12"/>
  <c r="CH1947" i="12"/>
  <c r="CH1948" i="12"/>
  <c r="CH1949" i="12"/>
  <c r="CH1950" i="12"/>
  <c r="CH1951" i="12"/>
  <c r="CH1952" i="12"/>
  <c r="CH1953" i="12"/>
  <c r="CH1954" i="12"/>
  <c r="CH1955" i="12"/>
  <c r="CH1956" i="12"/>
  <c r="CH1957" i="12"/>
  <c r="CH1958" i="12"/>
  <c r="CH1959" i="12"/>
  <c r="CH1960" i="12"/>
  <c r="CH1961" i="12"/>
  <c r="CH1962" i="12"/>
  <c r="CH1963" i="12"/>
  <c r="CH1964" i="12"/>
  <c r="CH1965" i="12"/>
  <c r="CH1966" i="12"/>
  <c r="CH1967" i="12"/>
  <c r="CH1968" i="12"/>
  <c r="CH1969" i="12"/>
  <c r="CH1970" i="12"/>
  <c r="CH1971" i="12"/>
  <c r="CH1972" i="12"/>
  <c r="CH1973" i="12"/>
  <c r="CH1974" i="12"/>
  <c r="CH1975" i="12"/>
  <c r="CH1976" i="12"/>
  <c r="CH1977" i="12"/>
  <c r="CH1978" i="12"/>
  <c r="CH1979" i="12"/>
  <c r="CH1980" i="12"/>
  <c r="CH1981" i="12"/>
  <c r="CH1982" i="12"/>
  <c r="CH1983" i="12"/>
  <c r="CH1984" i="12"/>
  <c r="CH1985" i="12"/>
  <c r="CH1986" i="12"/>
  <c r="CH1987" i="12"/>
  <c r="CH1988" i="12"/>
  <c r="CH1989" i="12"/>
  <c r="CH1990" i="12"/>
  <c r="CH1991" i="12"/>
  <c r="CH1992" i="12"/>
  <c r="CH1993" i="12"/>
  <c r="CH1994" i="12"/>
  <c r="CH1995" i="12"/>
  <c r="CH1996" i="12"/>
  <c r="CH1997" i="12"/>
  <c r="CH1998" i="12"/>
  <c r="CH1999" i="12"/>
  <c r="CH2000" i="12"/>
  <c r="CH2001" i="12"/>
  <c r="CH2002" i="12"/>
  <c r="CH2003" i="12"/>
  <c r="CH2004" i="12"/>
  <c r="CH2005" i="12"/>
  <c r="CH2006" i="12"/>
  <c r="CH2007" i="12"/>
  <c r="CH2008" i="12"/>
  <c r="CH2009" i="12"/>
  <c r="CH2010" i="12"/>
  <c r="CH2011" i="12"/>
  <c r="CH2012" i="12"/>
  <c r="CH2013" i="12"/>
  <c r="CH2014" i="12"/>
  <c r="CH2015" i="12"/>
  <c r="CH2016" i="12"/>
  <c r="CH2017" i="12"/>
  <c r="CH2018" i="12"/>
  <c r="CH2019" i="12"/>
  <c r="CH2020" i="12"/>
  <c r="CH2021" i="12"/>
  <c r="CH2022" i="12"/>
  <c r="CH2023" i="12"/>
  <c r="CH2024" i="12"/>
  <c r="CH2025" i="12"/>
  <c r="CH2026" i="12"/>
  <c r="CH2027" i="12"/>
  <c r="CH2028" i="12"/>
  <c r="CH2029" i="12"/>
  <c r="CH2030" i="12"/>
  <c r="CH2031" i="12"/>
  <c r="CH2032" i="12"/>
  <c r="CH2033" i="12"/>
  <c r="CH2034" i="12"/>
  <c r="CH2035" i="12"/>
  <c r="CH2036" i="12"/>
  <c r="CH2037" i="12"/>
  <c r="CH2038" i="12"/>
  <c r="CH2039" i="12"/>
  <c r="CH2040" i="12"/>
  <c r="CH2041" i="12"/>
  <c r="CH2042" i="12"/>
  <c r="CH2043" i="12"/>
  <c r="CH2044" i="12"/>
  <c r="CH2045" i="12"/>
  <c r="CH2046" i="12"/>
  <c r="CH2047" i="12"/>
  <c r="CH2048" i="12"/>
  <c r="CH2049" i="12"/>
  <c r="CH2050" i="12"/>
  <c r="CH2051" i="12"/>
  <c r="CH2052" i="12"/>
  <c r="CH2053" i="12"/>
  <c r="CH2054" i="12"/>
  <c r="CH2055" i="12"/>
  <c r="CH2056" i="12"/>
  <c r="CH2057" i="12"/>
  <c r="CH2058" i="12"/>
  <c r="CH2059" i="12"/>
  <c r="CH2060" i="12"/>
  <c r="CH2061" i="12"/>
  <c r="CH2062" i="12"/>
  <c r="CH2063" i="12"/>
  <c r="CH2064" i="12"/>
  <c r="CH2065" i="12"/>
  <c r="CH2066" i="12"/>
  <c r="CH2067" i="12"/>
  <c r="CH2068" i="12"/>
  <c r="CH2069" i="12"/>
  <c r="CH2070" i="12"/>
  <c r="CH2071" i="12"/>
  <c r="CH2072" i="12"/>
  <c r="CH2073" i="12"/>
  <c r="CH2074" i="12"/>
  <c r="CH2075" i="12"/>
  <c r="CH2076" i="12"/>
  <c r="CH2077" i="12"/>
  <c r="CH2078" i="12"/>
  <c r="CH2079" i="12"/>
  <c r="CH2080" i="12"/>
  <c r="CH2081" i="12"/>
  <c r="CH2082" i="12"/>
  <c r="CH2083" i="12"/>
  <c r="CH2084" i="12"/>
  <c r="CH2085" i="12"/>
  <c r="CH2086" i="12"/>
  <c r="CH2087" i="12"/>
  <c r="CH2088" i="12"/>
  <c r="CH2089" i="12"/>
  <c r="CH2090" i="12"/>
  <c r="CH2091" i="12"/>
  <c r="CH2092" i="12"/>
  <c r="CH2093" i="12"/>
  <c r="CH2094" i="12"/>
  <c r="CH2095" i="12"/>
  <c r="CH2096" i="12"/>
  <c r="CH2097" i="12"/>
  <c r="CH2098" i="12"/>
  <c r="CH2099" i="12"/>
  <c r="CH2100" i="12"/>
  <c r="CH2101" i="12"/>
  <c r="CH2102" i="12"/>
  <c r="CH2103" i="12"/>
  <c r="CH2104" i="12"/>
  <c r="CH2105" i="12"/>
  <c r="CH2106" i="12"/>
  <c r="CH2107" i="12"/>
  <c r="CH2108" i="12"/>
  <c r="CH2109" i="12"/>
  <c r="CH2110" i="12"/>
  <c r="CH2111" i="12"/>
  <c r="CH2112" i="12"/>
  <c r="CH2113" i="12"/>
  <c r="CH2114" i="12"/>
  <c r="CH2115" i="12"/>
  <c r="CH2116" i="12"/>
  <c r="CH2117" i="12"/>
  <c r="CH2118" i="12"/>
  <c r="CH2119" i="12"/>
  <c r="CH2120" i="12"/>
  <c r="CH2121" i="12"/>
  <c r="CH2122" i="12"/>
  <c r="CH2123" i="12"/>
  <c r="CH2124" i="12"/>
  <c r="CH2125" i="12"/>
  <c r="CH2126" i="12"/>
  <c r="CH2127" i="12"/>
  <c r="CH2128" i="12"/>
  <c r="CH2129" i="12"/>
  <c r="CH2130" i="12"/>
  <c r="CH2131" i="12"/>
  <c r="CH2132" i="12"/>
  <c r="CH2133" i="12"/>
  <c r="CH2134" i="12"/>
  <c r="CH2135" i="12"/>
  <c r="CH2136" i="12"/>
  <c r="CH2137" i="12"/>
  <c r="CH2138" i="12"/>
  <c r="CH2139" i="12"/>
  <c r="CH2140" i="12"/>
  <c r="CH2141" i="12"/>
  <c r="CH2142" i="12"/>
  <c r="CH2143" i="12"/>
  <c r="CH2144" i="12"/>
  <c r="CH2145" i="12"/>
  <c r="CH2146" i="12"/>
  <c r="CH2147" i="12"/>
  <c r="CH2148" i="12"/>
  <c r="CH2149" i="12"/>
  <c r="CH2150" i="12"/>
  <c r="CH2151" i="12"/>
  <c r="CH2152" i="12"/>
  <c r="CH2153" i="12"/>
  <c r="CH2154" i="12"/>
  <c r="CH2155" i="12"/>
  <c r="CH2156" i="12"/>
  <c r="CH2157" i="12"/>
  <c r="CH2158" i="12"/>
  <c r="CH2159" i="12"/>
  <c r="CH2160" i="12"/>
  <c r="CH2161" i="12"/>
  <c r="CH2162" i="12"/>
  <c r="CH2163" i="12"/>
  <c r="CH2164" i="12"/>
  <c r="CH2165" i="12"/>
  <c r="CH2166" i="12"/>
  <c r="CH2167" i="12"/>
  <c r="CH2168" i="12"/>
  <c r="CH2169" i="12"/>
  <c r="CH2170" i="12"/>
  <c r="CH2171" i="12"/>
  <c r="CH2172" i="12"/>
  <c r="CH2173" i="12"/>
  <c r="CH2174" i="12"/>
  <c r="CH2175" i="12"/>
  <c r="CH2176" i="12"/>
  <c r="CH2177" i="12"/>
  <c r="CH2178" i="12"/>
  <c r="CH2179" i="12"/>
  <c r="CH2180" i="12"/>
  <c r="CH2181" i="12"/>
  <c r="CH2182" i="12"/>
  <c r="CH2183" i="12"/>
  <c r="CH2184" i="12"/>
  <c r="CH2185" i="12"/>
  <c r="CH2186" i="12"/>
  <c r="CH2187" i="12"/>
  <c r="CH2188" i="12"/>
  <c r="CH2189" i="12"/>
  <c r="CH2190" i="12"/>
  <c r="CH2191" i="12"/>
  <c r="CH2192" i="12"/>
  <c r="CH2193" i="12"/>
  <c r="CH2194" i="12"/>
  <c r="CH2195" i="12"/>
  <c r="CH2196" i="12"/>
  <c r="CH2197" i="12"/>
  <c r="CH2198" i="12"/>
  <c r="CH2199" i="12"/>
  <c r="CH2200" i="12"/>
  <c r="CH2201" i="12"/>
  <c r="CH2202" i="12"/>
  <c r="CH2203" i="12"/>
  <c r="CH2204" i="12"/>
  <c r="CH2205" i="12"/>
  <c r="CH2206" i="12"/>
  <c r="CH2207" i="12"/>
  <c r="CH2208" i="12"/>
  <c r="CH2209" i="12"/>
  <c r="CH2210" i="12"/>
  <c r="CH2211" i="12"/>
  <c r="CH2212" i="12"/>
  <c r="CH2213" i="12"/>
  <c r="CH2214" i="12"/>
  <c r="CH2215" i="12"/>
  <c r="CH2216" i="12"/>
  <c r="CH2217" i="12"/>
  <c r="CH2218" i="12"/>
  <c r="CH2219" i="12"/>
  <c r="CH2220" i="12"/>
  <c r="CH2221" i="12"/>
  <c r="CH2222" i="12"/>
  <c r="CH2223" i="12"/>
  <c r="CH2224" i="12"/>
  <c r="CH2225" i="12"/>
  <c r="CH2226" i="12"/>
  <c r="CH2227" i="12"/>
  <c r="CH2228" i="12"/>
  <c r="CH2229" i="12"/>
  <c r="CH2230" i="12"/>
  <c r="CH2231" i="12"/>
  <c r="CH2232" i="12"/>
  <c r="CH2233" i="12"/>
  <c r="CH2234" i="12"/>
  <c r="CH2235" i="12"/>
  <c r="CH2236" i="12"/>
  <c r="CH2237" i="12"/>
  <c r="CH2238" i="12"/>
  <c r="CH2239" i="12"/>
  <c r="CH2240" i="12"/>
  <c r="CH2241" i="12"/>
  <c r="CH2242" i="12"/>
  <c r="CH2243" i="12"/>
  <c r="CH2244" i="12"/>
  <c r="CH2245" i="12"/>
  <c r="CH2246" i="12"/>
  <c r="CH2247" i="12"/>
  <c r="CH2248" i="12"/>
  <c r="CH2249" i="12"/>
  <c r="CH2250" i="12"/>
  <c r="CH2251" i="12"/>
  <c r="CH2252" i="12"/>
  <c r="CH2253" i="12"/>
  <c r="CH2254" i="12"/>
  <c r="CH2255" i="12"/>
  <c r="CH2256" i="12"/>
  <c r="CH2257" i="12"/>
  <c r="CH2258" i="12"/>
  <c r="CH2259" i="12"/>
  <c r="CH2260" i="12"/>
  <c r="CH2261" i="12"/>
  <c r="CH2262" i="12"/>
  <c r="CH2263" i="12"/>
  <c r="CH2264" i="12"/>
  <c r="CH2265" i="12"/>
  <c r="CH2266" i="12"/>
  <c r="CH2267" i="12"/>
  <c r="CH2268" i="12"/>
  <c r="CH2269" i="12"/>
  <c r="CH2270" i="12"/>
  <c r="CH2271" i="12"/>
  <c r="CH2272" i="12"/>
  <c r="CH2273" i="12"/>
  <c r="CH2274" i="12"/>
  <c r="CH2275" i="12"/>
  <c r="CH2276" i="12"/>
  <c r="CH2277" i="12"/>
  <c r="CH2278" i="12"/>
  <c r="CH2279" i="12"/>
  <c r="CH2280" i="12"/>
  <c r="CH2281" i="12"/>
  <c r="CH2282" i="12"/>
  <c r="CH2283" i="12"/>
  <c r="CH2284" i="12"/>
  <c r="CH2285" i="12"/>
  <c r="CH2286" i="12"/>
  <c r="CH2287" i="12"/>
  <c r="CH2288" i="12"/>
  <c r="CH2289" i="12"/>
  <c r="CH2290" i="12"/>
  <c r="CH2291" i="12"/>
  <c r="CH2292" i="12"/>
  <c r="CH2293" i="12"/>
  <c r="CH2294" i="12"/>
  <c r="CH2295" i="12"/>
  <c r="CH2296" i="12"/>
  <c r="CH2297" i="12"/>
  <c r="CH2298" i="12"/>
  <c r="CH2299" i="12"/>
  <c r="CH2300" i="12"/>
  <c r="CH2301" i="12"/>
  <c r="CH2302" i="12"/>
  <c r="CH2303" i="12"/>
  <c r="CH2304" i="12"/>
  <c r="CH2305" i="12"/>
  <c r="CH2306" i="12"/>
  <c r="CH2307" i="12"/>
  <c r="CH2308" i="12"/>
  <c r="CH2309" i="12"/>
  <c r="CH2310" i="12"/>
  <c r="CH2311" i="12"/>
  <c r="CH2312" i="12"/>
  <c r="CH2313" i="12"/>
  <c r="CH2314" i="12"/>
  <c r="CH2315" i="12"/>
  <c r="CH2316" i="12"/>
  <c r="CH2317" i="12"/>
  <c r="CH2318" i="12"/>
  <c r="CH2319" i="12"/>
  <c r="CH2320" i="12"/>
  <c r="CH2321" i="12"/>
  <c r="CH2322" i="12"/>
  <c r="CH2323" i="12"/>
  <c r="CH2324" i="12"/>
  <c r="CH2325" i="12"/>
  <c r="CH2326" i="12"/>
  <c r="CH2327" i="12"/>
  <c r="CH2328" i="12"/>
  <c r="CH2329" i="12"/>
  <c r="CH2330" i="12"/>
  <c r="CH2331" i="12"/>
  <c r="CH2332" i="12"/>
  <c r="CH2333" i="12"/>
  <c r="CH2334" i="12"/>
  <c r="CH2335" i="12"/>
  <c r="CH2336" i="12"/>
  <c r="CH2337" i="12"/>
  <c r="CH2338" i="12"/>
  <c r="CH2339" i="12"/>
  <c r="CH2340" i="12"/>
  <c r="CH2341" i="12"/>
  <c r="CH2342" i="12"/>
  <c r="CH2343" i="12"/>
  <c r="CH2344" i="12"/>
  <c r="CH2345" i="12"/>
  <c r="CH2346" i="12"/>
  <c r="CH2347" i="12"/>
  <c r="CH2348" i="12"/>
  <c r="CH2349" i="12"/>
  <c r="CH2350" i="12"/>
  <c r="CH2351" i="12"/>
  <c r="CH2352" i="12"/>
  <c r="CH2353" i="12"/>
  <c r="CH2354" i="12"/>
  <c r="CH2355" i="12"/>
  <c r="CH2356" i="12"/>
  <c r="CH2357" i="12"/>
  <c r="CH2358" i="12"/>
  <c r="CH2359" i="12"/>
  <c r="CH2360" i="12"/>
  <c r="CH2361" i="12"/>
  <c r="CH2362" i="12"/>
  <c r="CH2363" i="12"/>
  <c r="CH2364" i="12"/>
  <c r="CH2365" i="12"/>
  <c r="CH2366" i="12"/>
  <c r="CH2367" i="12"/>
  <c r="CH2368" i="12"/>
  <c r="CH2369" i="12"/>
  <c r="CH2370" i="12"/>
  <c r="CH2371" i="12"/>
  <c r="CH2372" i="12"/>
  <c r="CH2373" i="12"/>
  <c r="CH2374" i="12"/>
  <c r="CH2375" i="12"/>
  <c r="CH2376" i="12"/>
  <c r="CH2377" i="12"/>
  <c r="CH2378" i="12"/>
  <c r="CH2379" i="12"/>
  <c r="CH2380" i="12"/>
  <c r="CH2381" i="12"/>
  <c r="CH2382" i="12"/>
  <c r="CH2383" i="12"/>
  <c r="CH2384" i="12"/>
  <c r="CH2385" i="12"/>
  <c r="CH2386" i="12"/>
  <c r="CH2387" i="12"/>
  <c r="CH2388" i="12"/>
  <c r="CH2389" i="12"/>
  <c r="CH2390" i="12"/>
  <c r="CH2391" i="12"/>
  <c r="CH2392" i="12"/>
  <c r="CH2393" i="12"/>
  <c r="CH2394" i="12"/>
  <c r="CH2395" i="12"/>
  <c r="CH2396" i="12"/>
  <c r="CH2397" i="12"/>
  <c r="CH2398" i="12"/>
  <c r="CH2399" i="12"/>
  <c r="CH2400" i="12"/>
  <c r="CH2401" i="12"/>
  <c r="CH2402" i="12"/>
  <c r="CH2403" i="12"/>
  <c r="CH2404" i="12"/>
  <c r="CH2405" i="12"/>
  <c r="CH2406" i="12"/>
  <c r="CH2407" i="12"/>
  <c r="CH2408" i="12"/>
  <c r="CH2409" i="12"/>
  <c r="CH2410" i="12"/>
  <c r="CH2411" i="12"/>
  <c r="CH2412" i="12"/>
  <c r="CH2413" i="12"/>
  <c r="CH2414" i="12"/>
  <c r="CH2415" i="12"/>
  <c r="CH2416" i="12"/>
  <c r="CH2417" i="12"/>
  <c r="CH2418" i="12"/>
  <c r="CH2419" i="12"/>
  <c r="CH2420" i="12"/>
  <c r="CH2421" i="12"/>
  <c r="CH2422" i="12"/>
  <c r="CH2423" i="12"/>
  <c r="CH2424" i="12"/>
  <c r="CH2425" i="12"/>
  <c r="CH2426" i="12"/>
  <c r="CH2427" i="12"/>
  <c r="CH2428" i="12"/>
  <c r="CH2429" i="12"/>
  <c r="CH2430" i="12"/>
  <c r="CH2431" i="12"/>
  <c r="CH2432" i="12"/>
  <c r="CH2433" i="12"/>
  <c r="CH2434" i="12"/>
  <c r="CH2435" i="12"/>
  <c r="CH2436" i="12"/>
  <c r="CH2437" i="12"/>
  <c r="CH2438" i="12"/>
  <c r="CH2439" i="12"/>
  <c r="CH2440" i="12"/>
  <c r="CH2441" i="12"/>
  <c r="CH2442" i="12"/>
  <c r="CH2443" i="12"/>
  <c r="CH2444" i="12"/>
  <c r="CH2445" i="12"/>
  <c r="CH2446" i="12"/>
  <c r="CH2447" i="12"/>
  <c r="CH2448" i="12"/>
  <c r="CH2449" i="12"/>
  <c r="CH2450" i="12"/>
  <c r="CH2451" i="12"/>
  <c r="CH2452" i="12"/>
  <c r="CH2453" i="12"/>
  <c r="CH2454" i="12"/>
  <c r="CH2455" i="12"/>
  <c r="CH2456" i="12"/>
  <c r="CH2457" i="12"/>
  <c r="CH2458" i="12"/>
  <c r="CH2459" i="12"/>
  <c r="CH2460" i="12"/>
  <c r="CH2461" i="12"/>
  <c r="CH2462" i="12"/>
  <c r="CH2463" i="12"/>
  <c r="CH2464" i="12"/>
  <c r="CH2465" i="12"/>
  <c r="CH2466" i="12"/>
  <c r="CH2467" i="12"/>
  <c r="CH2468" i="12"/>
  <c r="CH2469" i="12"/>
  <c r="CH2470" i="12"/>
  <c r="CH2471" i="12"/>
  <c r="CH2472" i="12"/>
  <c r="CH2473" i="12"/>
  <c r="CH2474" i="12"/>
  <c r="CH2475" i="12"/>
  <c r="CH2476" i="12"/>
  <c r="CH2477" i="12"/>
  <c r="CH2478" i="12"/>
  <c r="CH2479" i="12"/>
  <c r="CH2480" i="12"/>
  <c r="CH2481" i="12"/>
  <c r="CH2482" i="12"/>
  <c r="CH2483" i="12"/>
  <c r="CH2484" i="12"/>
  <c r="CH2485" i="12"/>
  <c r="CH2486" i="12"/>
  <c r="CH2487" i="12"/>
  <c r="CH2488" i="12"/>
  <c r="CH2489" i="12"/>
  <c r="CH2490" i="12"/>
  <c r="CH2491" i="12"/>
  <c r="CH2492" i="12"/>
  <c r="CH2493" i="12"/>
  <c r="CH2494" i="12"/>
  <c r="CH2495" i="12"/>
  <c r="CH2496" i="12"/>
  <c r="CH2497" i="12"/>
  <c r="CH2498" i="12"/>
  <c r="CH2499" i="12"/>
  <c r="CH2500" i="12"/>
  <c r="CH2501" i="12"/>
  <c r="CH2502" i="12"/>
  <c r="CH2503" i="12"/>
  <c r="CH2504" i="12"/>
  <c r="CH2505" i="12"/>
  <c r="CH2506" i="12"/>
  <c r="CH2507" i="12"/>
  <c r="CH2508" i="12"/>
  <c r="CH2509" i="12"/>
  <c r="CH2510" i="12"/>
  <c r="CH2511" i="12"/>
  <c r="CH2512" i="12"/>
  <c r="CH2513" i="12"/>
  <c r="CH2514" i="12"/>
  <c r="CH2515" i="12"/>
  <c r="CH2516" i="12"/>
  <c r="CH2517" i="12"/>
  <c r="CH2518" i="12"/>
  <c r="CH2519" i="12"/>
  <c r="CH2520" i="12"/>
  <c r="CH2521" i="12"/>
  <c r="CH2522" i="12"/>
  <c r="CH2523" i="12"/>
  <c r="CH2524" i="12"/>
  <c r="CH2525" i="12"/>
  <c r="CH2526" i="12"/>
  <c r="CH2527" i="12"/>
  <c r="CH2528" i="12"/>
  <c r="CH2529" i="12"/>
  <c r="CH2530" i="12"/>
  <c r="CH2531" i="12"/>
  <c r="CH2532" i="12"/>
  <c r="CH2533" i="12"/>
  <c r="CH2534" i="12"/>
  <c r="CH2535" i="12"/>
  <c r="CH2536" i="12"/>
  <c r="CH2537" i="12"/>
  <c r="CH2538" i="12"/>
  <c r="CH2539" i="12"/>
  <c r="CH2540" i="12"/>
  <c r="CH2541" i="12"/>
  <c r="CH2542" i="12"/>
  <c r="CH2543" i="12"/>
  <c r="CH2544" i="12"/>
  <c r="CH2545" i="12"/>
  <c r="CH2546" i="12"/>
  <c r="CH2547" i="12"/>
  <c r="CH2548" i="12"/>
  <c r="CH2549" i="12"/>
  <c r="CH2550" i="12"/>
  <c r="CH2551" i="12"/>
  <c r="CH2552" i="12"/>
  <c r="CH2553" i="12"/>
  <c r="CH2554" i="12"/>
  <c r="CH2555" i="12"/>
  <c r="CH2556" i="12"/>
  <c r="CH2557" i="12"/>
  <c r="CH2558" i="12"/>
  <c r="CH2559" i="12"/>
  <c r="CH2560" i="12"/>
  <c r="CH2561" i="12"/>
  <c r="CH2562" i="12"/>
  <c r="CH2563" i="12"/>
  <c r="CH2564" i="12"/>
  <c r="CH2565" i="12"/>
  <c r="CH2566" i="12"/>
  <c r="CH2567" i="12"/>
  <c r="CH2568" i="12"/>
  <c r="CH2569" i="12"/>
  <c r="CH2570" i="12"/>
  <c r="CH2571" i="12"/>
  <c r="CH2572" i="12"/>
  <c r="CH2573" i="12"/>
  <c r="CH2574" i="12"/>
  <c r="CH2575" i="12"/>
  <c r="CH2576" i="12"/>
  <c r="CH2577" i="12"/>
  <c r="CH2578" i="12"/>
  <c r="CH2579" i="12"/>
  <c r="CH2580" i="12"/>
  <c r="CH2581" i="12"/>
  <c r="CH2582" i="12"/>
  <c r="CH2583" i="12"/>
  <c r="CH2584" i="12"/>
  <c r="CH2585" i="12"/>
  <c r="CH2586" i="12"/>
  <c r="CH2587" i="12"/>
  <c r="CH2588" i="12"/>
  <c r="CH2589" i="12"/>
  <c r="CH2590" i="12"/>
  <c r="CH2591" i="12"/>
  <c r="CH2592" i="12"/>
  <c r="CH2593" i="12"/>
  <c r="CH2594" i="12"/>
  <c r="CH2595" i="12"/>
  <c r="CH2596" i="12"/>
  <c r="CH2597" i="12"/>
  <c r="CH2598" i="12"/>
  <c r="CH2599" i="12"/>
  <c r="CH2600" i="12"/>
  <c r="CH2601" i="12"/>
  <c r="CH2602" i="12"/>
  <c r="CH2603" i="12"/>
  <c r="CH2604" i="12"/>
  <c r="CH2605" i="12"/>
  <c r="CH2606" i="12"/>
  <c r="CH2607" i="12"/>
  <c r="CH2608" i="12"/>
  <c r="CH2609" i="12"/>
  <c r="CH2610" i="12"/>
  <c r="CH2611" i="12"/>
  <c r="CH2612" i="12"/>
  <c r="CH2613" i="12"/>
  <c r="CH2614" i="12"/>
  <c r="CH2615" i="12"/>
  <c r="CH2616" i="12"/>
  <c r="CH2617" i="12"/>
  <c r="CH2618" i="12"/>
  <c r="CH2619" i="12"/>
  <c r="CH2620" i="12"/>
  <c r="CH2621" i="12"/>
  <c r="CH2622" i="12"/>
  <c r="CH2623" i="12"/>
  <c r="CH2624" i="12"/>
  <c r="CH2625" i="12"/>
  <c r="CH2626" i="12"/>
  <c r="CH2627" i="12"/>
  <c r="CH2628" i="12"/>
  <c r="CH2629" i="12"/>
  <c r="CH2630" i="12"/>
  <c r="CH2631" i="12"/>
  <c r="CH2632" i="12"/>
  <c r="CH2633" i="12"/>
  <c r="CH2634" i="12"/>
  <c r="CH2635" i="12"/>
  <c r="CH2636" i="12"/>
  <c r="CH2637" i="12"/>
  <c r="CH2638" i="12"/>
  <c r="CH2639" i="12"/>
  <c r="CH2640" i="12"/>
  <c r="CH2641" i="12"/>
  <c r="CH2642" i="12"/>
  <c r="CH2643" i="12"/>
  <c r="CH2644" i="12"/>
  <c r="CH2645" i="12"/>
  <c r="CH2646" i="12"/>
  <c r="CH2647" i="12"/>
  <c r="CH2648" i="12"/>
  <c r="CH2649" i="12"/>
  <c r="CH2650" i="12"/>
  <c r="CH2651" i="12"/>
  <c r="CH2652" i="12"/>
  <c r="CH2653" i="12"/>
  <c r="CH2654" i="12"/>
  <c r="CH2655" i="12"/>
  <c r="CH2656" i="12"/>
  <c r="CH2657" i="12"/>
  <c r="CH2658" i="12"/>
  <c r="CH2659" i="12"/>
  <c r="CH2660" i="12"/>
  <c r="CH2661" i="12"/>
  <c r="CH2662" i="12"/>
  <c r="CH2663" i="12"/>
  <c r="CH2664" i="12"/>
  <c r="CH2665" i="12"/>
  <c r="CH2666" i="12"/>
  <c r="CH2667" i="12"/>
  <c r="CH2668" i="12"/>
  <c r="CH2669" i="12"/>
  <c r="CH2670" i="12"/>
  <c r="CH2671" i="12"/>
  <c r="CH2672" i="12"/>
  <c r="CH2673" i="12"/>
  <c r="CH2674" i="12"/>
  <c r="CH2675" i="12"/>
  <c r="CH2676" i="12"/>
  <c r="CH2677" i="12"/>
  <c r="CH2678" i="12"/>
  <c r="CH2679" i="12"/>
  <c r="CH2680" i="12"/>
  <c r="CH2681" i="12"/>
  <c r="CH2682" i="12"/>
  <c r="CH2683" i="12"/>
  <c r="CH2684" i="12"/>
  <c r="CH2685" i="12"/>
  <c r="CH2686" i="12"/>
  <c r="CH2687" i="12"/>
  <c r="CH2688" i="12"/>
  <c r="CH2689" i="12"/>
  <c r="CH2690" i="12"/>
  <c r="CH2691" i="12"/>
  <c r="CH2692" i="12"/>
  <c r="CH2693" i="12"/>
  <c r="CH2694" i="12"/>
  <c r="CH2695" i="12"/>
  <c r="CH2696" i="12"/>
  <c r="CH2697" i="12"/>
  <c r="CH2698" i="12"/>
  <c r="CH2699" i="12"/>
  <c r="CH2700" i="12"/>
  <c r="CH2701" i="12"/>
  <c r="CH2702" i="12"/>
  <c r="CH2703" i="12"/>
  <c r="CH2704" i="12"/>
  <c r="CH2705" i="12"/>
  <c r="CH2706" i="12"/>
  <c r="CH2707" i="12"/>
  <c r="CH2708" i="12"/>
  <c r="CH2709" i="12"/>
  <c r="CH2710" i="12"/>
  <c r="CH2711" i="12"/>
  <c r="CH2712" i="12"/>
  <c r="CH2713" i="12"/>
  <c r="CH2714" i="12"/>
  <c r="CH2715" i="12"/>
  <c r="CH2716" i="12"/>
  <c r="CH2717" i="12"/>
  <c r="CH2718" i="12"/>
  <c r="CH2719" i="12"/>
  <c r="CH2720" i="12"/>
  <c r="CH2721" i="12"/>
  <c r="CH2722" i="12"/>
  <c r="CH2723" i="12"/>
  <c r="CH2724" i="12"/>
  <c r="CH2725" i="12"/>
  <c r="CH2726" i="12"/>
  <c r="CH2727" i="12"/>
  <c r="CH2728" i="12"/>
  <c r="CH2729" i="12"/>
  <c r="CH2730" i="12"/>
  <c r="CH2731" i="12"/>
  <c r="CH2732" i="12"/>
  <c r="CH2733" i="12"/>
  <c r="CH2734" i="12"/>
  <c r="CH2735" i="12"/>
  <c r="CH2736" i="12"/>
  <c r="CH2737" i="12"/>
  <c r="CH2738" i="12"/>
  <c r="CH2739" i="12"/>
  <c r="CH2740" i="12"/>
  <c r="CH2741" i="12"/>
  <c r="CH2742" i="12"/>
  <c r="CH2743" i="12"/>
  <c r="CH2744" i="12"/>
  <c r="CH2745" i="12"/>
  <c r="CH2746" i="12"/>
  <c r="CH2747" i="12"/>
  <c r="CH2748" i="12"/>
  <c r="CH2749" i="12"/>
  <c r="CH2750" i="12"/>
  <c r="CH2751" i="12"/>
  <c r="CH2752" i="12"/>
  <c r="CH2753" i="12"/>
  <c r="CH2754" i="12"/>
  <c r="CH2755" i="12"/>
  <c r="CH2756" i="12"/>
  <c r="CH2757" i="12"/>
  <c r="CH2758" i="12"/>
  <c r="CH2759" i="12"/>
  <c r="CH2760" i="12"/>
  <c r="CH2761" i="12"/>
  <c r="CH2762" i="12"/>
  <c r="CH2763" i="12"/>
  <c r="CH2764" i="12"/>
  <c r="CH2765" i="12"/>
  <c r="CH2766" i="12"/>
  <c r="CH2767" i="12"/>
  <c r="CH2768" i="12"/>
  <c r="CH2769" i="12"/>
  <c r="CH2770" i="12"/>
  <c r="CH2771" i="12"/>
  <c r="CH2772" i="12"/>
  <c r="CH2773" i="12"/>
  <c r="CH2774" i="12"/>
  <c r="CH2775" i="12"/>
  <c r="CH2776" i="12"/>
  <c r="CH2777" i="12"/>
  <c r="CH2778" i="12"/>
  <c r="CH2779" i="12"/>
  <c r="CH2780" i="12"/>
  <c r="CH2781" i="12"/>
  <c r="CH2782" i="12"/>
  <c r="CH2783" i="12"/>
  <c r="CH2784" i="12"/>
  <c r="CH2785" i="12"/>
  <c r="CH2786" i="12"/>
  <c r="CH2787" i="12"/>
  <c r="CH2788" i="12"/>
  <c r="CH2789" i="12"/>
  <c r="CH2790" i="12"/>
  <c r="CH2791" i="12"/>
  <c r="CH2792" i="12"/>
  <c r="CH2793" i="12"/>
  <c r="CH2794" i="12"/>
  <c r="CH2795" i="12"/>
  <c r="CH2796" i="12"/>
  <c r="CH2797" i="12"/>
  <c r="CH2798" i="12"/>
  <c r="CH2799" i="12"/>
  <c r="CH2800" i="12"/>
  <c r="CH2801" i="12"/>
  <c r="CH2802" i="12"/>
  <c r="CH2803" i="12"/>
  <c r="CH2804" i="12"/>
  <c r="CH2805" i="12"/>
  <c r="CH2806" i="12"/>
  <c r="CH2807" i="12"/>
  <c r="CH2808" i="12"/>
  <c r="CH2809" i="12"/>
  <c r="CH2810" i="12"/>
  <c r="CH2811" i="12"/>
  <c r="CH2812" i="12"/>
  <c r="CH2813" i="12"/>
  <c r="CH2814" i="12"/>
  <c r="CH2815" i="12"/>
  <c r="CH2816" i="12"/>
  <c r="CH2817" i="12"/>
  <c r="CH2818" i="12"/>
  <c r="CH2819" i="12"/>
  <c r="CH2820" i="12"/>
  <c r="CH2821" i="12"/>
  <c r="CH2822" i="12"/>
  <c r="CH2823" i="12"/>
  <c r="CH2824" i="12"/>
  <c r="CH2825" i="12"/>
  <c r="CH2826" i="12"/>
  <c r="CH2827" i="12"/>
  <c r="CH2828" i="12"/>
  <c r="CH2829" i="12"/>
  <c r="CH2830" i="12"/>
  <c r="CH2831" i="12"/>
  <c r="CH2832" i="12"/>
  <c r="CH2833" i="12"/>
  <c r="CH2834" i="12"/>
  <c r="CH2835" i="12"/>
  <c r="CH2836" i="12"/>
  <c r="CH2837" i="12"/>
  <c r="CH2838" i="12"/>
  <c r="CH2839" i="12"/>
  <c r="CH2840" i="12"/>
  <c r="CH2841" i="12"/>
  <c r="CH2842" i="12"/>
  <c r="CH2843" i="12"/>
  <c r="CH2844" i="12"/>
  <c r="CH2845" i="12"/>
  <c r="CH2846" i="12"/>
  <c r="CH2847" i="12"/>
  <c r="CH2848" i="12"/>
  <c r="CH2849" i="12"/>
  <c r="CH2850" i="12"/>
  <c r="CH2851" i="12"/>
  <c r="CH2852" i="12"/>
  <c r="CH2853" i="12"/>
  <c r="CH2854" i="12"/>
  <c r="CH2855" i="12"/>
  <c r="CH2856" i="12"/>
  <c r="CH2857" i="12"/>
  <c r="CH2858" i="12"/>
  <c r="CH2859" i="12"/>
  <c r="CH2860" i="12"/>
  <c r="CH2861" i="12"/>
  <c r="CH2862" i="12"/>
  <c r="CH2863" i="12"/>
  <c r="CH2864" i="12"/>
  <c r="CH2865" i="12"/>
  <c r="CH2866" i="12"/>
  <c r="CH2867" i="12"/>
  <c r="CH2868" i="12"/>
  <c r="CH2869" i="12"/>
  <c r="CH2870" i="12"/>
  <c r="CH2871" i="12"/>
  <c r="CH2872" i="12"/>
  <c r="CH2873" i="12"/>
  <c r="CH2874" i="12"/>
  <c r="CH2875" i="12"/>
  <c r="CH2876" i="12"/>
  <c r="CH2877" i="12"/>
  <c r="CH2878" i="12"/>
  <c r="CH2879" i="12"/>
  <c r="CH2880" i="12"/>
  <c r="CH2881" i="12"/>
  <c r="CH2882" i="12"/>
  <c r="CH2883" i="12"/>
  <c r="CH2884" i="12"/>
  <c r="CH2885" i="12"/>
  <c r="CH2886" i="12"/>
  <c r="CH2887" i="12"/>
  <c r="CH2888" i="12"/>
  <c r="CH2889" i="12"/>
  <c r="CH2890" i="12"/>
  <c r="CH2891" i="12"/>
  <c r="CH2892" i="12"/>
  <c r="CH2893" i="12"/>
  <c r="CH2894" i="12"/>
  <c r="CH2895" i="12"/>
  <c r="CH2896" i="12"/>
  <c r="CH2897" i="12"/>
  <c r="CH2898" i="12"/>
  <c r="CH2899" i="12"/>
  <c r="CH2900" i="12"/>
  <c r="CH2901" i="12"/>
  <c r="CH2902" i="12"/>
  <c r="CH2903" i="12"/>
  <c r="CH2904" i="12"/>
  <c r="CH2905" i="12"/>
  <c r="CH2906" i="12"/>
  <c r="CH2907" i="12"/>
  <c r="CH2908" i="12"/>
  <c r="CH2909" i="12"/>
  <c r="CH2910" i="12"/>
  <c r="CH2911" i="12"/>
  <c r="CH2912" i="12"/>
  <c r="CH2913" i="12"/>
  <c r="CH2914" i="12"/>
  <c r="CH2915" i="12"/>
  <c r="CH2916" i="12"/>
  <c r="CH2917" i="12"/>
  <c r="CH2918" i="12"/>
  <c r="CH2919" i="12"/>
  <c r="CH2920" i="12"/>
  <c r="CH2921" i="12"/>
  <c r="CH2922" i="12"/>
  <c r="CH2923" i="12"/>
  <c r="CH2924" i="12"/>
  <c r="CH2925" i="12"/>
  <c r="CH2926" i="12"/>
  <c r="CH2927" i="12"/>
  <c r="CH2928" i="12"/>
  <c r="CH2929" i="12"/>
  <c r="CH2930" i="12"/>
  <c r="CH2931" i="12"/>
  <c r="CH2932" i="12"/>
  <c r="CH2933" i="12"/>
  <c r="CH2934" i="12"/>
  <c r="CH2935" i="12"/>
  <c r="CH2936" i="12"/>
  <c r="CH2937" i="12"/>
  <c r="CH2938" i="12"/>
  <c r="CH2939" i="12"/>
  <c r="CH2940" i="12"/>
  <c r="CH2941" i="12"/>
  <c r="CH2942" i="12"/>
  <c r="CH2943" i="12"/>
  <c r="CH2944" i="12"/>
  <c r="CH2945" i="12"/>
  <c r="CH2946" i="12"/>
  <c r="CH2947" i="12"/>
  <c r="CH2948" i="12"/>
  <c r="CH2949" i="12"/>
  <c r="CH2950" i="12"/>
  <c r="CH2951" i="12"/>
  <c r="CH2952" i="12"/>
  <c r="CH2953" i="12"/>
  <c r="CH2954" i="12"/>
  <c r="CH2955" i="12"/>
  <c r="CH2956" i="12"/>
  <c r="CH2957" i="12"/>
  <c r="CH2958" i="12"/>
  <c r="CH2959" i="12"/>
  <c r="CH2960" i="12"/>
  <c r="CH2961" i="12"/>
  <c r="CH2962" i="12"/>
  <c r="CH2963" i="12"/>
  <c r="CH2964" i="12"/>
  <c r="CH2965" i="12"/>
  <c r="CH2966" i="12"/>
  <c r="CH2967" i="12"/>
  <c r="CH2968" i="12"/>
  <c r="CH2969" i="12"/>
  <c r="CH2970" i="12"/>
  <c r="CH2971" i="12"/>
  <c r="CH2972" i="12"/>
  <c r="CH2973" i="12"/>
  <c r="CH2974" i="12"/>
  <c r="CH2975" i="12"/>
  <c r="CH2976" i="12"/>
  <c r="CH2977" i="12"/>
  <c r="CH2978" i="12"/>
  <c r="CH2979" i="12"/>
  <c r="CH2980" i="12"/>
  <c r="CH2981" i="12"/>
  <c r="CH2982" i="12"/>
  <c r="CH2983" i="12"/>
  <c r="CH2984" i="12"/>
  <c r="CH2985" i="12"/>
  <c r="CH2986" i="12"/>
  <c r="CH2987" i="12"/>
  <c r="CH2988" i="12"/>
  <c r="CH2989" i="12"/>
  <c r="CH2990" i="12"/>
  <c r="CH2991" i="12"/>
  <c r="CH2992" i="12"/>
  <c r="CH2993" i="12"/>
  <c r="CH2994" i="12"/>
  <c r="CH2995" i="12"/>
  <c r="CH2996" i="12"/>
  <c r="CH2997" i="12"/>
  <c r="CH2998" i="12"/>
  <c r="CH2999" i="12"/>
  <c r="CH3000" i="12"/>
  <c r="CH3001" i="12"/>
  <c r="CH3002" i="12"/>
  <c r="CH3003" i="12"/>
  <c r="CH3004" i="12"/>
  <c r="CH3005" i="12"/>
  <c r="CH3006" i="12"/>
  <c r="CH3007" i="12"/>
  <c r="CH3008" i="12"/>
  <c r="CH3009" i="12"/>
  <c r="CH3010" i="12"/>
  <c r="CH3011" i="12"/>
  <c r="CH3012" i="12"/>
  <c r="CH3013" i="12"/>
  <c r="CH3014" i="12"/>
  <c r="CH3015" i="12"/>
  <c r="CH3016" i="12"/>
  <c r="CH3017" i="12"/>
  <c r="CH3018" i="12"/>
  <c r="CH3019" i="12"/>
  <c r="CH3020" i="12"/>
  <c r="CH3021" i="12"/>
  <c r="CH3022" i="12"/>
  <c r="CH3023" i="12"/>
  <c r="CH3024" i="12"/>
  <c r="CH3025" i="12"/>
  <c r="CH3026" i="12"/>
  <c r="CH3027" i="12"/>
  <c r="CH3028" i="12"/>
  <c r="CH3029" i="12"/>
  <c r="CH3030" i="12"/>
  <c r="CH3031" i="12"/>
  <c r="CH3032" i="12"/>
  <c r="CH3033" i="12"/>
  <c r="CH3034" i="12"/>
  <c r="CH3035" i="12"/>
  <c r="CH3036" i="12"/>
  <c r="CH3037" i="12"/>
  <c r="CH3038" i="12"/>
  <c r="CH3039" i="12"/>
  <c r="CH3040" i="12"/>
  <c r="CH3041" i="12"/>
  <c r="CH3042" i="12"/>
  <c r="CH3043" i="12"/>
  <c r="CH3044" i="12"/>
  <c r="CH3045" i="12"/>
  <c r="CH3046" i="12"/>
  <c r="CH3047" i="12"/>
  <c r="CH3048" i="12"/>
  <c r="CH3049" i="12"/>
  <c r="CH3050" i="12"/>
  <c r="CH3051" i="12"/>
  <c r="CH3052" i="12"/>
  <c r="CH3053" i="12"/>
  <c r="CH3054" i="12"/>
  <c r="CH3055" i="12"/>
  <c r="CH3056" i="12"/>
  <c r="CH3057" i="12"/>
  <c r="CH3058" i="12"/>
  <c r="CH3059" i="12"/>
  <c r="CH3060" i="12"/>
  <c r="CH3061" i="12"/>
  <c r="CH3062" i="12"/>
  <c r="CH3063" i="12"/>
  <c r="CH3064" i="12"/>
  <c r="CH3065" i="12"/>
  <c r="CH3066" i="12"/>
  <c r="CH3067" i="12"/>
  <c r="CH3068" i="12"/>
  <c r="CH3069" i="12"/>
  <c r="CH3070" i="12"/>
  <c r="CH3071" i="12"/>
  <c r="CH3072" i="12"/>
  <c r="CH3073" i="12"/>
  <c r="CH3074" i="12"/>
  <c r="CH3075" i="12"/>
  <c r="CH3076" i="12"/>
  <c r="CH3077" i="12"/>
  <c r="CH3078" i="12"/>
  <c r="CH3079" i="12"/>
  <c r="CH3080" i="12"/>
  <c r="CH3081" i="12"/>
  <c r="CH3082" i="12"/>
  <c r="CH3083" i="12"/>
  <c r="CH3084" i="12"/>
  <c r="CH3085" i="12"/>
  <c r="CH3086" i="12"/>
  <c r="CH3087" i="12"/>
  <c r="CH3088" i="12"/>
  <c r="CH3089" i="12"/>
  <c r="CH3090" i="12"/>
  <c r="CH3091" i="12"/>
  <c r="CH3092" i="12"/>
  <c r="CH3093" i="12"/>
  <c r="CH3094" i="12"/>
  <c r="CH3095" i="12"/>
  <c r="CH3096" i="12"/>
  <c r="CH3097" i="12"/>
  <c r="CH3098" i="12"/>
  <c r="CH3099" i="12"/>
  <c r="CH3100" i="12"/>
  <c r="CH3101" i="12"/>
  <c r="CH3102" i="12"/>
  <c r="CH3103" i="12"/>
  <c r="CH3104" i="12"/>
  <c r="CH3105" i="12"/>
  <c r="CH3106" i="12"/>
  <c r="CH3107" i="12"/>
  <c r="CH3108" i="12"/>
  <c r="CH3109" i="12"/>
  <c r="CH3110" i="12"/>
  <c r="CH3111" i="12"/>
  <c r="CH3112" i="12"/>
  <c r="CH3113" i="12"/>
  <c r="CH3114" i="12"/>
  <c r="CH3115" i="12"/>
  <c r="CH3116" i="12"/>
  <c r="CH3117" i="12"/>
  <c r="CH3118" i="12"/>
  <c r="CH3119" i="12"/>
  <c r="CH3120" i="12"/>
  <c r="CH3121" i="12"/>
  <c r="CH3122" i="12"/>
  <c r="CH3123" i="12"/>
  <c r="CH3124" i="12"/>
  <c r="CH3125" i="12"/>
  <c r="CH3126" i="12"/>
  <c r="CH3127" i="12"/>
  <c r="CH3128" i="12"/>
  <c r="CH3129" i="12"/>
  <c r="CH3130" i="12"/>
  <c r="CH3131" i="12"/>
  <c r="CH3132" i="12"/>
  <c r="CH3133" i="12"/>
  <c r="CH3134" i="12"/>
  <c r="CH3135" i="12"/>
  <c r="CH3136" i="12"/>
  <c r="CH3137" i="12"/>
  <c r="CH3138" i="12"/>
  <c r="CH3139" i="12"/>
  <c r="CH3140" i="12"/>
  <c r="CH3141" i="12"/>
  <c r="CH3142" i="12"/>
  <c r="CH3143" i="12"/>
  <c r="CH3144" i="12"/>
  <c r="CH3145" i="12"/>
  <c r="CH3146" i="12"/>
  <c r="CH3147" i="12"/>
  <c r="CH3148" i="12"/>
  <c r="CH3149" i="12"/>
  <c r="CH3150" i="12"/>
  <c r="CH3151" i="12"/>
  <c r="CH3152" i="12"/>
  <c r="CH3153" i="12"/>
  <c r="CH3154" i="12"/>
  <c r="CH3155" i="12"/>
  <c r="CH3156" i="12"/>
  <c r="CH3157" i="12"/>
  <c r="CH3158" i="12"/>
  <c r="CH3159" i="12"/>
  <c r="CH3160" i="12"/>
  <c r="CH3161" i="12"/>
  <c r="CH3162" i="12"/>
  <c r="CH3163" i="12"/>
  <c r="CH3164" i="12"/>
  <c r="CH3165" i="12"/>
  <c r="CH3166" i="12"/>
  <c r="CH3167" i="12"/>
  <c r="CH3168" i="12"/>
  <c r="CH3169" i="12"/>
  <c r="CH3170" i="12"/>
  <c r="CH3171" i="12"/>
  <c r="CH3172" i="12"/>
  <c r="CH3173" i="12"/>
  <c r="CH3174" i="12"/>
  <c r="CH3175" i="12"/>
  <c r="CH3176" i="12"/>
  <c r="CH3177" i="12"/>
  <c r="CH3178" i="12"/>
  <c r="CH3179" i="12"/>
  <c r="CH3180" i="12"/>
  <c r="CH3181" i="12"/>
  <c r="CH3182" i="12"/>
  <c r="CH3183" i="12"/>
  <c r="CH3184" i="12"/>
  <c r="CH3185" i="12"/>
  <c r="CH3186" i="12"/>
  <c r="CH3187" i="12"/>
  <c r="CH3188" i="12"/>
  <c r="CH3189" i="12"/>
  <c r="CH3190" i="12"/>
  <c r="CH3191" i="12"/>
  <c r="CH3192" i="12"/>
  <c r="CH3193" i="12"/>
  <c r="CH3194" i="12"/>
  <c r="CH3195" i="12"/>
  <c r="CH3196" i="12"/>
  <c r="CH3197" i="12"/>
  <c r="CH3198" i="12"/>
  <c r="CH3199" i="12"/>
  <c r="CH3200" i="12"/>
  <c r="CH3201" i="12"/>
  <c r="CH3202" i="12"/>
  <c r="CH3203" i="12"/>
  <c r="CH3204" i="12"/>
  <c r="CH3205" i="12"/>
  <c r="CH3206" i="12"/>
  <c r="CH3207" i="12"/>
  <c r="CH3208" i="12"/>
  <c r="CH3209" i="12"/>
  <c r="CH3210" i="12"/>
  <c r="CH3211" i="12"/>
  <c r="CH3212" i="12"/>
  <c r="CH3213" i="12"/>
  <c r="CH3214" i="12"/>
  <c r="CH3215" i="12"/>
  <c r="CH3216" i="12"/>
  <c r="CH3217" i="12"/>
  <c r="CH3218" i="12"/>
  <c r="CH3219" i="12"/>
  <c r="CH3220" i="12"/>
  <c r="CH3221" i="12"/>
  <c r="CH3222" i="12"/>
  <c r="CH3223" i="12"/>
  <c r="CH3224" i="12"/>
  <c r="CH3225" i="12"/>
  <c r="CH3226" i="12"/>
  <c r="CH3227" i="12"/>
  <c r="CH3228" i="12"/>
  <c r="CH3229" i="12"/>
  <c r="CH3230" i="12"/>
  <c r="CH3231" i="12"/>
  <c r="CH3232" i="12"/>
  <c r="CH3233" i="12"/>
  <c r="CH3234" i="12"/>
  <c r="CH3235" i="12"/>
  <c r="CH3236" i="12"/>
  <c r="CH3237" i="12"/>
  <c r="CH3238" i="12"/>
  <c r="CH3239" i="12"/>
  <c r="CH3240" i="12"/>
  <c r="CH3241" i="12"/>
  <c r="CH3242" i="12"/>
  <c r="CH3243" i="12"/>
  <c r="CH3244" i="12"/>
  <c r="CH3245" i="12"/>
  <c r="CH3246" i="12"/>
  <c r="CH3247" i="12"/>
  <c r="CH3248" i="12"/>
  <c r="CH3249" i="12"/>
  <c r="CH3250" i="12"/>
  <c r="CH3251" i="12"/>
  <c r="CH3252" i="12"/>
  <c r="CH3253" i="12"/>
  <c r="CH3254" i="12"/>
  <c r="CH3255" i="12"/>
  <c r="CH3256" i="12"/>
  <c r="CH3257" i="12"/>
  <c r="CH3258" i="12"/>
  <c r="CH3259" i="12"/>
  <c r="CH3260" i="12"/>
  <c r="CH3261" i="12"/>
  <c r="CH3262" i="12"/>
  <c r="CH3263" i="12"/>
  <c r="CH3264" i="12"/>
  <c r="CH3265" i="12"/>
  <c r="CH3266" i="12"/>
  <c r="CH3267" i="12"/>
  <c r="CH3268" i="12"/>
  <c r="CH3269" i="12"/>
  <c r="CH3270" i="12"/>
  <c r="CH3271" i="12"/>
  <c r="CH3272" i="12"/>
  <c r="CH3273" i="12"/>
  <c r="CH3274" i="12"/>
  <c r="CH3275" i="12"/>
  <c r="CH3276" i="12"/>
  <c r="CH3277" i="12"/>
  <c r="CH3278" i="12"/>
  <c r="CH3279" i="12"/>
  <c r="CH3280" i="12"/>
  <c r="CH3281" i="12"/>
  <c r="CH3282" i="12"/>
  <c r="CH3283" i="12"/>
  <c r="CH3284" i="12"/>
  <c r="CH3285" i="12"/>
  <c r="CH3286" i="12"/>
  <c r="CH3287" i="12"/>
  <c r="CH3288" i="12"/>
  <c r="CH3289" i="12"/>
  <c r="CH3290" i="12"/>
  <c r="CH3291" i="12"/>
  <c r="CH3292" i="12"/>
  <c r="CH3293" i="12"/>
  <c r="CH3294" i="12"/>
  <c r="CH3295" i="12"/>
  <c r="CH3296" i="12"/>
  <c r="CH3297" i="12"/>
  <c r="CH3298" i="12"/>
  <c r="CH3299" i="12"/>
  <c r="CH3300" i="12"/>
  <c r="CH3301" i="12"/>
  <c r="CH3302" i="12"/>
  <c r="CH3303" i="12"/>
  <c r="CH3304" i="12"/>
  <c r="CH3305" i="12"/>
  <c r="CH3306" i="12"/>
  <c r="CH3307" i="12"/>
  <c r="CH3308" i="12"/>
  <c r="CH3309" i="12"/>
  <c r="CH3310" i="12"/>
  <c r="CH3311" i="12"/>
  <c r="CH3312" i="12"/>
  <c r="CH3313" i="12"/>
  <c r="CH3314" i="12"/>
  <c r="CH3315" i="12"/>
  <c r="CH3316" i="12"/>
  <c r="CH3317" i="12"/>
  <c r="CH3318" i="12"/>
  <c r="CH3319" i="12"/>
  <c r="CH3320" i="12"/>
  <c r="CH3321" i="12"/>
  <c r="CH3322" i="12"/>
  <c r="CH3323" i="12"/>
  <c r="CH3324" i="12"/>
  <c r="CH3325" i="12"/>
  <c r="CH3326" i="12"/>
  <c r="CH3327" i="12"/>
  <c r="CH3328" i="12"/>
  <c r="CH3329" i="12"/>
  <c r="CH3330" i="12"/>
  <c r="CH3331" i="12"/>
  <c r="CH3332" i="12"/>
  <c r="CH3333" i="12"/>
  <c r="CH3334" i="12"/>
  <c r="CH3335" i="12"/>
  <c r="CH3336" i="12"/>
  <c r="CH3337" i="12"/>
  <c r="CH3338" i="12"/>
  <c r="CH3339" i="12"/>
  <c r="CH3340" i="12"/>
  <c r="CH3341" i="12"/>
  <c r="CH3342" i="12"/>
  <c r="CH3343" i="12"/>
  <c r="CH3344" i="12"/>
  <c r="CH3345" i="12"/>
  <c r="CH3346" i="12"/>
  <c r="CH3347" i="12"/>
  <c r="CH3348" i="12"/>
  <c r="CH3349" i="12"/>
  <c r="CH3350" i="12"/>
  <c r="CH3351" i="12"/>
  <c r="CH3352" i="12"/>
  <c r="CH3353" i="12"/>
  <c r="CH3354" i="12"/>
  <c r="CH3355" i="12"/>
  <c r="CH3356" i="12"/>
  <c r="CH3357" i="12"/>
  <c r="CH3358" i="12"/>
  <c r="CH3359" i="12"/>
  <c r="CH3360" i="12"/>
  <c r="CH3361" i="12"/>
  <c r="CH3362" i="12"/>
  <c r="CH3363" i="12"/>
  <c r="CH3364" i="12"/>
  <c r="CH3365" i="12"/>
  <c r="CH3366" i="12"/>
  <c r="CH3367" i="12"/>
  <c r="CH3368" i="12"/>
  <c r="CH3369" i="12"/>
  <c r="CH3370" i="12"/>
  <c r="CH3371" i="12"/>
  <c r="CH3372" i="12"/>
  <c r="CH3373" i="12"/>
  <c r="CH3374" i="12"/>
  <c r="CH3375" i="12"/>
  <c r="CH3376" i="12"/>
  <c r="CH3377" i="12"/>
  <c r="CH3378" i="12"/>
  <c r="CH3379" i="12"/>
  <c r="CH3380" i="12"/>
  <c r="CH3381" i="12"/>
  <c r="CH3382" i="12"/>
  <c r="CH3383" i="12"/>
  <c r="CH3384" i="12"/>
  <c r="CH3385" i="12"/>
  <c r="CH3386" i="12"/>
  <c r="CH3387" i="12"/>
  <c r="CH3388" i="12"/>
  <c r="CH3389" i="12"/>
  <c r="CH3390" i="12"/>
  <c r="CH3391" i="12"/>
  <c r="CH3392" i="12"/>
  <c r="CH3393" i="12"/>
  <c r="CH3394" i="12"/>
  <c r="CH3395" i="12"/>
  <c r="CH3396" i="12"/>
  <c r="CH3397" i="12"/>
  <c r="CH3398" i="12"/>
  <c r="CH3399" i="12"/>
  <c r="CH3400" i="12"/>
  <c r="CH3401" i="12"/>
  <c r="CH3402" i="12"/>
  <c r="CH3403" i="12"/>
  <c r="CH3404" i="12"/>
  <c r="CH3405" i="12"/>
  <c r="CH3406" i="12"/>
  <c r="CH3407" i="12"/>
  <c r="CH3408" i="12"/>
  <c r="CH3409" i="12"/>
  <c r="CH3410" i="12"/>
  <c r="CH3411" i="12"/>
  <c r="CH3412" i="12"/>
  <c r="CH3413" i="12"/>
  <c r="CH3414" i="12"/>
  <c r="CH3415" i="12"/>
  <c r="CH3416" i="12"/>
  <c r="CH3417" i="12"/>
  <c r="CH3418" i="12"/>
  <c r="CH3419" i="12"/>
  <c r="CH3420" i="12"/>
  <c r="CH3421" i="12"/>
  <c r="CH3422" i="12"/>
  <c r="CH3423" i="12"/>
  <c r="CH3424" i="12"/>
  <c r="CH3425" i="12"/>
  <c r="CH3426" i="12"/>
  <c r="CH3427" i="12"/>
  <c r="CH3428" i="12"/>
  <c r="CH3429" i="12"/>
  <c r="CH3430" i="12"/>
  <c r="CH3431" i="12"/>
  <c r="CH3432" i="12"/>
  <c r="CH3433" i="12"/>
  <c r="CH3434" i="12"/>
  <c r="CH3435" i="12"/>
  <c r="CH3436" i="12"/>
  <c r="CH3437" i="12"/>
  <c r="CH3438" i="12"/>
  <c r="CH3439" i="12"/>
  <c r="CH3440" i="12"/>
  <c r="CH3441" i="12"/>
  <c r="CH3442" i="12"/>
  <c r="CH3443" i="12"/>
  <c r="CH3444" i="12"/>
  <c r="CH3445" i="12"/>
  <c r="CH3446" i="12"/>
  <c r="CH3447" i="12"/>
  <c r="CH3448" i="12"/>
  <c r="CH3449" i="12"/>
  <c r="CH3450" i="12"/>
  <c r="CH3451" i="12"/>
  <c r="CH3452" i="12"/>
  <c r="CH3453" i="12"/>
  <c r="CH3454" i="12"/>
  <c r="CH3455" i="12"/>
  <c r="CH3456" i="12"/>
  <c r="CH3457" i="12"/>
  <c r="CH3458" i="12"/>
  <c r="CH3459" i="12"/>
  <c r="CH3460" i="12"/>
  <c r="CH3461" i="12"/>
  <c r="CH3462" i="12"/>
  <c r="CH3463" i="12"/>
  <c r="CH3464" i="12"/>
  <c r="CH3465" i="12"/>
  <c r="CH3466" i="12"/>
  <c r="CH3467" i="12"/>
  <c r="CH3468" i="12"/>
  <c r="CH3469" i="12"/>
  <c r="CH3470" i="12"/>
  <c r="CH3471" i="12"/>
  <c r="CH3472" i="12"/>
  <c r="CH3473" i="12"/>
  <c r="CH3474" i="12"/>
  <c r="CH3475" i="12"/>
  <c r="CH3476" i="12"/>
  <c r="CH3477" i="12"/>
  <c r="CH3478" i="12"/>
  <c r="CH3479" i="12"/>
  <c r="CH3480" i="12"/>
  <c r="CH3481" i="12"/>
  <c r="CH3482" i="12"/>
  <c r="CH3483" i="12"/>
  <c r="CH3484" i="12"/>
  <c r="CH3485" i="12"/>
  <c r="CH3486" i="12"/>
  <c r="CH3487" i="12"/>
  <c r="CH3488" i="12"/>
  <c r="CH3489" i="12"/>
  <c r="CH3490" i="12"/>
  <c r="CH3491" i="12"/>
  <c r="CH3492" i="12"/>
  <c r="CH3493" i="12"/>
  <c r="CH3494" i="12"/>
  <c r="CH3495" i="12"/>
  <c r="CH3496" i="12"/>
  <c r="CH3497" i="12"/>
  <c r="CH3498" i="12"/>
  <c r="CH3499" i="12"/>
  <c r="CH3500" i="12"/>
  <c r="CH3501" i="12"/>
  <c r="CH3502" i="12"/>
  <c r="CH3503" i="12"/>
  <c r="CH3504" i="12"/>
  <c r="CH3505" i="12"/>
  <c r="CH3506" i="12"/>
  <c r="CH3507" i="12"/>
  <c r="CH3508" i="12"/>
  <c r="CH3509" i="12"/>
  <c r="CH3510" i="12"/>
  <c r="CH3511" i="12"/>
  <c r="CH3512" i="12"/>
  <c r="CH3513" i="12"/>
  <c r="CH3514" i="12"/>
  <c r="CH3515" i="12"/>
  <c r="CH3516" i="12"/>
  <c r="CH3517" i="12"/>
  <c r="CH3518" i="12"/>
  <c r="CH3519" i="12"/>
  <c r="CH3520" i="12"/>
  <c r="CH3521" i="12"/>
  <c r="CH3522" i="12"/>
  <c r="CH3523" i="12"/>
  <c r="CH3524" i="12"/>
  <c r="CH3525" i="12"/>
  <c r="CH3526" i="12"/>
  <c r="CH3527" i="12"/>
  <c r="CH3528" i="12"/>
  <c r="CH3529" i="12"/>
  <c r="CH3530" i="12"/>
  <c r="CH3531" i="12"/>
  <c r="CH3532" i="12"/>
  <c r="CH3533" i="12"/>
  <c r="CH3534" i="12"/>
  <c r="CH3535" i="12"/>
  <c r="CH3536" i="12"/>
  <c r="CH3537" i="12"/>
  <c r="CH3538" i="12"/>
  <c r="CH3539" i="12"/>
  <c r="CH3540" i="12"/>
  <c r="CH3541" i="12"/>
  <c r="CH3542" i="12"/>
  <c r="CH3543" i="12"/>
  <c r="CH3544" i="12"/>
  <c r="CH3545" i="12"/>
  <c r="CH3546" i="12"/>
  <c r="CH3547" i="12"/>
  <c r="CH3548" i="12"/>
  <c r="CH3549" i="12"/>
  <c r="CH3550" i="12"/>
  <c r="CH3551" i="12"/>
  <c r="CH3552" i="12"/>
  <c r="CH3553" i="12"/>
  <c r="CH3554" i="12"/>
  <c r="CH3555" i="12"/>
  <c r="CH3556" i="12"/>
  <c r="CH3557" i="12"/>
  <c r="CH3558" i="12"/>
  <c r="CH3559" i="12"/>
  <c r="CH3560" i="12"/>
  <c r="CH3561" i="12"/>
  <c r="CH3562" i="12"/>
  <c r="CH3563" i="12"/>
  <c r="CH3564" i="12"/>
  <c r="CH3565" i="12"/>
  <c r="CH3566" i="12"/>
  <c r="CH3567" i="12"/>
  <c r="CH3568" i="12"/>
  <c r="CH3569" i="12"/>
  <c r="CH3570" i="12"/>
  <c r="CH3571" i="12"/>
  <c r="CH3572" i="12"/>
  <c r="CH3573" i="12"/>
  <c r="CH3574" i="12"/>
  <c r="CH3575" i="12"/>
  <c r="CH3576" i="12"/>
  <c r="CH3577" i="12"/>
  <c r="CH3578" i="12"/>
  <c r="CH3579" i="12"/>
  <c r="CH3580" i="12"/>
  <c r="CH3581" i="12"/>
  <c r="CH3582" i="12"/>
  <c r="CH3583" i="12"/>
  <c r="CH3584" i="12"/>
  <c r="CH3585" i="12"/>
  <c r="CH3586" i="12"/>
  <c r="CH3587" i="12"/>
  <c r="CH3588" i="12"/>
  <c r="CH3589" i="12"/>
  <c r="CH3590" i="12"/>
  <c r="CH3591" i="12"/>
  <c r="CH3592" i="12"/>
  <c r="CH3593" i="12"/>
  <c r="CH3594" i="12"/>
  <c r="CH3595" i="12"/>
  <c r="CH3596" i="12"/>
  <c r="CH3597" i="12"/>
  <c r="CH3598" i="12"/>
  <c r="CH3599" i="12"/>
  <c r="CH3600" i="12"/>
  <c r="CH3601" i="12"/>
  <c r="CH3602" i="12"/>
  <c r="CH3603" i="12"/>
  <c r="CH3604" i="12"/>
  <c r="CH3605" i="12"/>
  <c r="CH3606" i="12"/>
  <c r="CH3607" i="12"/>
  <c r="CH3608" i="12"/>
  <c r="CH3609" i="12"/>
  <c r="CH3610" i="12"/>
  <c r="CH3611" i="12"/>
  <c r="CH3612" i="12"/>
  <c r="CH3613" i="12"/>
  <c r="CH3614" i="12"/>
  <c r="CH3615" i="12"/>
  <c r="CH3616" i="12"/>
  <c r="CH3617" i="12"/>
  <c r="CH3618" i="12"/>
  <c r="CH3619" i="12"/>
  <c r="CH3620" i="12"/>
  <c r="CH3621" i="12"/>
  <c r="CH3622" i="12"/>
  <c r="CH3623" i="12"/>
  <c r="CH3624" i="12"/>
  <c r="CH3625" i="12"/>
  <c r="CH3626" i="12"/>
  <c r="CH3627" i="12"/>
  <c r="CH3628" i="12"/>
  <c r="CH3629" i="12"/>
  <c r="CH3630" i="12"/>
  <c r="CH3631" i="12"/>
  <c r="CH3632" i="12"/>
  <c r="CH3633" i="12"/>
  <c r="CH3634" i="12"/>
  <c r="CH3635" i="12"/>
  <c r="CH3636" i="12"/>
  <c r="CH3637" i="12"/>
  <c r="CH3638" i="12"/>
  <c r="CH3639" i="12"/>
  <c r="CH3640" i="12"/>
  <c r="CH3641" i="12"/>
  <c r="CH3642" i="12"/>
  <c r="CH3643" i="12"/>
  <c r="CH3644" i="12"/>
  <c r="CH3645" i="12"/>
  <c r="CH3646" i="12"/>
  <c r="CH3647" i="12"/>
  <c r="CH3648" i="12"/>
  <c r="CH3649" i="12"/>
  <c r="CH3650" i="12"/>
  <c r="CH3651" i="12"/>
  <c r="CH3652" i="12"/>
  <c r="CH3653" i="12"/>
  <c r="CH3654" i="12"/>
  <c r="CH3655" i="12"/>
  <c r="CH3656" i="12"/>
  <c r="CH3657" i="12"/>
  <c r="CH3658" i="12"/>
  <c r="CH3659" i="12"/>
  <c r="CH3660" i="12"/>
  <c r="CH3661" i="12"/>
  <c r="CH3662" i="12"/>
  <c r="CH3663" i="12"/>
  <c r="CH3664" i="12"/>
  <c r="CH3665" i="12"/>
  <c r="CH3666" i="12"/>
  <c r="CH3667" i="12"/>
  <c r="CH3668" i="12"/>
  <c r="CH3669" i="12"/>
  <c r="CH3670" i="12"/>
  <c r="CH3671" i="12"/>
  <c r="CH3672" i="12"/>
  <c r="CH3673" i="12"/>
  <c r="CH3674" i="12"/>
  <c r="CH3675" i="12"/>
  <c r="CH3676" i="12"/>
  <c r="CH3677" i="12"/>
  <c r="CH3678" i="12"/>
  <c r="CH3679" i="12"/>
  <c r="CH3680" i="12"/>
  <c r="CH3681" i="12"/>
  <c r="CH3682" i="12"/>
  <c r="CH3683" i="12"/>
  <c r="CH3684" i="12"/>
  <c r="CH3685" i="12"/>
  <c r="CH3686" i="12"/>
  <c r="CH3687" i="12"/>
  <c r="CH3688" i="12"/>
  <c r="CH3689" i="12"/>
  <c r="CH3690" i="12"/>
  <c r="CH3691" i="12"/>
  <c r="CH3692" i="12"/>
  <c r="CH3693" i="12"/>
  <c r="CH3694" i="12"/>
  <c r="CH3695" i="12"/>
  <c r="CH3696" i="12"/>
  <c r="CH3697" i="12"/>
  <c r="CH3698" i="12"/>
  <c r="CH3699" i="12"/>
  <c r="CH3700" i="12"/>
  <c r="CH3701" i="12"/>
  <c r="CH3702" i="12"/>
  <c r="CH3703" i="12"/>
  <c r="CH3704" i="12"/>
  <c r="CH3705" i="12"/>
  <c r="CH3706" i="12"/>
  <c r="CH3707" i="12"/>
  <c r="CH3708" i="12"/>
  <c r="CH3709" i="12"/>
  <c r="CH3710" i="12"/>
  <c r="CH3711" i="12"/>
  <c r="CH3712" i="12"/>
  <c r="CH3713" i="12"/>
  <c r="CH3714" i="12"/>
  <c r="CH3715" i="12"/>
  <c r="CH3716" i="12"/>
  <c r="CH3717" i="12"/>
  <c r="CH3718" i="12"/>
  <c r="CH3719" i="12"/>
  <c r="CH3720" i="12"/>
  <c r="CH3721" i="12"/>
  <c r="CH3722" i="12"/>
  <c r="CH3723" i="12"/>
  <c r="CH3724" i="12"/>
  <c r="CH3725" i="12"/>
  <c r="CH3726" i="12"/>
  <c r="CH3727" i="12"/>
  <c r="CH3728" i="12"/>
  <c r="CH3729" i="12"/>
  <c r="CH3730" i="12"/>
  <c r="CH3731" i="12"/>
  <c r="CH3732" i="12"/>
  <c r="CH3733" i="12"/>
  <c r="CH3734" i="12"/>
  <c r="CH3735" i="12"/>
  <c r="CH3736" i="12"/>
  <c r="CH3737" i="12"/>
  <c r="CH3738" i="12"/>
  <c r="CH3739" i="12"/>
  <c r="CH3740" i="12"/>
  <c r="CH3741" i="12"/>
  <c r="CH3742" i="12"/>
  <c r="CH3743" i="12"/>
  <c r="CH3744" i="12"/>
  <c r="CH3745" i="12"/>
  <c r="CH3746" i="12"/>
  <c r="CH3747" i="12"/>
  <c r="CH3748" i="12"/>
  <c r="CH3749" i="12"/>
  <c r="CH3750" i="12"/>
  <c r="CH3751" i="12"/>
  <c r="CH3752" i="12"/>
  <c r="CH3753" i="12"/>
  <c r="CH3754" i="12"/>
  <c r="CH3755" i="12"/>
  <c r="CH3756" i="12"/>
  <c r="CH3757" i="12"/>
  <c r="CH3758" i="12"/>
  <c r="CH3759" i="12"/>
  <c r="CH3760" i="12"/>
  <c r="CH3761" i="12"/>
  <c r="CH3762" i="12"/>
  <c r="CH3763" i="12"/>
  <c r="CH3764" i="12"/>
  <c r="CH3765" i="12"/>
  <c r="CH3766" i="12"/>
  <c r="CH3767" i="12"/>
  <c r="CH3768" i="12"/>
  <c r="CH3769" i="12"/>
  <c r="CH3770" i="12"/>
  <c r="CH3771" i="12"/>
  <c r="CH3772" i="12"/>
  <c r="CH3773" i="12"/>
  <c r="CH3774" i="12"/>
  <c r="CH3775" i="12"/>
  <c r="CH3776" i="12"/>
  <c r="CH3777" i="12"/>
  <c r="CH3778" i="12"/>
  <c r="CH3779" i="12"/>
  <c r="CH3780" i="12"/>
  <c r="CH3781" i="12"/>
  <c r="CH3782" i="12"/>
  <c r="CH3783" i="12"/>
  <c r="CH3784" i="12"/>
  <c r="CH3785" i="12"/>
  <c r="CH3786" i="12"/>
  <c r="CH3787" i="12"/>
  <c r="CH3788" i="12"/>
  <c r="CH3789" i="12"/>
  <c r="CH3790" i="12"/>
  <c r="CH3791" i="12"/>
  <c r="CH3792" i="12"/>
  <c r="CH3793" i="12"/>
  <c r="CH3794" i="12"/>
  <c r="CH3795" i="12"/>
  <c r="CH3796" i="12"/>
  <c r="CH3797" i="12"/>
  <c r="CH3798" i="12"/>
  <c r="CH3799" i="12"/>
  <c r="CH3800" i="12"/>
  <c r="CH3801" i="12"/>
  <c r="CH3802" i="12"/>
  <c r="CH3803" i="12"/>
  <c r="CH3804" i="12"/>
  <c r="CH3805" i="12"/>
  <c r="CH3806" i="12"/>
  <c r="CH3807" i="12"/>
  <c r="CH3808" i="12"/>
  <c r="CH3809" i="12"/>
  <c r="CH3810" i="12"/>
  <c r="CH3811" i="12"/>
  <c r="CH3812" i="12"/>
  <c r="CH3813" i="12"/>
  <c r="CH3814" i="12"/>
  <c r="CH3815" i="12"/>
  <c r="CH3816" i="12"/>
  <c r="CH3817" i="12"/>
  <c r="CH3818" i="12"/>
  <c r="CH3819" i="12"/>
  <c r="CH3820" i="12"/>
  <c r="CH3821" i="12"/>
  <c r="CH3822" i="12"/>
  <c r="CH3823" i="12"/>
  <c r="CH3824" i="12"/>
  <c r="CH3825" i="12"/>
  <c r="CH3826" i="12"/>
  <c r="CH3827" i="12"/>
  <c r="CH3828" i="12"/>
  <c r="CH3829" i="12"/>
  <c r="CH3830" i="12"/>
  <c r="CH3831" i="12"/>
  <c r="CH3832" i="12"/>
  <c r="CH3833" i="12"/>
  <c r="CH3834" i="12"/>
  <c r="CH3835" i="12"/>
  <c r="CH3836" i="12"/>
  <c r="CH3837" i="12"/>
  <c r="CH3838" i="12"/>
  <c r="CH3839" i="12"/>
  <c r="CH3840" i="12"/>
  <c r="CH3841" i="12"/>
  <c r="CH3842" i="12"/>
  <c r="CH3843" i="12"/>
  <c r="CH3844" i="12"/>
  <c r="CH3845" i="12"/>
  <c r="CH3846" i="12"/>
  <c r="CH3847" i="12"/>
  <c r="CH3848" i="12"/>
  <c r="CH3849" i="12"/>
  <c r="CH3850" i="12"/>
  <c r="CH3851" i="12"/>
  <c r="CH3852" i="12"/>
  <c r="CH3853" i="12"/>
  <c r="CH3854" i="12"/>
  <c r="CH3855" i="12"/>
  <c r="CH3856" i="12"/>
  <c r="CH3857" i="12"/>
  <c r="CH3858" i="12"/>
  <c r="CH3859" i="12"/>
  <c r="CH3860" i="12"/>
  <c r="CH3861" i="12"/>
  <c r="CH3862" i="12"/>
  <c r="CH3863" i="12"/>
  <c r="CH3864" i="12"/>
  <c r="CH3865" i="12"/>
  <c r="CH3866" i="12"/>
  <c r="CH3867" i="12"/>
  <c r="CH3868" i="12"/>
  <c r="CH3869" i="12"/>
  <c r="CH3870" i="12"/>
  <c r="CH3871" i="12"/>
  <c r="CH3872" i="12"/>
  <c r="CH3873" i="12"/>
  <c r="CH3874" i="12"/>
  <c r="CH3875" i="12"/>
  <c r="CH3876" i="12"/>
  <c r="CH3877" i="12"/>
  <c r="CH3878" i="12"/>
  <c r="CH3879" i="12"/>
  <c r="CH3880" i="12"/>
  <c r="CH3881" i="12"/>
  <c r="CH3882" i="12"/>
  <c r="CH3883" i="12"/>
  <c r="CH3884" i="12"/>
  <c r="CH3885" i="12"/>
  <c r="CH3886" i="12"/>
  <c r="CH3887" i="12"/>
  <c r="CH3888" i="12"/>
  <c r="CH3889" i="12"/>
  <c r="CH3890" i="12"/>
  <c r="CH3891" i="12"/>
  <c r="CH3892" i="12"/>
  <c r="CH3893" i="12"/>
  <c r="CH3894" i="12"/>
  <c r="CH3895" i="12"/>
  <c r="CH3896" i="12"/>
  <c r="CH3897" i="12"/>
  <c r="CH3898" i="12"/>
  <c r="CH3899" i="12"/>
  <c r="CH3900" i="12"/>
  <c r="CH3901" i="12"/>
  <c r="CH3902" i="12"/>
  <c r="CH3903" i="12"/>
  <c r="CH3904" i="12"/>
  <c r="CH3905" i="12"/>
  <c r="CH3906" i="12"/>
  <c r="CH3907" i="12"/>
  <c r="CH3908" i="12"/>
  <c r="CH3909" i="12"/>
  <c r="CH3910" i="12"/>
  <c r="CH3911" i="12"/>
  <c r="CH3912" i="12"/>
  <c r="CH3913" i="12"/>
  <c r="CH3914" i="12"/>
  <c r="CH3915" i="12"/>
  <c r="CH3916" i="12"/>
  <c r="CH3917" i="12"/>
  <c r="CH3918" i="12"/>
  <c r="CH3919" i="12"/>
  <c r="CH3920" i="12"/>
  <c r="CH3921" i="12"/>
  <c r="CH3922" i="12"/>
  <c r="CH3923" i="12"/>
  <c r="CH3924" i="12"/>
  <c r="CH3925" i="12"/>
  <c r="CH3926" i="12"/>
  <c r="CH3927" i="12"/>
  <c r="CH3928" i="12"/>
  <c r="CH3929" i="12"/>
  <c r="CH3930" i="12"/>
  <c r="CH3931" i="12"/>
  <c r="CH3932" i="12"/>
  <c r="CH3933" i="12"/>
  <c r="CH3934" i="12"/>
  <c r="CH3935" i="12"/>
  <c r="CH3936" i="12"/>
  <c r="CH3937" i="12"/>
  <c r="CH3938" i="12"/>
  <c r="CH3939" i="12"/>
  <c r="CH3940" i="12"/>
  <c r="CH3941" i="12"/>
  <c r="CH3942" i="12"/>
  <c r="CH3943" i="12"/>
  <c r="CH3944" i="12"/>
  <c r="CH3945" i="12"/>
  <c r="CH3946" i="12"/>
  <c r="CH3947" i="12"/>
  <c r="CH3948" i="12"/>
  <c r="CH3949" i="12"/>
  <c r="CH3950" i="12"/>
  <c r="CH3951" i="12"/>
  <c r="CH3952" i="12"/>
  <c r="CH3953" i="12"/>
  <c r="CH3954" i="12"/>
  <c r="CH3955" i="12"/>
  <c r="CH3956" i="12"/>
  <c r="CH3957" i="12"/>
  <c r="CH3958" i="12"/>
  <c r="CH3959" i="12"/>
  <c r="CH3960" i="12"/>
  <c r="CH3961" i="12"/>
  <c r="CH3962" i="12"/>
  <c r="CH3963" i="12"/>
  <c r="CH3964" i="12"/>
  <c r="CH3965" i="12"/>
  <c r="CH3966" i="12"/>
  <c r="CH3967" i="12"/>
  <c r="CH3968" i="12"/>
  <c r="CH3969" i="12"/>
  <c r="CH3970" i="12"/>
  <c r="CH3971" i="12"/>
  <c r="CH3972" i="12"/>
  <c r="CH3973" i="12"/>
  <c r="CH3974" i="12"/>
  <c r="CH3975" i="12"/>
  <c r="CH3976" i="12"/>
  <c r="CH3977" i="12"/>
  <c r="CH3978" i="12"/>
  <c r="CH3979" i="12"/>
  <c r="CH3980" i="12"/>
  <c r="CH3981" i="12"/>
  <c r="CH3982" i="12"/>
  <c r="CH3983" i="12"/>
  <c r="CH3984" i="12"/>
  <c r="CH3985" i="12"/>
  <c r="CH3986" i="12"/>
  <c r="CH3987" i="12"/>
  <c r="CH3988" i="12"/>
  <c r="CH3989" i="12"/>
  <c r="CH3990" i="12"/>
  <c r="CH3991" i="12"/>
  <c r="CH3992" i="12"/>
  <c r="CH3993" i="12"/>
  <c r="CH3994" i="12"/>
  <c r="CH3995" i="12"/>
  <c r="CH3996" i="12"/>
  <c r="CH3997" i="12"/>
  <c r="CH3998" i="12"/>
  <c r="CH3999" i="12"/>
  <c r="CH4000" i="12"/>
  <c r="CH4001" i="12"/>
  <c r="CH4002" i="12"/>
  <c r="CH4003" i="12"/>
  <c r="CH4004" i="12"/>
  <c r="CH4005" i="12"/>
  <c r="CH4006" i="12"/>
  <c r="CH4007" i="12"/>
  <c r="CH4008" i="12"/>
  <c r="CH4009" i="12"/>
  <c r="CH4010" i="12"/>
  <c r="CH4011" i="12"/>
  <c r="CH4012" i="12"/>
  <c r="CH4013" i="12"/>
  <c r="CH4014" i="12"/>
  <c r="CH4015" i="12"/>
  <c r="CH4016" i="12"/>
  <c r="CH4017" i="12"/>
  <c r="CH4018" i="12"/>
  <c r="CH4019" i="12"/>
  <c r="CH4020" i="12"/>
  <c r="CH4021" i="12"/>
  <c r="CH4022" i="12"/>
  <c r="CH4023" i="12"/>
  <c r="CH4024" i="12"/>
  <c r="CH4025" i="12"/>
  <c r="CH4026" i="12"/>
  <c r="CH4027" i="12"/>
  <c r="CH4028" i="12"/>
  <c r="CH4029" i="12"/>
  <c r="CH4030" i="12"/>
  <c r="CH4031" i="12"/>
  <c r="CH4032" i="12"/>
  <c r="CH4033" i="12"/>
  <c r="CH4034" i="12"/>
  <c r="CH4035" i="12"/>
  <c r="CH4036" i="12"/>
  <c r="CH4037" i="12"/>
  <c r="CH4038" i="12"/>
  <c r="CH4039" i="12"/>
  <c r="CH4040" i="12"/>
  <c r="CH4041" i="12"/>
  <c r="CH4042" i="12"/>
  <c r="CH4043" i="12"/>
  <c r="CH4044" i="12"/>
  <c r="CH4045" i="12"/>
  <c r="CH4046" i="12"/>
  <c r="CH4047" i="12"/>
  <c r="CH4048" i="12"/>
  <c r="CH4049" i="12"/>
  <c r="CH4050" i="12"/>
  <c r="CH4051" i="12"/>
  <c r="CH4052" i="12"/>
  <c r="CH4053" i="12"/>
  <c r="CH4054" i="12"/>
  <c r="CH4055" i="12"/>
  <c r="CH4056" i="12"/>
  <c r="CH4057" i="12"/>
  <c r="CH4058" i="12"/>
  <c r="CH4059" i="12"/>
  <c r="CH4060" i="12"/>
  <c r="CH4061" i="12"/>
  <c r="CH4062" i="12"/>
  <c r="CH4063" i="12"/>
  <c r="CH4064" i="12"/>
  <c r="CH4065" i="12"/>
  <c r="CH4066" i="12"/>
  <c r="CH4067" i="12"/>
  <c r="CH4068" i="12"/>
  <c r="CH4069" i="12"/>
  <c r="CH4070" i="12"/>
  <c r="CH4071" i="12"/>
  <c r="CH4072" i="12"/>
  <c r="CH4073" i="12"/>
  <c r="B68" i="2" l="1"/>
  <c r="B326" i="17"/>
  <c r="B327" i="17"/>
  <c r="B328" i="17"/>
  <c r="B329" i="17"/>
  <c r="B330" i="17"/>
  <c r="B331" i="17"/>
  <c r="B332" i="17"/>
  <c r="B333" i="17"/>
  <c r="B334" i="17"/>
  <c r="B325" i="17"/>
  <c r="B67" i="2" l="1"/>
  <c r="B66" i="2" l="1"/>
  <c r="B54" i="2"/>
  <c r="C5" i="20" l="1" a="1"/>
  <c r="C5" i="20" s="1"/>
  <c r="C7" i="20" s="1" a="1"/>
  <c r="C7" i="20" s="1"/>
  <c r="C29" i="20" l="1" a="1"/>
  <c r="C29" i="20" s="1"/>
  <c r="C26" i="20" a="1"/>
  <c r="C26" i="20" s="1"/>
  <c r="C25" i="20" a="1"/>
  <c r="C25" i="20" s="1"/>
  <c r="C18" i="20" a="1"/>
  <c r="C18" i="20" s="1"/>
  <c r="C24" i="20" a="1"/>
  <c r="C24" i="20" s="1"/>
  <c r="C28" i="20" a="1"/>
  <c r="C28" i="20" s="1"/>
  <c r="C23" i="20" a="1"/>
  <c r="C23" i="20" s="1"/>
  <c r="C27" i="20" a="1"/>
  <c r="C27" i="20" s="1"/>
  <c r="C22" i="20" a="1"/>
  <c r="C22" i="20" s="1"/>
  <c r="C21" i="20" a="1"/>
  <c r="C21" i="20" s="1"/>
  <c r="C30" i="20" a="1"/>
  <c r="C30" i="20" s="1"/>
  <c r="C20" i="20" a="1"/>
  <c r="C20" i="20" s="1"/>
  <c r="C19" i="20" a="1"/>
  <c r="C19" i="20" s="1"/>
  <c r="C15" i="20" a="1"/>
  <c r="C15" i="20" s="1"/>
  <c r="C14" i="20" a="1"/>
  <c r="C14" i="20" s="1"/>
  <c r="C13" i="20" a="1"/>
  <c r="C13" i="20" s="1"/>
  <c r="C17" i="20" a="1"/>
  <c r="C17" i="20" s="1"/>
  <c r="C12" i="20" a="1"/>
  <c r="C12" i="20" s="1"/>
  <c r="C16" i="20" a="1"/>
  <c r="C16" i="20" s="1"/>
  <c r="C11" i="20" a="1"/>
  <c r="C11" i="20" s="1"/>
  <c r="C10" i="20" a="1"/>
  <c r="C10" i="20" s="1"/>
  <c r="C9" i="20" a="1"/>
  <c r="C9" i="20" s="1"/>
  <c r="C8" i="20" a="1"/>
  <c r="C8" i="20" s="1"/>
  <c r="C6" i="20" a="1"/>
  <c r="C6" i="20" s="1"/>
  <c r="CL1" i="12"/>
  <c r="AN26" i="20"/>
  <c r="AN25" i="20"/>
  <c r="AN24" i="20"/>
  <c r="AN23" i="20"/>
  <c r="AN22" i="20"/>
  <c r="AN21" i="20"/>
  <c r="AN20" i="20"/>
  <c r="AN19" i="20"/>
  <c r="AN18" i="20"/>
  <c r="AN17" i="20"/>
  <c r="AN16" i="20"/>
  <c r="AN15" i="20"/>
  <c r="AN14" i="20"/>
  <c r="Y42" i="20"/>
  <c r="Z42" i="20"/>
  <c r="AA42" i="20"/>
  <c r="AB42" i="20"/>
  <c r="AC42" i="20"/>
  <c r="AD42" i="20"/>
  <c r="AE42" i="20"/>
  <c r="AF42" i="20"/>
  <c r="AG42" i="20"/>
  <c r="AH42" i="20"/>
  <c r="AI42" i="20"/>
  <c r="AJ42" i="20"/>
  <c r="AK42" i="20"/>
  <c r="AL42" i="20"/>
  <c r="A43" i="20"/>
  <c r="B2" i="20" s="1"/>
  <c r="AN6" i="20"/>
  <c r="AN7" i="20"/>
  <c r="AN8" i="20"/>
  <c r="AN9" i="20"/>
  <c r="AN10" i="20"/>
  <c r="AN11" i="20"/>
  <c r="AN12" i="20"/>
  <c r="AN13" i="20"/>
  <c r="AM26" i="20" l="1"/>
  <c r="AM22" i="20"/>
  <c r="AM23" i="20"/>
  <c r="AM25" i="20"/>
  <c r="AM24" i="20"/>
  <c r="AM21" i="20"/>
  <c r="AM18" i="20"/>
  <c r="AM20" i="20"/>
  <c r="AM19" i="20"/>
  <c r="AM17" i="20"/>
  <c r="AM15" i="20"/>
  <c r="AM16" i="20"/>
  <c r="AM14" i="20"/>
  <c r="X42" i="20"/>
  <c r="AM7" i="20"/>
  <c r="AM8" i="20"/>
  <c r="AM9" i="20"/>
  <c r="AM10" i="20"/>
  <c r="AM6" i="20"/>
  <c r="AM11" i="20"/>
  <c r="AM12" i="20"/>
  <c r="AM13" i="20"/>
  <c r="B45" i="20"/>
  <c r="B44" i="20"/>
  <c r="B43" i="20" s="1" a="1"/>
  <c r="B43" i="20" s="1"/>
  <c r="M42" i="20"/>
  <c r="N42" i="20"/>
  <c r="L42" i="20"/>
  <c r="W42" i="20"/>
  <c r="K42" i="20"/>
  <c r="V42" i="20"/>
  <c r="J42" i="20"/>
  <c r="O42" i="20"/>
  <c r="U42" i="20"/>
  <c r="I42" i="20"/>
  <c r="T42" i="20"/>
  <c r="H42" i="20"/>
  <c r="S42" i="20"/>
  <c r="G42" i="20"/>
  <c r="R42" i="20"/>
  <c r="F42" i="20"/>
  <c r="Q42" i="20"/>
  <c r="E42" i="20"/>
  <c r="P42" i="20"/>
  <c r="D42" i="20"/>
  <c r="C42" i="20"/>
  <c r="B4" i="2"/>
  <c r="B5" i="2"/>
  <c r="B6" i="2"/>
  <c r="B7" i="2"/>
  <c r="B8" i="2"/>
  <c r="B11" i="2"/>
  <c r="B12" i="2"/>
  <c r="B13" i="2"/>
  <c r="B14" i="2"/>
  <c r="B15" i="2"/>
  <c r="B16" i="2"/>
  <c r="B17" i="2"/>
  <c r="B19" i="2"/>
  <c r="B20" i="2"/>
  <c r="B21" i="2"/>
  <c r="B22" i="2"/>
  <c r="B23" i="2"/>
  <c r="B24" i="2"/>
  <c r="B27" i="2"/>
  <c r="B28" i="2"/>
  <c r="B29" i="2"/>
  <c r="B30" i="2"/>
  <c r="B31" i="2"/>
  <c r="B33" i="2"/>
  <c r="B35" i="2"/>
  <c r="B36" i="2"/>
  <c r="B37" i="2"/>
  <c r="B38" i="2"/>
  <c r="B39" i="2"/>
  <c r="B40" i="2"/>
  <c r="B41" i="2"/>
  <c r="B42" i="2"/>
  <c r="B43" i="2"/>
  <c r="B44" i="2"/>
  <c r="B45" i="2"/>
  <c r="B46" i="2"/>
  <c r="B49" i="2"/>
  <c r="B50" i="2"/>
  <c r="B51" i="2"/>
  <c r="B52" i="2"/>
  <c r="B53" i="2"/>
  <c r="B64" i="2"/>
  <c r="B18" i="2"/>
  <c r="B25" i="2"/>
  <c r="B48" i="2"/>
  <c r="B47" i="2"/>
  <c r="B9" i="2"/>
  <c r="B63" i="2"/>
  <c r="B3" i="2"/>
  <c r="B57" i="2"/>
  <c r="B65" i="2"/>
  <c r="B26" i="2"/>
  <c r="B10" i="2"/>
  <c r="B58" i="2"/>
  <c r="B34" i="2"/>
  <c r="B60" i="2"/>
  <c r="B59" i="2"/>
  <c r="B56" i="2"/>
  <c r="B62" i="2"/>
  <c r="B61" i="2"/>
  <c r="B32" i="2"/>
  <c r="B55" i="2"/>
  <c r="B2" i="2"/>
  <c r="B18" i="20" l="1" a="1"/>
  <c r="B18" i="20" s="1"/>
  <c r="B30" i="20" a="1"/>
  <c r="B30" i="20" s="1"/>
  <c r="B19" i="20" a="1"/>
  <c r="B19" i="20" s="1"/>
  <c r="B20" i="20" a="1"/>
  <c r="B20" i="20" s="1"/>
  <c r="B21" i="20" a="1"/>
  <c r="B21" i="20" s="1"/>
  <c r="B22" i="20" a="1"/>
  <c r="B22" i="20" s="1"/>
  <c r="B23" i="20" a="1"/>
  <c r="B23" i="20" s="1"/>
  <c r="B25" i="20" a="1"/>
  <c r="B25" i="20" s="1"/>
  <c r="B26" i="20" a="1"/>
  <c r="B26" i="20" s="1"/>
  <c r="B27" i="20" a="1"/>
  <c r="B27" i="20" s="1"/>
  <c r="B28" i="20" a="1"/>
  <c r="B28" i="20" s="1"/>
  <c r="B29" i="20" a="1"/>
  <c r="B29" i="20" s="1"/>
  <c r="B24" i="20" a="1"/>
  <c r="B24" i="20" s="1"/>
  <c r="B13" i="20" a="1"/>
  <c r="B13" i="20" s="1"/>
  <c r="B14" i="20" a="1"/>
  <c r="B14" i="20" s="1"/>
  <c r="B15" i="20" a="1"/>
  <c r="B15" i="20" s="1"/>
  <c r="B16" i="20" a="1"/>
  <c r="B16" i="20" s="1"/>
  <c r="B17" i="20" a="1"/>
  <c r="B17" i="20" s="1"/>
  <c r="B11" i="20" a="1"/>
  <c r="B11" i="20" s="1"/>
  <c r="B9" i="20" a="1"/>
  <c r="B9" i="20" s="1"/>
  <c r="B12" i="20" a="1"/>
  <c r="B12" i="20" s="1"/>
  <c r="B10" i="20" a="1"/>
  <c r="B10" i="20" s="1"/>
  <c r="B6" i="20" a="1"/>
  <c r="B6" i="20" s="1"/>
  <c r="B8" i="20" a="1"/>
  <c r="B8" i="20" s="1"/>
  <c r="B7" i="20" a="1"/>
  <c r="B7" i="20" s="1"/>
  <c r="B41" i="20" l="1"/>
  <c r="A41" i="20" s="1"/>
  <c r="AN27" i="20" l="1"/>
  <c r="AN28" i="20"/>
  <c r="AN29" i="20"/>
  <c r="AN30" i="20"/>
  <c r="C40" i="20"/>
  <c r="J3" i="20" l="1"/>
  <c r="D31" i="20" l="1"/>
  <c r="E31" i="20"/>
  <c r="F31" i="20"/>
  <c r="G31" i="20"/>
  <c r="H31" i="20"/>
  <c r="I31" i="20"/>
  <c r="J31" i="20"/>
  <c r="K31" i="20"/>
  <c r="L31" i="20"/>
  <c r="M31" i="20"/>
  <c r="N31" i="20"/>
  <c r="O31" i="20"/>
  <c r="P31" i="20"/>
  <c r="Q31" i="20"/>
  <c r="R31" i="20"/>
  <c r="S31" i="20"/>
  <c r="T31" i="20"/>
  <c r="U31" i="20"/>
  <c r="V31" i="20"/>
  <c r="W31" i="20"/>
  <c r="X31" i="20"/>
  <c r="Y31" i="20"/>
  <c r="Z31" i="20"/>
  <c r="AA31" i="20"/>
  <c r="AB31" i="20"/>
  <c r="AC31" i="20"/>
  <c r="AD31" i="20"/>
  <c r="AE31" i="20"/>
  <c r="AF31" i="20"/>
  <c r="AG31" i="20"/>
  <c r="AH31" i="20"/>
  <c r="AI31" i="20"/>
  <c r="AJ31" i="20"/>
  <c r="AK31" i="20"/>
  <c r="AL31" i="20"/>
  <c r="C31" i="20"/>
  <c r="G1" i="17"/>
  <c r="AM31" i="20" l="1"/>
  <c r="D32" i="20"/>
  <c r="D33" i="20" s="1"/>
  <c r="AB32" i="20"/>
  <c r="AB33" i="20" s="1"/>
  <c r="AJ32" i="20"/>
  <c r="AJ33" i="20" s="1"/>
  <c r="AF32" i="20"/>
  <c r="AF33" i="20" s="1"/>
  <c r="AE32" i="20"/>
  <c r="AE34" i="20" s="1"/>
  <c r="W32" i="20"/>
  <c r="W33" i="20" s="1"/>
  <c r="O32" i="20"/>
  <c r="O33" i="20" s="1"/>
  <c r="AC32" i="20"/>
  <c r="AC33" i="20" s="1"/>
  <c r="Z32" i="20"/>
  <c r="Z33" i="20" s="1"/>
  <c r="R32" i="20"/>
  <c r="R33" i="20" s="1"/>
  <c r="J32" i="20"/>
  <c r="J33" i="20" s="1"/>
  <c r="X32" i="20"/>
  <c r="X33" i="20" s="1"/>
  <c r="T32" i="20"/>
  <c r="T33" i="20" s="1"/>
  <c r="P32" i="20"/>
  <c r="P33" i="20" s="1"/>
  <c r="L32" i="20"/>
  <c r="L33" i="20" s="1"/>
  <c r="H32" i="20"/>
  <c r="H33" i="20" s="1"/>
  <c r="AI32" i="20"/>
  <c r="AI34" i="20" s="1"/>
  <c r="K32" i="20"/>
  <c r="K34" i="20" s="1"/>
  <c r="C32" i="20"/>
  <c r="Q32" i="20"/>
  <c r="Q33" i="20" s="1"/>
  <c r="M32" i="20"/>
  <c r="M33" i="20" s="1"/>
  <c r="G32" i="20"/>
  <c r="G34" i="20" s="1"/>
  <c r="E32" i="20"/>
  <c r="E33" i="20" s="1"/>
  <c r="AG32" i="20"/>
  <c r="AG33" i="20" s="1"/>
  <c r="AK32" i="20"/>
  <c r="AK33" i="20" s="1"/>
  <c r="F32" i="20"/>
  <c r="F34" i="20" s="1"/>
  <c r="AD32" i="20"/>
  <c r="AD33" i="20" s="1"/>
  <c r="V32" i="20"/>
  <c r="V34" i="20" s="1"/>
  <c r="N32" i="20"/>
  <c r="N33" i="20" s="1"/>
  <c r="Y32" i="20"/>
  <c r="Y34" i="20" s="1"/>
  <c r="I32" i="20"/>
  <c r="I33" i="20" s="1"/>
  <c r="AH32" i="20"/>
  <c r="AH34" i="20" s="1"/>
  <c r="AL32" i="20"/>
  <c r="AL34" i="20" s="1"/>
  <c r="U32" i="20"/>
  <c r="U33" i="20" s="1"/>
  <c r="S32" i="20"/>
  <c r="S33" i="20" s="1"/>
  <c r="AA32" i="20"/>
  <c r="AA33" i="20" s="1"/>
  <c r="C33" i="20" l="1"/>
  <c r="AM32" i="20"/>
  <c r="D34" i="20"/>
  <c r="AB34" i="20"/>
  <c r="AF34" i="20"/>
  <c r="AJ34" i="20"/>
  <c r="AE33" i="20"/>
  <c r="X34" i="20"/>
  <c r="W34" i="20"/>
  <c r="O34" i="20"/>
  <c r="V33" i="20"/>
  <c r="R34" i="20"/>
  <c r="AC34" i="20"/>
  <c r="Z34" i="20"/>
  <c r="J34" i="20"/>
  <c r="H34" i="20"/>
  <c r="T34" i="20"/>
  <c r="P34" i="20"/>
  <c r="L34" i="20"/>
  <c r="AL33" i="20"/>
  <c r="AK34" i="20"/>
  <c r="AG34" i="20"/>
  <c r="AH33" i="20"/>
  <c r="AD34" i="20"/>
  <c r="C34" i="20"/>
  <c r="AI33" i="20"/>
  <c r="Q34" i="20"/>
  <c r="I34" i="20"/>
  <c r="K33" i="20"/>
  <c r="M34" i="20"/>
  <c r="Y33" i="20"/>
  <c r="G33" i="20"/>
  <c r="F33" i="20"/>
  <c r="E34" i="20"/>
  <c r="N34" i="20"/>
  <c r="U34" i="20"/>
  <c r="S34" i="20"/>
  <c r="AA34" i="20"/>
  <c r="AM34" i="20" l="1"/>
  <c r="AM33" i="2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D0539FF-4724-4E0B-BB64-D0A03C6F64EF}" keepAlive="1" name="Query - OVN SCHEDULE" description="Connection to the 'OVN SCHEDULE' query in the workbook." type="5" refreshedVersion="8" background="1" saveData="1">
    <dbPr connection="Provider=Microsoft.Mashup.OleDb.1;Data Source=$Workbook$;Location=&quot;OVN SCHEDULE&quot;;Extended Properties=&quot;&quot;" command="SELECT * FROM [OVN SCHEDULE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<sst xmlns="http://schemas.openxmlformats.org/spreadsheetml/2006/main" count="28576" uniqueCount="5603">
  <si>
    <t>Gender:</t>
  </si>
  <si>
    <t>Mã Dao</t>
  </si>
  <si>
    <t>D-0310</t>
  </si>
  <si>
    <t xml:space="preserve">TÊN DAO: </t>
  </si>
  <si>
    <t>HẠ DAO:</t>
  </si>
  <si>
    <t xml:space="preserve">                                                  SIZE
RPRO</t>
  </si>
  <si>
    <t>Số tấm PU trong một lần chặt</t>
  </si>
  <si>
    <t>TỔNG</t>
  </si>
  <si>
    <t>TỔNG SỐ ĐÔI</t>
  </si>
  <si>
    <t>SỐ ĐÔI THỰC TẾ CHẶT THÊM (GỒM BÙ PHẾ)</t>
  </si>
  <si>
    <t>GIAO CA</t>
  </si>
  <si>
    <t>SỐ ĐÔI ĐÃ CHẶT</t>
  </si>
  <si>
    <t xml:space="preserve">SỐ ĐÔI CÒN LẠI </t>
  </si>
  <si>
    <t>GHI CHÚ</t>
  </si>
  <si>
    <t xml:space="preserve">Loại PU: </t>
  </si>
  <si>
    <t xml:space="preserve">Loại Vải: </t>
  </si>
  <si>
    <t>HỖ TRỢ CÔNG VIỆC TÍNH TOÁN SỐ LƯỢNG HÀNG HÓA TẠI MÁY LUXIN LEANLINE 7</t>
  </si>
  <si>
    <t>D-0686</t>
  </si>
  <si>
    <t>SỐ LƯỢT CẦN CHẶT</t>
  </si>
  <si>
    <t>SỐ LƯỢT DAO CẦN CHẶT (CÀI ĐẶT TRÊN MÁY)</t>
  </si>
  <si>
    <t xml:space="preserve">SỐ ĐÔI CÒN LẠI CẦN CHẶT THÊM </t>
  </si>
  <si>
    <t>ĐÃ CHẶT XONG (ĐÁNH DẤU TÍCH)</t>
  </si>
  <si>
    <t>Mã dao</t>
  </si>
  <si>
    <t>Tên Dao</t>
  </si>
  <si>
    <t>3.5Y</t>
  </si>
  <si>
    <t>4Y</t>
  </si>
  <si>
    <t>4.5Y</t>
  </si>
  <si>
    <t>5Y</t>
  </si>
  <si>
    <t>5.5Y</t>
  </si>
  <si>
    <t>6Y</t>
  </si>
  <si>
    <t>6.5Y</t>
  </si>
  <si>
    <t>7Y</t>
  </si>
  <si>
    <t>10K</t>
  </si>
  <si>
    <t>10.5K</t>
  </si>
  <si>
    <t>11K</t>
  </si>
  <si>
    <t>11.5K</t>
  </si>
  <si>
    <t>12K</t>
  </si>
  <si>
    <t>D-0005</t>
  </si>
  <si>
    <t>D-0006</t>
  </si>
  <si>
    <t>D-0036</t>
  </si>
  <si>
    <t>D-0038</t>
  </si>
  <si>
    <t>D-0041</t>
  </si>
  <si>
    <t>D-0042</t>
  </si>
  <si>
    <t>D-0045</t>
  </si>
  <si>
    <t>D-0147</t>
  </si>
  <si>
    <t>D-0155</t>
  </si>
  <si>
    <t>D-0169</t>
  </si>
  <si>
    <t>D-0170</t>
  </si>
  <si>
    <t>D-0180</t>
  </si>
  <si>
    <t>D-0189</t>
  </si>
  <si>
    <t>D-0195</t>
  </si>
  <si>
    <t>D-0203</t>
  </si>
  <si>
    <t>D-0212</t>
  </si>
  <si>
    <t>D-0249</t>
  </si>
  <si>
    <t>D-0255</t>
  </si>
  <si>
    <t>D-0256</t>
  </si>
  <si>
    <t>D-0257</t>
  </si>
  <si>
    <t>D-0258</t>
  </si>
  <si>
    <t>D-0260</t>
  </si>
  <si>
    <t>D-0261</t>
  </si>
  <si>
    <t>D-0262</t>
  </si>
  <si>
    <t>D-0263</t>
  </si>
  <si>
    <t>D-0264</t>
  </si>
  <si>
    <t>D-0266</t>
  </si>
  <si>
    <t>D-0267</t>
  </si>
  <si>
    <t>D-0268</t>
  </si>
  <si>
    <t>D-0269</t>
  </si>
  <si>
    <t>D-0270</t>
  </si>
  <si>
    <t>D-0271</t>
  </si>
  <si>
    <t>D-0272</t>
  </si>
  <si>
    <t>D-0274</t>
  </si>
  <si>
    <t>D-0275</t>
  </si>
  <si>
    <t>D-0286</t>
  </si>
  <si>
    <t>D-0292</t>
  </si>
  <si>
    <t>D-0293</t>
  </si>
  <si>
    <t>D-0333</t>
  </si>
  <si>
    <t>D-0344</t>
  </si>
  <si>
    <t>D-0393</t>
  </si>
  <si>
    <t>D-0419</t>
  </si>
  <si>
    <t>D-0446</t>
  </si>
  <si>
    <t>D-0451</t>
  </si>
  <si>
    <t>D-0452</t>
  </si>
  <si>
    <t>D-0454</t>
  </si>
  <si>
    <t>D-0458</t>
  </si>
  <si>
    <t>D-0468</t>
  </si>
  <si>
    <t>D-0470</t>
  </si>
  <si>
    <t>D-0472</t>
  </si>
  <si>
    <t>D-0515</t>
  </si>
  <si>
    <t>D-0519</t>
  </si>
  <si>
    <t>D-0522</t>
  </si>
  <si>
    <t>D-0524</t>
  </si>
  <si>
    <t>D-0528</t>
  </si>
  <si>
    <t>D-0529</t>
  </si>
  <si>
    <t>D-0630</t>
  </si>
  <si>
    <t>D-0631</t>
  </si>
  <si>
    <t>EOR-13</t>
  </si>
  <si>
    <t>JC-104</t>
  </si>
  <si>
    <t>JV1-0695-3</t>
  </si>
  <si>
    <t>JVC6-027-1</t>
  </si>
  <si>
    <t>D-0591</t>
  </si>
  <si>
    <t>D-0007</t>
  </si>
  <si>
    <t>Tên dao</t>
  </si>
  <si>
    <t/>
  </si>
  <si>
    <t>21-005-W-Low(Cloud 6 Coast Mita)</t>
  </si>
  <si>
    <t>21-005-W-Low</t>
  </si>
  <si>
    <t>21075</t>
  </si>
  <si>
    <t>41TUR</t>
  </si>
  <si>
    <t>582)</t>
  </si>
  <si>
    <t>8</t>
  </si>
  <si>
    <t>82)</t>
  </si>
  <si>
    <t>959</t>
  </si>
  <si>
    <t>A-2+Skive arch</t>
  </si>
  <si>
    <t>CONVERSE</t>
  </si>
  <si>
    <t>CPJ-61</t>
  </si>
  <si>
    <t>QD-10 (AM90 FUTURA)(D-0002)</t>
  </si>
  <si>
    <t>D-0002</t>
  </si>
  <si>
    <t>Y-171/YA-25 (D-0005)</t>
  </si>
  <si>
    <t>Y-172</t>
  </si>
  <si>
    <t>Y-172/YA-24 (D-0006)</t>
  </si>
  <si>
    <t>Y-173/YA-20 (D-0007)</t>
  </si>
  <si>
    <t>MR-42 (D-0009)(SKIVE ARCH)</t>
  </si>
  <si>
    <t>D-0009</t>
  </si>
  <si>
    <t>RBK4305-2L(D-0014)</t>
  </si>
  <si>
    <t>D-0014</t>
  </si>
  <si>
    <t>RBK6440-1L (D-0015)</t>
  </si>
  <si>
    <t>D-0015</t>
  </si>
  <si>
    <t>RBK6418-1L (D-0021)</t>
  </si>
  <si>
    <t>D-0021</t>
  </si>
  <si>
    <t>MR-30 (D-0023) (skive arch)</t>
  </si>
  <si>
    <t>D-0023</t>
  </si>
  <si>
    <t>RBK648-4H (D-0031)</t>
  </si>
  <si>
    <t>D-0031</t>
  </si>
  <si>
    <t>CT017L-2 (D-0036) (Tỷ Xuân)</t>
  </si>
  <si>
    <t>CT017L-2 (D-0036)</t>
  </si>
  <si>
    <t>QA7-1 (D-0038) (skiving from arch to heel)</t>
  </si>
  <si>
    <t>QA7-1(D-0038)(skiving from arch to heel)</t>
  </si>
  <si>
    <t>CT017L-2-M (D-0041) (Tỷ Xuân)</t>
  </si>
  <si>
    <t>NSW-83H (D-0042)</t>
  </si>
  <si>
    <t>NSW-76HB (D-0045)</t>
  </si>
  <si>
    <t>NSW-76HB (D-0045)(TAEKWANG)</t>
  </si>
  <si>
    <t>NSW-107H (D-0057)</t>
  </si>
  <si>
    <t>D-0057</t>
  </si>
  <si>
    <t>RBK6239-1L (D-0077)</t>
  </si>
  <si>
    <t>D-0077</t>
  </si>
  <si>
    <t>RBK6108-1L (D-0081)</t>
  </si>
  <si>
    <t>D-0081</t>
  </si>
  <si>
    <t>RBK87RE-3(D-0086)+RBK94RE-1L(D-0124)</t>
  </si>
  <si>
    <t>D-0086</t>
  </si>
  <si>
    <t>71039 (D-0091)</t>
  </si>
  <si>
    <t>D-0091</t>
  </si>
  <si>
    <t>71040 (D-0092)</t>
  </si>
  <si>
    <t>D-0092</t>
  </si>
  <si>
    <t>72010 (D-0093)</t>
  </si>
  <si>
    <t>D-0093</t>
  </si>
  <si>
    <t>72010(D-0094)(D-0093)</t>
  </si>
  <si>
    <t>D-0094</t>
  </si>
  <si>
    <t>72010(D-0094)(D-0093)(EVERVAN)</t>
  </si>
  <si>
    <t>BASK-002HK-C (D-0098) (arch skive)</t>
  </si>
  <si>
    <t>D-0098</t>
  </si>
  <si>
    <t>BASK-002HK-C(D-0098)(arch skive)</t>
  </si>
  <si>
    <t>JV8-0602 M (D-0102)</t>
  </si>
  <si>
    <t>D-0102</t>
  </si>
  <si>
    <t>Knee Pad Artwork (181mmx129mm) (D-0112)</t>
  </si>
  <si>
    <t>D-0112</t>
  </si>
  <si>
    <t>EOR-13 &amp; EOR-16 (D-0127)</t>
  </si>
  <si>
    <t>D-0127</t>
  </si>
  <si>
    <t>ON-168W (D-0144)</t>
  </si>
  <si>
    <t>D-0144</t>
  </si>
  <si>
    <t>BL-100(D-0146)(Buffing+Arch Skiving)</t>
  </si>
  <si>
    <t>D-0146</t>
  </si>
  <si>
    <t>BL-100(D-0146)(Backside Buffing+Arch Skiving)</t>
  </si>
  <si>
    <t>BL-100(D-0146) (Backside Buffing+Arch Skiving)</t>
  </si>
  <si>
    <t>BL-100 (D-0146) (Backside Buffing+Arch Skiving)</t>
  </si>
  <si>
    <t>BL-100 (D-0146) (Backside edge Buffing+Arch Skiving)</t>
  </si>
  <si>
    <t>JV8-0425-1 (D-0147)</t>
  </si>
  <si>
    <t>23008(D-0152)</t>
  </si>
  <si>
    <t>D-0152</t>
  </si>
  <si>
    <t>23008 (D-0152)</t>
  </si>
  <si>
    <t>23007H (D-0154)</t>
  </si>
  <si>
    <t>D-0154</t>
  </si>
  <si>
    <t>NSW-62 (D-0155)</t>
  </si>
  <si>
    <t>JP011L-3 (D-0169)</t>
  </si>
  <si>
    <t>NSW-124 (D-0170) (skive arch)</t>
  </si>
  <si>
    <t>SPM-16(D-0174)</t>
  </si>
  <si>
    <t>D-0174</t>
  </si>
  <si>
    <t>SPM-16 (D-0174)</t>
  </si>
  <si>
    <t>31-003-W-Mid (D-0178)</t>
  </si>
  <si>
    <t>D-0178</t>
  </si>
  <si>
    <t>31-003-M-Mid (D-0179)</t>
  </si>
  <si>
    <t>D-0179</t>
  </si>
  <si>
    <t>QD-10</t>
  </si>
  <si>
    <t>QD-10 (D-0180)(SKIVE ARCH)</t>
  </si>
  <si>
    <t>MR-30(ZF6)(D-0189) (skive arch)</t>
  </si>
  <si>
    <t>MR-30(ZF6)(D-0189)</t>
  </si>
  <si>
    <t>MR-30(ZF6) (D-0189)</t>
  </si>
  <si>
    <t>MR-30(ZF6) (D-0189) (Skive arch)</t>
  </si>
  <si>
    <t>QF-8H (D-0194)(skive)</t>
  </si>
  <si>
    <t>D-0194</t>
  </si>
  <si>
    <t>QA-7 AF1 (FENG TAY)(D-0195)(skive arch)</t>
  </si>
  <si>
    <t>QD-10(AM90 DRIFT)(D-0203)</t>
  </si>
  <si>
    <t>MR-10 4E Annora (D-0212) (SKIVE ARCH)</t>
  </si>
  <si>
    <t>MR-10 4E Annora (D-0212) (SKIVE ARCH)(ANNORA)</t>
  </si>
  <si>
    <t>MR-10 4E Annora (D-0212) (SKIVE ARCH) (ANNORA)</t>
  </si>
  <si>
    <t>SPM-16 ARCH (D-0221)</t>
  </si>
  <si>
    <t>D-0221</t>
  </si>
  <si>
    <t>SPW-foam tag 1 &amp; 30*75mm(NEW) - DAO MIKA (D-0225)</t>
  </si>
  <si>
    <t>D-0225</t>
  </si>
  <si>
    <t>NK021(Feng Tay) (D-0249)</t>
  </si>
  <si>
    <t>NK021(Feng Tay)(D-0249)</t>
  </si>
  <si>
    <t>QA-7H (D-0255)</t>
  </si>
  <si>
    <t>QA-7H (D-0256) (skive arch)</t>
  </si>
  <si>
    <t>QA-7H (skive arch)</t>
  </si>
  <si>
    <t>QA-7H (D-0256)(skive arch)</t>
  </si>
  <si>
    <t>MR-42 (D-0257)</t>
  </si>
  <si>
    <t>MR-42 (D-0258)</t>
  </si>
  <si>
    <t>MR-42</t>
  </si>
  <si>
    <t>MR-42(D-0258)</t>
  </si>
  <si>
    <t>QD-10(EXCEE) (D-0260)</t>
  </si>
  <si>
    <t>QD-10(EXCEE)(D-0260)</t>
  </si>
  <si>
    <t>QD-10(EXCEE)</t>
  </si>
  <si>
    <t>X-3379</t>
  </si>
  <si>
    <t>X-3379/NSW-114 (D-0261)</t>
  </si>
  <si>
    <t>QD-10 (D-0262)</t>
  </si>
  <si>
    <t>QA-7 (D-0263) (skive arch)</t>
  </si>
  <si>
    <t>MR-42 (D-0264) (skive arch)</t>
  </si>
  <si>
    <t>MR-42 (LONG DEAN)</t>
  </si>
  <si>
    <t>MR-42 (SKIVE ARCH)</t>
  </si>
  <si>
    <t>MR-42(skive arch)</t>
  </si>
  <si>
    <t>MR-42(D-0264)(skive arch)</t>
  </si>
  <si>
    <t>QA-7 (D-0265) (Skiving from arch to heel)</t>
  </si>
  <si>
    <t>D-0265</t>
  </si>
  <si>
    <t>QA-7 (D-0265)(Skiving from arch to heel)</t>
  </si>
  <si>
    <t>QA-7 (D-0265) (skiving arch)</t>
  </si>
  <si>
    <t>QA-7 (D-0265) (Skiving from arch to heel part)</t>
  </si>
  <si>
    <t>NSW-86HB</t>
  </si>
  <si>
    <t>NSW-86HB/NSW-62 (D-0266)</t>
  </si>
  <si>
    <t>MR-10 (SKIVE ARCH)</t>
  </si>
  <si>
    <t>MR-10 (D-0267) (SKIVE ARCH)</t>
  </si>
  <si>
    <t>MR-10 (D-0267)(SKIVE ARCH)</t>
  </si>
  <si>
    <t>MR-10 (D-0267) (SKIVE ARCH)(FVE)</t>
  </si>
  <si>
    <t>MR-10 (D-0267) (Long Dean)</t>
  </si>
  <si>
    <t>MR-10 (SKIVE ARCH) (LONG DEAN)</t>
  </si>
  <si>
    <t>MR-10 (LONG DEAN)</t>
  </si>
  <si>
    <t>QD-10 (D-0268) (Skive arch)</t>
  </si>
  <si>
    <t>QD-10 (Skive arch)</t>
  </si>
  <si>
    <t>MR-10-4E</t>
  </si>
  <si>
    <t>MR-10-4E/MR-42-4E (D-0269) (SKIVE ARCH)</t>
  </si>
  <si>
    <t>NSW-38 NEW MODERN (D-0270)</t>
  </si>
  <si>
    <t>QMR-2(D-0271)</t>
  </si>
  <si>
    <t>QMR-2 (D-0271)</t>
  </si>
  <si>
    <t>QMR-2</t>
  </si>
  <si>
    <t>QD-10/PLUS 3 (D-0272)</t>
  </si>
  <si>
    <t>NSW-72HB KT(AM INTRLK) (D-0273)</t>
  </si>
  <si>
    <t>D-0273</t>
  </si>
  <si>
    <t>NSW-76HB (D-0274)</t>
  </si>
  <si>
    <t>QF-8</t>
  </si>
  <si>
    <t>QF-8/AJ3 (D-0275)</t>
  </si>
  <si>
    <t>QA-5 (D-0281) (skive arch)</t>
  </si>
  <si>
    <t>D-0281</t>
  </si>
  <si>
    <t>A-2</t>
  </si>
  <si>
    <t>S-012 (D-0292)</t>
  </si>
  <si>
    <t>TV-067 (D-0310)</t>
  </si>
  <si>
    <t>TV-067</t>
  </si>
  <si>
    <t>RBK6360-2L (D-0313)</t>
  </si>
  <si>
    <t>D-0313</t>
  </si>
  <si>
    <t>QD-6H NEW VER (D-0333)</t>
  </si>
  <si>
    <t>LS013XXH-1 (D-0340)</t>
  </si>
  <si>
    <t>D-0340</t>
  </si>
  <si>
    <t>CT053XH-2 (D-0341)</t>
  </si>
  <si>
    <t>D-0341</t>
  </si>
  <si>
    <t>MR-10 (D-0344)</t>
  </si>
  <si>
    <t>JV8-0465 (D-0347)</t>
  </si>
  <si>
    <t>D-0347</t>
  </si>
  <si>
    <t>21075(D-0366)</t>
  </si>
  <si>
    <t>D-0366</t>
  </si>
  <si>
    <t>41TUR (D-0374)</t>
  </si>
  <si>
    <t>D-0374</t>
  </si>
  <si>
    <t>NSW-83H(SWB-1458) (D-0381)</t>
  </si>
  <si>
    <t>D-0381</t>
  </si>
  <si>
    <t>HE-045 (D-0388)</t>
  </si>
  <si>
    <t>D-0388</t>
  </si>
  <si>
    <t>HE-045(D-0388)</t>
  </si>
  <si>
    <t>ON-130 = JVN-987 (D-0390)</t>
  </si>
  <si>
    <t>D-0390</t>
  </si>
  <si>
    <t>JVN-988-1 (D-0391)</t>
  </si>
  <si>
    <t>D-0391</t>
  </si>
  <si>
    <t>ON-131=JVN-988-1 (D-0391)</t>
  </si>
  <si>
    <t>HE-019(D-0393)</t>
  </si>
  <si>
    <t>HE-019 (D-0393)</t>
  </si>
  <si>
    <t>HE-087 (D-0397)</t>
  </si>
  <si>
    <t>D-0397</t>
  </si>
  <si>
    <t>QD-10 (D-0419) (ARCH SKIVING)</t>
  </si>
  <si>
    <t>HE-019 (D-0421)</t>
  </si>
  <si>
    <t>D-0421</t>
  </si>
  <si>
    <t>HE-019(D-0421)</t>
  </si>
  <si>
    <t>NEO MOSTRO (D-0433)</t>
  </si>
  <si>
    <t>D-0433</t>
  </si>
  <si>
    <t>SAU-PR3S-1 (D-0442)</t>
  </si>
  <si>
    <t>D-0442</t>
  </si>
  <si>
    <t>QA-7 SOCK (D-0446) (skiving from arch to heel)</t>
  </si>
  <si>
    <t>QA-7 SOCK(D-0446) (skiving from arch to heel)</t>
  </si>
  <si>
    <t>QA-7 SOCK(D-0446)(skiving from arch to heel)</t>
  </si>
  <si>
    <t>NK008 (D-0450)</t>
  </si>
  <si>
    <t>D-0450</t>
  </si>
  <si>
    <t>QD-5 (D-0451)</t>
  </si>
  <si>
    <t>QA7-1 NEW (D-0452)(skiving from arch to heel)</t>
  </si>
  <si>
    <t>NK009 (D-0453)</t>
  </si>
  <si>
    <t>D-0453</t>
  </si>
  <si>
    <t>QA-7H NEW (D-0454)</t>
  </si>
  <si>
    <t>ON-137 (D-0457)</t>
  </si>
  <si>
    <t>D-0457</t>
  </si>
  <si>
    <t>ON-136 (D-0461)</t>
  </si>
  <si>
    <t>D-0461</t>
  </si>
  <si>
    <t>MR-10 ANNORA (D-0468)(SKIVE ARCH)</t>
  </si>
  <si>
    <t>MR-10ANNORA(D-0468)(SKIVE ARCH)</t>
  </si>
  <si>
    <t>MR-10 ANNORA(D-0468)(SKIVE ARCH)</t>
  </si>
  <si>
    <t>R-789(D-0469)</t>
  </si>
  <si>
    <t>D-0469</t>
  </si>
  <si>
    <t>R-789 (D-0469)</t>
  </si>
  <si>
    <t>NK024 (D-0470) (SKIVE ARCH)</t>
  </si>
  <si>
    <t>JV8-0710-1L (D-0472)</t>
  </si>
  <si>
    <t>TAK-61W (D-0473)</t>
  </si>
  <si>
    <t>D-0473</t>
  </si>
  <si>
    <t>TS-072 (D-0477)</t>
  </si>
  <si>
    <t>D-0477</t>
  </si>
  <si>
    <t>TS-072(D-0477)</t>
  </si>
  <si>
    <t>TAK-61 (D-0478)</t>
  </si>
  <si>
    <t>D-0478</t>
  </si>
  <si>
    <t>21-005-W-Low (D-0481)</t>
  </si>
  <si>
    <t>D-0481</t>
  </si>
  <si>
    <t>21-005-M-Low (D-0482)</t>
  </si>
  <si>
    <t>D-0482</t>
  </si>
  <si>
    <t>JVN-1122 (D-0488)</t>
  </si>
  <si>
    <t>D-0488</t>
  </si>
  <si>
    <t>MR-30(ZF6)-DAO GHÉP (D-0489) (skive)</t>
  </si>
  <si>
    <t>D-0489</t>
  </si>
  <si>
    <t>MR-30(ZF6) - DAO GHÉP QUAY ĐẦU (D-0489) (Skive arch)</t>
  </si>
  <si>
    <t>DUAWS(D-0495)</t>
  </si>
  <si>
    <t>D-0495</t>
  </si>
  <si>
    <t>HE109(D-0497)</t>
  </si>
  <si>
    <t>D-0497</t>
  </si>
  <si>
    <t>HE011(D-0501)</t>
  </si>
  <si>
    <t>D-0501</t>
  </si>
  <si>
    <t>HE-045(DAO GHEP QUAY DAU)(D-0506)</t>
  </si>
  <si>
    <t>D-0506</t>
  </si>
  <si>
    <t>AB27(920)(D-0509)</t>
  </si>
  <si>
    <t>D-0509</t>
  </si>
  <si>
    <t>HE109 (DAO GHEP QUAY DAU) (D-0510)</t>
  </si>
  <si>
    <t>D-0510</t>
  </si>
  <si>
    <t>HE109(DAO GHEP QUAY DAU)(D-0510)</t>
  </si>
  <si>
    <t>NK057(D-0515)(Skive arch)</t>
  </si>
  <si>
    <t>NK057(D-0515))(Skive arch)</t>
  </si>
  <si>
    <t>NK057(D-0515) (Skive arch)</t>
  </si>
  <si>
    <t>EOR-13 (D-0516)</t>
  </si>
  <si>
    <t>D-0516</t>
  </si>
  <si>
    <t>AB94(939)(D-0519)</t>
  </si>
  <si>
    <t>NK051(DAO GHEP QUAY DAU)(D-0520)(skive arch)</t>
  </si>
  <si>
    <t>D-0520</t>
  </si>
  <si>
    <t>NK051(D-0520)(skive arch)</t>
  </si>
  <si>
    <t>TAK-61/TAK-51W/TAK-61W (D-0522)</t>
  </si>
  <si>
    <t>TAK-61/TAK-71 (D-0522)</t>
  </si>
  <si>
    <t>R-789 (DAO GHEP QUAYDAU) (D-0523)</t>
  </si>
  <si>
    <t>D-0523</t>
  </si>
  <si>
    <t>R-789 (DAO GHEP QUAY DAU) (D-0523)</t>
  </si>
  <si>
    <t>R-789 (DAO GHEP QUAY DAU)(D-0523)</t>
  </si>
  <si>
    <t>BP-111 (D-0524) (Skive arch)</t>
  </si>
  <si>
    <t>8636 (D-0528)</t>
  </si>
  <si>
    <t>8636-W (D-0528)</t>
  </si>
  <si>
    <t>20744 (D-0529)</t>
  </si>
  <si>
    <t>20744-M (D-0529)</t>
  </si>
  <si>
    <t>EOR-33 (D-0541)</t>
  </si>
  <si>
    <t>D-0541</t>
  </si>
  <si>
    <t>P333/P333-2E (DAO GHÉP QUAY ĐẦU) (D-0544)</t>
  </si>
  <si>
    <t>D-0544</t>
  </si>
  <si>
    <t>QF-8(NK-0830) (D-0546)</t>
  </si>
  <si>
    <t>D-0546</t>
  </si>
  <si>
    <t>EOR-61 (D-0547)</t>
  </si>
  <si>
    <t>D-0547</t>
  </si>
  <si>
    <t>EOR-16H (ARCH) (D-0548)(SKIVE ARCH)</t>
  </si>
  <si>
    <t>D-0548</t>
  </si>
  <si>
    <t>NK051(DAO GHEP QUAY DAU KHUNG VIỀN)(D-0551)(skive arch)</t>
  </si>
  <si>
    <t>D-0551</t>
  </si>
  <si>
    <t>21-005-M-Low(Cloud 6 Coast Mita)(D-0555)</t>
  </si>
  <si>
    <t>D-0555</t>
  </si>
  <si>
    <t>21-005-W-Low(Cloud 6 Coast Mita)(D-0556)</t>
  </si>
  <si>
    <t>D-0556</t>
  </si>
  <si>
    <t>LS013XXH-1(DAO GHEP 1 HUONG)(D-0562)</t>
  </si>
  <si>
    <t>D-0562</t>
  </si>
  <si>
    <t>1203A165 (D-0563)</t>
  </si>
  <si>
    <t>D-0563</t>
  </si>
  <si>
    <t>JVN-1122(DAO GHÉP QUAY ĐẦU)(D-0572)</t>
  </si>
  <si>
    <t>D-0572</t>
  </si>
  <si>
    <t>NK057(D-0576)(skive arch)</t>
  </si>
  <si>
    <t>D-0576</t>
  </si>
  <si>
    <t>NK057(DAO GHEP QUAY DAU) (D-0576)</t>
  </si>
  <si>
    <t>NK-067(Y-214) (D-0577)</t>
  </si>
  <si>
    <t>D-0577</t>
  </si>
  <si>
    <t>NK-068(Y-213) (D-0578)</t>
  </si>
  <si>
    <t>D-0578</t>
  </si>
  <si>
    <t>CPJ-51W (D-0580)</t>
  </si>
  <si>
    <t>D-0580</t>
  </si>
  <si>
    <t>HE-019 (DAOGHEP QUAY DAU) (D-0582)</t>
  </si>
  <si>
    <t>D-0582</t>
  </si>
  <si>
    <t>HE-0 (D-0582)</t>
  </si>
  <si>
    <t>ON-136-3 (D-0585)</t>
  </si>
  <si>
    <t>D-0585</t>
  </si>
  <si>
    <t>AC53(993)(D-0588)</t>
  </si>
  <si>
    <t>D-0588</t>
  </si>
  <si>
    <t>ON-154W(D-0589)</t>
  </si>
  <si>
    <t>D-0589</t>
  </si>
  <si>
    <t>LS021L/XXH-1 (D-0591)</t>
  </si>
  <si>
    <t>NSW-35 (D-0592)</t>
  </si>
  <si>
    <t>D-0592</t>
  </si>
  <si>
    <t>NK076 (DAO GHEP QUAY DAU)(D-0594) (Skiving from arch to heel part)</t>
  </si>
  <si>
    <t>D-0594</t>
  </si>
  <si>
    <t>LS020XXH-1 (D-0598)</t>
  </si>
  <si>
    <t>D-0598</t>
  </si>
  <si>
    <t>QMR-2(DAO GHEP QUAY DAU) (D-0599)</t>
  </si>
  <si>
    <t>D-0599</t>
  </si>
  <si>
    <t>SKLLO-325A (D-0613)</t>
  </si>
  <si>
    <t>D-0613</t>
  </si>
  <si>
    <t>NK069(DAO GHÉP QUAY ĐẦU)(D-0616)(Skive arch)</t>
  </si>
  <si>
    <t>D-0616</t>
  </si>
  <si>
    <t>HE109(D-0618)</t>
  </si>
  <si>
    <t>D-0618</t>
  </si>
  <si>
    <t>NK076(D-0623) (Skiving from arch to heel part)</t>
  </si>
  <si>
    <t>D-0623</t>
  </si>
  <si>
    <t>HE-019-PALERMO(D-0628)</t>
  </si>
  <si>
    <t>D-0628</t>
  </si>
  <si>
    <t>QD-10 (ALLDAY) (D-0630) (skive arch)</t>
  </si>
  <si>
    <t>QD-10 (D-0631) (ARCH SKIVING)</t>
  </si>
  <si>
    <t>CT064XXH-2 (D-0636)</t>
  </si>
  <si>
    <t>D-0636</t>
  </si>
  <si>
    <t>JV2-0269 (D-0637)</t>
  </si>
  <si>
    <t>D-0637</t>
  </si>
  <si>
    <t>MR-10 (D-0638)</t>
  </si>
  <si>
    <t>D-0638</t>
  </si>
  <si>
    <t>JV8-1237 (D-0642)</t>
  </si>
  <si>
    <t>D-0642</t>
  </si>
  <si>
    <t>MR-10 (DAO GHEP 1 HUONG)(D-0675)</t>
  </si>
  <si>
    <t>D-0675</t>
  </si>
  <si>
    <t>JV1-0891(D-0681)</t>
  </si>
  <si>
    <t>D-0681</t>
  </si>
  <si>
    <t>JV1-0891-INDO (D-0681)</t>
  </si>
  <si>
    <t>MR-10 (JOURNEY) (D-0686)</t>
  </si>
  <si>
    <t>MR-10 (JOURNEY) (D-0686)Women's</t>
  </si>
  <si>
    <t>MR-10 (JOURNEY) (D-0686))</t>
  </si>
  <si>
    <t>MR-10 (JOURNEY) (D-0686)(TAEKWANG)</t>
  </si>
  <si>
    <t>EOR-13-1 (D-0691)</t>
  </si>
  <si>
    <t>D-0691</t>
  </si>
  <si>
    <t>DC</t>
  </si>
  <si>
    <t>EOR-51W</t>
  </si>
  <si>
    <t>EOR-61</t>
  </si>
  <si>
    <t>EOR-61J</t>
  </si>
  <si>
    <t>EOR-71W</t>
  </si>
  <si>
    <t>JC-104 (arch skive)</t>
  </si>
  <si>
    <t>JM-11</t>
  </si>
  <si>
    <t>JV1-0695-3(arch skive)</t>
  </si>
  <si>
    <t>JV1-0695-3 (arch skive)</t>
  </si>
  <si>
    <t>JV1-0695-3(arch skive)(CHAMPION)</t>
  </si>
  <si>
    <t>JV1-0695-3(skive)(CHAMPION)</t>
  </si>
  <si>
    <t>JV8-0465</t>
  </si>
  <si>
    <t>JVC4-445-3</t>
  </si>
  <si>
    <t>JVC6-027-1(Skive arch)</t>
  </si>
  <si>
    <t>JVC6-027-1 (skive arch)</t>
  </si>
  <si>
    <t>LS021L</t>
  </si>
  <si>
    <t>matching</t>
  </si>
  <si>
    <t>MR-10 (SKIVE ARCH)(SKIVE ARCH)</t>
  </si>
  <si>
    <t>MR-10</t>
  </si>
  <si>
    <t>MR-10(SKIVE ARCH)</t>
  </si>
  <si>
    <t>MR-10 ANNORA (SKIVE ARCH)</t>
  </si>
  <si>
    <t>MR-10 ANNORA</t>
  </si>
  <si>
    <t>MR-10 ANNORA(SKIVE ARCH)</t>
  </si>
  <si>
    <t>MR-30(ZF6)(skive arch)</t>
  </si>
  <si>
    <t>MR-30</t>
  </si>
  <si>
    <t>MR-42 (SKIVE ARCH) (ANNORA)</t>
  </si>
  <si>
    <t>MR-42(skive arch)(TAE KWANG)</t>
  </si>
  <si>
    <t>MT19 (Skiving around insoles&amp;Skiving arch)</t>
  </si>
  <si>
    <t>MT19</t>
  </si>
  <si>
    <t>NEO MOSTRO</t>
  </si>
  <si>
    <t>NK069(DAO GHEP QUAY DAU)(Skive arch)</t>
  </si>
  <si>
    <t>NK069</t>
  </si>
  <si>
    <t>NK076(DAO GHEP QUAY DAU)(Skive from arch to heel)</t>
  </si>
  <si>
    <t>NK076</t>
  </si>
  <si>
    <t>NSW 72HB-KT</t>
  </si>
  <si>
    <t>NSW-38 NEW MODERN</t>
  </si>
  <si>
    <t>NSW-72HB KT(AM INTRLK)</t>
  </si>
  <si>
    <t>NSW-72HB KT</t>
  </si>
  <si>
    <t>ON RUNNING</t>
  </si>
  <si>
    <t>ON-117 (NEW)</t>
  </si>
  <si>
    <t>ON-117</t>
  </si>
  <si>
    <t>ON-117 ARCH</t>
  </si>
  <si>
    <t>ON-154W</t>
  </si>
  <si>
    <t>ON-160H</t>
  </si>
  <si>
    <t>QA-7 (skive arch)</t>
  </si>
  <si>
    <t>QA-7</t>
  </si>
  <si>
    <t>QA-7 (Skiving from arch to heel part)</t>
  </si>
  <si>
    <t>QA-7 (Skiving from arch to heel)</t>
  </si>
  <si>
    <t>QA-7(Skiving from arch to heel part)</t>
  </si>
  <si>
    <t>QA-7(Skiving from arch to heel)</t>
  </si>
  <si>
    <t>QA7-1(skiving from arch to heel)</t>
  </si>
  <si>
    <t>QA7-1</t>
  </si>
  <si>
    <t>QA-7H</t>
  </si>
  <si>
    <t>QD-10 (ALLDAY)(skive arch)</t>
  </si>
  <si>
    <t>QD-6H NEW VER</t>
  </si>
  <si>
    <t>QMR-2 (CHANGSHIN)</t>
  </si>
  <si>
    <t>r,horizontal matching</t>
  </si>
  <si>
    <t>R-789</t>
  </si>
  <si>
    <t>R-789(DAO GHEP QUAY DAU)</t>
  </si>
  <si>
    <t>RBK4133-1L</t>
  </si>
  <si>
    <t>S-012</t>
  </si>
  <si>
    <t>S21004&amp;S22008-C(DAO GHÉP QUAY ĐẦU)(skive arch)</t>
  </si>
  <si>
    <t>S21004&amp;S22008-C</t>
  </si>
  <si>
    <t>S21004&amp;S22008-C(DAO GHÉP QUAY ĐẦU)skive</t>
  </si>
  <si>
    <t>S21009&amp;S22009-C(DAO GHEP QUAY DAU)skive arch</t>
  </si>
  <si>
    <t>S21009&amp;S22009-C</t>
  </si>
  <si>
    <t>SB-16 LEGACY (SKIVE ARCH)</t>
  </si>
  <si>
    <t>SB-16 LEGACY</t>
  </si>
  <si>
    <t>SB-16H (skiving from arch to heel)</t>
  </si>
  <si>
    <t>SB-16H</t>
  </si>
  <si>
    <t>TAEKWANG</t>
  </si>
  <si>
    <t>TAK-61</t>
  </si>
  <si>
    <t>TAK-61H</t>
  </si>
  <si>
    <t>TAK-61W</t>
  </si>
  <si>
    <t>TAK-81</t>
  </si>
  <si>
    <t>UAPR-009</t>
  </si>
  <si>
    <t>X-3379(NSW-114)-DAO THĂNG HOA</t>
  </si>
  <si>
    <t>Y-171</t>
  </si>
  <si>
    <t>Y-173</t>
  </si>
  <si>
    <t>S21004&amp;S22008-C (DAO GHÉP QUAY ĐẦU) (D-0492) (skive arch)</t>
  </si>
  <si>
    <t>D-0492</t>
  </si>
  <si>
    <t>QD-10 ARCH SKIVE (DAO GHEP QUAY DAU) (D-0656) (skive arch)</t>
  </si>
  <si>
    <t>D-0656</t>
  </si>
  <si>
    <t>CT017L-2-M (D-0041)</t>
  </si>
  <si>
    <t>SP-105 (D-0666)</t>
  </si>
  <si>
    <t>D-0666</t>
  </si>
  <si>
    <t>MR-10 (JOURNEY)(DAO GHEP QUAY DAU)(D-0669)</t>
  </si>
  <si>
    <t>D-0669</t>
  </si>
  <si>
    <t>JV1-0695-3 (DAO GHEP QUAY DAU) (arch skive)</t>
  </si>
  <si>
    <t>AB94(939) (D-0519)</t>
  </si>
  <si>
    <t>UAPR-009 (D-0345)</t>
  </si>
  <si>
    <t>D-0345</t>
  </si>
  <si>
    <t>PRO ORDER</t>
  </si>
  <si>
    <t>QtyOrder</t>
  </si>
  <si>
    <t>BOM</t>
  </si>
  <si>
    <t>#LAST</t>
  </si>
  <si>
    <t>Gender</t>
  </si>
  <si>
    <t>Description PU1</t>
  </si>
  <si>
    <t>Description FB</t>
  </si>
  <si>
    <t>S1</t>
  </si>
  <si>
    <t>S1.5</t>
  </si>
  <si>
    <t>S2</t>
  </si>
  <si>
    <t>S2.5</t>
  </si>
  <si>
    <t>S3</t>
  </si>
  <si>
    <t>S3.5</t>
  </si>
  <si>
    <t>S4</t>
  </si>
  <si>
    <t>S4.5</t>
  </si>
  <si>
    <t>S5</t>
  </si>
  <si>
    <t>S5.5</t>
  </si>
  <si>
    <t>S6</t>
  </si>
  <si>
    <t>S6.5</t>
  </si>
  <si>
    <t>S7</t>
  </si>
  <si>
    <t>S7.5</t>
  </si>
  <si>
    <t>S8</t>
  </si>
  <si>
    <t>S8.5</t>
  </si>
  <si>
    <t>S9</t>
  </si>
  <si>
    <t>S9.5</t>
  </si>
  <si>
    <t>S10</t>
  </si>
  <si>
    <t>S10.5</t>
  </si>
  <si>
    <t>S11</t>
  </si>
  <si>
    <t>S11.5</t>
  </si>
  <si>
    <t>S12</t>
  </si>
  <si>
    <t>S12.5</t>
  </si>
  <si>
    <t>S13</t>
  </si>
  <si>
    <t>S13.5</t>
  </si>
  <si>
    <t>S14</t>
  </si>
  <si>
    <t>S14.5</t>
  </si>
  <si>
    <t>S15</t>
  </si>
  <si>
    <t>S15.5</t>
  </si>
  <si>
    <t>S16</t>
  </si>
  <si>
    <t>S16.5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</si>
  <si>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</si>
  <si>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</si>
  <si>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</si>
  <si>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</si>
  <si>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</si>
  <si>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</si>
  <si>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</si>
  <si>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</si>
  <si>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</si>
  <si>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</si>
  <si>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</si>
  <si>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</si>
  <si>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</si>
  <si>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</si>
  <si>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</si>
  <si>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</si>
  <si>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</si>
  <si>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</si>
  <si>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</si>
  <si>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</si>
  <si>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</si>
  <si>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</si>
  <si>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</si>
  <si>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</si>
  <si>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</si>
  <si>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</si>
  <si>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</si>
  <si>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</si>
  <si>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</si>
  <si>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</si>
  <si>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</si>
  <si>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</si>
  <si>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</si>
  <si>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S3.5Y</t>
  </si>
  <si>
    <t>S4Y</t>
  </si>
  <si>
    <t>S4.5Y</t>
  </si>
  <si>
    <t>S5Y</t>
  </si>
  <si>
    <t>S5.5Y</t>
  </si>
  <si>
    <t>S6Y</t>
  </si>
  <si>
    <t>S6.5Y</t>
  </si>
  <si>
    <t>S7Y</t>
  </si>
  <si>
    <t>S10K</t>
  </si>
  <si>
    <t>S10.5K</t>
  </si>
  <si>
    <t>S11K</t>
  </si>
  <si>
    <t>S11.5K</t>
  </si>
  <si>
    <t>S12K</t>
  </si>
  <si>
    <t>1</t>
  </si>
  <si>
    <t>DC-015266</t>
  </si>
  <si>
    <t>Men's</t>
  </si>
  <si>
    <t>OrthoLite Ultra-Hybrid-Nike SEEDPEARL/12-0703TPX Hybrid 0.085D 25+/-4 Asker C 1.1M 2M 3mm</t>
  </si>
  <si>
    <t>00A (PP)LINING KNIT MATTE MICRO (HOOD) REC 44" 250G</t>
  </si>
  <si>
    <t>OrthoLite Ultra-Hybrid-Nike SEEDPEARL/12-0703TPX Hybrid Flat Sheet 0.085D 25+/-4 Asker C 1.1M 2M 4mm</t>
  </si>
  <si>
    <t>OrthoLite Ultra-Nike SEEDPEARL/12-0703TPX Flat Sheet 0.085D 25+/-4 Asker C 1.1M 2M 4mm</t>
  </si>
  <si>
    <t>OrthoLite Regular-Hybrid SEEDPEARL/12-0703TPX Hybrid Flat Sheet 0.11D 25+/-4 Asker C 1.1M 2M 5mm</t>
  </si>
  <si>
    <t>OrthoLite Eco LT-Hybrid-Converse SEEDPEARL/12-0703TPX Hybrid 0.13D 25+/-4 Asker C 1.1M 2M 5mm</t>
  </si>
  <si>
    <t>OrthoLite Ultra-Nike LIME GREEN/14-0452TPX 0.085D 25+/-4 Asker C 1.1M 2M 4mm</t>
  </si>
  <si>
    <t>00A MERRY MESH LJ-B540-EPM5 1TONE DTY REC (PCX#206190)(MCS#LU1P/PK5929) 44" 250G</t>
  </si>
  <si>
    <t>DC-015011</t>
  </si>
  <si>
    <t>Kid's</t>
  </si>
  <si>
    <t>OrthoLite Ultra-Hybrid SEEDPEARL/12-0703TPX Hybrid 0.085D 25+/-4 Asker C 1.1M 2M 3mm</t>
  </si>
  <si>
    <t>AELF PH S WS31P 44" 198G (MLM#40084554)</t>
  </si>
  <si>
    <t>Women's</t>
  </si>
  <si>
    <t>OrthoLite Ultra-Nike GREY/17-1501TPX Flat Sheet 0.085D 25+/-4 Asker C 1.1M 2M 4mm</t>
  </si>
  <si>
    <t>OrthoLite Ultra-Nike FOSSIL/17-0909TPX 0.085D 25+/-4 Asker C 1.1M 2M 4mm</t>
  </si>
  <si>
    <t>OrthoLite Ultra-Hybrid-Nike SEEDPEARL/12-0703TPX Hybrid 0.085D 25+/-4 Asker C 1.1M 2M 4mm</t>
  </si>
  <si>
    <t>OrthoLite Ultra-Nike LIME GREEN/14-0452TPX Flat Sheet 0.085D 15+/-4 Asker C 1.1M 2M 5mm</t>
  </si>
  <si>
    <t>00A MERRY MESH(LJB-540) 44" 250G</t>
  </si>
  <si>
    <t>05Q (PP)LINING KNIT MATTE MICRO (HOOD) REC 44" 250G</t>
  </si>
  <si>
    <t>04Z (PP)LINING KNIT MATTE MICRO (HOOD) REC 44" 250G</t>
  </si>
  <si>
    <t>DC-006144</t>
  </si>
  <si>
    <t>032-81-07 100% RECYCLED CK MESH POST CONSUMER UNBACKED 46" 200G</t>
  </si>
  <si>
    <t>OrthoLite Eco LT-Hybrid-Converse SEEDPEARL/12-0703TPX Hybrid 0.11D 25+/-4 Asker C 1.1M 2M 5mm</t>
  </si>
  <si>
    <t>DC-015947</t>
  </si>
  <si>
    <t>OrthoLite Regular-Hybrid SEEDPEARL/12-0703TPX Hybrid 0.11D 25+/-4 Asker C 1.1M 2M 5mm</t>
  </si>
  <si>
    <t>BLACK HF-SL02080-DRP (100% Recycled Polyester) 44" 205G</t>
  </si>
  <si>
    <t>DC-013332</t>
  </si>
  <si>
    <t>OrthoLite Impressions-Nike TAWNY PORT/19-1725TPX Flat Sheet 0.15D 70-80 Asker F 1.1M 1.7M 3mm</t>
  </si>
  <si>
    <t>0AL EPM ELILON 44" 280G</t>
  </si>
  <si>
    <t>Toddler</t>
  </si>
  <si>
    <t>OrthoLite Ultra-Hybrid-Nike SEEDPEARL/12-0703TPX Hybrid Flat Sheet 0.085D 25+/-4 Asker C 1.1M 2M 2mm</t>
  </si>
  <si>
    <t>OrthoLite Regular-Nike AIR BLUE/16-4134TPX 0.11D 15+/-4 Asker C 1.1M 2M 4mm</t>
  </si>
  <si>
    <t>DC-015012</t>
  </si>
  <si>
    <t>4KY (PP)LINING KNIT MATTE MICRO (HOOD) REC 44" 250G</t>
  </si>
  <si>
    <t>10A MERRY MESH LJ-B540-EPM5 1TONE DTY REC (PCX#206190)(MCS#LU1P/PK5929) 44" 250G</t>
  </si>
  <si>
    <t>OrthoLite Ultra-Nike YELLOW/13-0858TPX 0.085D 25+/-4 Asker C 1.1M 2M 4mm</t>
  </si>
  <si>
    <t>DC-016476</t>
  </si>
  <si>
    <t>12J MERRY MESH LJ-B540-EPM5 1TONE DTY REC (PCX#206190)(MCS#LU1P/PK5929) 44" 250G</t>
  </si>
  <si>
    <t>11K (PP)LINING KNIT MATTE MICRO (HOOD) REC 44" 250G</t>
  </si>
  <si>
    <t>DC-012715</t>
  </si>
  <si>
    <t>10A (PP)LINING KNIT MATTE MICRO (HOOD) REC 44" 250G</t>
  </si>
  <si>
    <t>DC-017220</t>
  </si>
  <si>
    <t>OrthoLite Eco LT-Hybrid SEEDPEARL/12-0703TPX Hybrid 0.11D 25+/-4 Asker C 1.1M 2M 4mm</t>
  </si>
  <si>
    <t>NO DYE LJ-B0771-NB-VEPM5 44" 220G</t>
  </si>
  <si>
    <t>DC-016368</t>
  </si>
  <si>
    <t>10A DR MESH 1 DRT2652 54" 250G</t>
  </si>
  <si>
    <t>Unisex</t>
  </si>
  <si>
    <t>OrthoLite Ultra SEEDPEARL/12-0703TPX 0.085D 25+/-4 Asker C 1.1M 2M 5mm</t>
  </si>
  <si>
    <t>005-18-00 (Puma Black) PH WS320000 SINGLE LAYER MESH (100% RECYCLED PET) 44" 179G</t>
  </si>
  <si>
    <t>OrthoLite Float NEUTRAL GRAY/17-4402TPX Flat Sheet 0.12D 21+/-4 Asker C 1.1M 2M 5mm</t>
  </si>
  <si>
    <t>NO DYE LJ-B709B-1-VEPM5 44" 200G</t>
  </si>
  <si>
    <t>DC-013150</t>
  </si>
  <si>
    <t>036-90-02 LJ-B1-1-EPM5 44" 180G</t>
  </si>
  <si>
    <t>X</t>
  </si>
  <si>
    <t>6BU (PP)LINING KNIT MATTE MICRO (HOOD) REC 44" 250G</t>
  </si>
  <si>
    <t>DC-014470</t>
  </si>
  <si>
    <t>No Dye LJ-B1-1-VEPM5 44" 180G</t>
  </si>
  <si>
    <t>DC-009121</t>
  </si>
  <si>
    <t>036-90-02 LJ-B1-1-VEPM5 44" 180G</t>
  </si>
  <si>
    <t>DC-017217</t>
  </si>
  <si>
    <t>OrthoLite Ultra-Nike FOSSIL/17-0909TPX Flat Sheet 0.085D 25+/-4 Asker C 1.1M 2M 4mm</t>
  </si>
  <si>
    <t>66T (PP)LINING KNIT MATTE MICRO (HOOD) REC 44" 250G</t>
  </si>
  <si>
    <t>DC-017099</t>
  </si>
  <si>
    <t>OrthoLite Ultra-Nike SEEDPEARL/12-0703TPX 0.085D 25+/-4 Asker C 1.1M 2M 4mm</t>
  </si>
  <si>
    <t>6JB (PP)LINING KNIT MATTE MICRO (HOOD) REC 44" 250G</t>
  </si>
  <si>
    <t>OrthoLite Ultra-Nike LIME GREEN/14-0452TPX Flat Sheet 0.085D 25+/-4 Asker C 1.1M 2M 4mm</t>
  </si>
  <si>
    <t>Preschool</t>
  </si>
  <si>
    <t>0BB (PP)LINING KNIT MATTE MICRO (HOOD) REC 44" 250G</t>
  </si>
  <si>
    <t>Youth (Y'S)</t>
  </si>
  <si>
    <t>OrthoLite Ultra-Hybrid SEEDPEARL/12-0703TPX Hybrid Flat Sheet 0.095D 33+/-4 Asker C 1.1M 2M 4mm</t>
  </si>
  <si>
    <t>DC-013899</t>
  </si>
  <si>
    <t>DC-015984</t>
  </si>
  <si>
    <t>DC-016881</t>
  </si>
  <si>
    <t>OrthoLite Ultra-Hybrid SEEDPEARL/12-0703TPX Hybrid 0.085D 25+/-4 Asker C 1.1M 2M 4mm</t>
  </si>
  <si>
    <t>BLACK DOPE DYE CLARO HF-SL01712P CYCLONE REC 46" 234G</t>
  </si>
  <si>
    <t>DC-014839</t>
  </si>
  <si>
    <t>OrthoLite Ultra-Hybrid SEEDPEARL/12-0703TPX Hybrid Flat Sheet 0.085D 25+/-4 Asker C 1.1M 2M 5mm</t>
  </si>
  <si>
    <t>13-4201TCX(Oyster Mushroom) LJ-B0001-DDY-EPM5 44" 225G</t>
  </si>
  <si>
    <t>DC-007326</t>
  </si>
  <si>
    <t>OrthoLite Impressions-Nike TAWNY PORT/19-1725TPX 0.15D 70-80 Asker F 1.1M 1.7M 3mm</t>
  </si>
  <si>
    <t>01X EPM ELILON 44" 280G</t>
  </si>
  <si>
    <t>00A DURAPLUSH LJ-A2700 44" 250G</t>
  </si>
  <si>
    <t>DC-016235</t>
  </si>
  <si>
    <t>NO DYE LJ-B1150B-VEPM5 44" 170G</t>
  </si>
  <si>
    <t>0AH MERRY MESH(LJB-540) 44" 250G</t>
  </si>
  <si>
    <t>DC-014251</t>
  </si>
  <si>
    <t>OrthoLite KidsLite YELLOW/13-0858TPX Flat Sheet 0.065D 25+/-5 Asker C 1.1M 2M 3mm</t>
  </si>
  <si>
    <t>0AH (PP)LINING KNIT MATTE MICRO (HOOD) REC 44" 250G</t>
  </si>
  <si>
    <t>DC-017223</t>
  </si>
  <si>
    <t>12J EPM ELILON 44" 280G</t>
  </si>
  <si>
    <t>19-3920TCX LJ-B0001-DDY-EPM5 44" 225G</t>
  </si>
  <si>
    <t>OrthoLite Ultra-Nike YELLOW/13-0858TPX Flat Sheet 0.085D 25+/-4 Asker C 1.1M 2M 4mm</t>
  </si>
  <si>
    <t>DC-006557</t>
  </si>
  <si>
    <t>OrthoLite X-25-Hybrid SEEDPEARL/12-0703TPX Hybrid Flat Sheet 0.12D 20+/-4 Asker C 1.1M 2M 4mm</t>
  </si>
  <si>
    <t>13-4403TPG YH-S960 EPM5 (100% Recycled PET) 44" 198G</t>
  </si>
  <si>
    <t>OrthoLite Ultra-Nike SEEDPEARL/12-0703TPX 0.085D 5-10 Asker C 1.1M 2M 4mm</t>
  </si>
  <si>
    <t>OrthoLite KidsLite YELLOW/13-0858TPX Flat Sheet 0.065D 25+/-5 Asker C 1.1M 2M 2mm</t>
  </si>
  <si>
    <t>DC-001751</t>
  </si>
  <si>
    <t>00A EPM ELILON 44" 280G</t>
  </si>
  <si>
    <t>01V (PP)LINING KNIT MATTE MICRO (HOOD) REC 44" 250G</t>
  </si>
  <si>
    <t>DC-014039</t>
  </si>
  <si>
    <t>DC-017095</t>
  </si>
  <si>
    <t>NB102 LJ-B4-EPM5 44" 220G</t>
  </si>
  <si>
    <t>RPRO-250922-0002</t>
  </si>
  <si>
    <t>DC-011265</t>
  </si>
  <si>
    <t>DC-012518</t>
  </si>
  <si>
    <t>DC-015291</t>
  </si>
  <si>
    <t>BLACK C LJ-B0001-BLK-EPM5 44" 210G</t>
  </si>
  <si>
    <t>NO DYE DJ-119-EL LID VISA TERRY-R100 44" 210G</t>
  </si>
  <si>
    <t>DC-001565</t>
  </si>
  <si>
    <t>00A GIGA LJ-B0535 44" 265G</t>
  </si>
  <si>
    <t>DC-012517</t>
  </si>
  <si>
    <t>3LU (PP)LINING KNIT MATTE MICRO (HOOD) REC 44" 250G</t>
  </si>
  <si>
    <t>DC-016928</t>
  </si>
  <si>
    <t>OrthoLite Ultra-Hybrid SEEDPEARL/12-0703TPX Hybrid Flat Sheet 0.085D 5-10 Asker C 1.1M 2M 2mm</t>
  </si>
  <si>
    <t>A0QM FORTUNE EPM5(PC) 46" 225G</t>
  </si>
  <si>
    <t>DC-015897</t>
  </si>
  <si>
    <t>7AX (PP)LINING KNIT MATTE MICRO (HOOD) REC 44" 250G</t>
  </si>
  <si>
    <t>DC-012426</t>
  </si>
  <si>
    <t>19-3911TCX DJT-8543 GUSTI TEX(EPM 100%) 44" 315G</t>
  </si>
  <si>
    <t>DC-014926</t>
  </si>
  <si>
    <t>13-2807TCX DJT-8543 GUSTI TEX(EPM 100%) 44" 315G</t>
  </si>
  <si>
    <t>DC-015358</t>
  </si>
  <si>
    <t>DC-014486</t>
  </si>
  <si>
    <t>80S (PP)LINING KNIT MATTE MICRO (HOOD) REC 44" 250G</t>
  </si>
  <si>
    <t>DC-013744</t>
  </si>
  <si>
    <t>DC-017121</t>
  </si>
  <si>
    <t>DC-013659</t>
  </si>
  <si>
    <t>RPRO-2310-10665</t>
  </si>
  <si>
    <t>DC-000548</t>
  </si>
  <si>
    <t>OrthoLite Ultra SEEDPEARL/12-0703TPX 0.085D 0-2 Asker C 1.1M 2M 5mm</t>
  </si>
  <si>
    <t>01F7 TL8BV007 EPM5 44" 190G</t>
  </si>
  <si>
    <t>RPRO-2310-10671</t>
  </si>
  <si>
    <t>DC-001287</t>
  </si>
  <si>
    <t>OrthoLite Recycled MULTICOLOR Recycled 0.23D 25-43 Asker C 1.1M 2M 4mm</t>
  </si>
  <si>
    <t>A0TP HEAVY YY SATIN (MLM#:40059173) 44" 204G</t>
  </si>
  <si>
    <t>RPRO-2310-10677</t>
  </si>
  <si>
    <t>DC-000507</t>
  </si>
  <si>
    <t>RPRO-2310-10681</t>
  </si>
  <si>
    <t>DC-001368</t>
  </si>
  <si>
    <t>RPRO-2310-10682</t>
  </si>
  <si>
    <t>DC-001324</t>
  </si>
  <si>
    <t>RPRO-2310-10683</t>
  </si>
  <si>
    <t>DC-001348</t>
  </si>
  <si>
    <t>0AH DURAPLUSH LJ-A2700 44" 250G</t>
  </si>
  <si>
    <t>RPRO-2310-10684</t>
  </si>
  <si>
    <t>DC-001325</t>
  </si>
  <si>
    <t>RPRO-2310-10686</t>
  </si>
  <si>
    <t>DC-001914</t>
  </si>
  <si>
    <t>00A (PP)LINING KNIT BRUSHED RIO REC 44" 230G</t>
  </si>
  <si>
    <t>RPRO-2310-10687</t>
  </si>
  <si>
    <t>DC-001332</t>
  </si>
  <si>
    <t>RPRO-2310-10688</t>
  </si>
  <si>
    <t>DC-001915</t>
  </si>
  <si>
    <t>RPRO-2310-10689</t>
  </si>
  <si>
    <t>DC-001783</t>
  </si>
  <si>
    <t>71R (PP)LINING KNIT MATTE MICRO (HOOD) REC 44" 250G</t>
  </si>
  <si>
    <t>RPRO-2310-10696</t>
  </si>
  <si>
    <t>DC-001270</t>
  </si>
  <si>
    <t>62E (PP)LINING KNIT MATTE MICRO (HOOD) REC 44" 250G</t>
  </si>
  <si>
    <t>RPRO-2310-10698</t>
  </si>
  <si>
    <t>DC-001329</t>
  </si>
  <si>
    <t>RPRO-2310-10709</t>
  </si>
  <si>
    <t>DC-001918</t>
  </si>
  <si>
    <t>74G (PM)LINING KNIT MATTE MICRO (HOOD) REC 44" 250G</t>
  </si>
  <si>
    <t>RPRO-2310-10710</t>
  </si>
  <si>
    <t>RPRO-2310-10711</t>
  </si>
  <si>
    <t>DC-001291</t>
  </si>
  <si>
    <t>RPRO-2310-10712</t>
  </si>
  <si>
    <t>RPRO-2310-10713</t>
  </si>
  <si>
    <t>DC-001292</t>
  </si>
  <si>
    <t>3MQ (PM)LINING KNIT MATTE MICRO (HOOD) REC 44" 250G</t>
  </si>
  <si>
    <t>RPRO-2310-10714</t>
  </si>
  <si>
    <t>RPRO-2310-10715</t>
  </si>
  <si>
    <t>RPRO-2310-10716</t>
  </si>
  <si>
    <t>RPRO-2310-10717</t>
  </si>
  <si>
    <t>RPRO-2310-10718</t>
  </si>
  <si>
    <t>RPRO-2310-10719</t>
  </si>
  <si>
    <t>RPRO-2310-10720</t>
  </si>
  <si>
    <t>RPRO-2310-10721</t>
  </si>
  <si>
    <t>RPRO-2310-10722</t>
  </si>
  <si>
    <t>DC-001293</t>
  </si>
  <si>
    <t>RPRO-2310-10723</t>
  </si>
  <si>
    <t>DC-001294</t>
  </si>
  <si>
    <t>81J (PP)LINING KNIT MATTE MICRO (HOOD) REC 44" 250G</t>
  </si>
  <si>
    <t>RPRO-2310-10724</t>
  </si>
  <si>
    <t>DC-001392</t>
  </si>
  <si>
    <t>RPRO-2310-10725</t>
  </si>
  <si>
    <t>RPRO-2310-10726</t>
  </si>
  <si>
    <t>DC-001295</t>
  </si>
  <si>
    <t>RPRO-2310-10727</t>
  </si>
  <si>
    <t>RPRO-2310-10728</t>
  </si>
  <si>
    <t>DC-001605</t>
  </si>
  <si>
    <t>RPRO-2310-10729</t>
  </si>
  <si>
    <t>DC-001680</t>
  </si>
  <si>
    <t>44B (PP)LINING KNIT MATTE MICRO (HOOD) REC 44" 250G</t>
  </si>
  <si>
    <t>RPRO-2310-10730</t>
  </si>
  <si>
    <t>RPRO-2310-10731</t>
  </si>
  <si>
    <t>RPRO-2310-10732</t>
  </si>
  <si>
    <t>DC-001589</t>
  </si>
  <si>
    <t>RPRO-2310-10733</t>
  </si>
  <si>
    <t>RPRO-2310-10734</t>
  </si>
  <si>
    <t>DC-001297</t>
  </si>
  <si>
    <t>RPRO-2310-10736</t>
  </si>
  <si>
    <t>DC-000712</t>
  </si>
  <si>
    <t>OrthoLite Recycled MULTICOLOR Recycled 0.23D 25-43 Asker C 1.1M 2M 4.5mm</t>
  </si>
  <si>
    <t>A0QM SPENCO EPM5 (100% REC.PES) 44" 180G</t>
  </si>
  <si>
    <t>RPRO-2310-10737</t>
  </si>
  <si>
    <t>DC-000509</t>
  </si>
  <si>
    <t>RPRO-2310-10738</t>
  </si>
  <si>
    <t>RPRO-2310-10739</t>
  </si>
  <si>
    <t>RPRO-2310-10740</t>
  </si>
  <si>
    <t>RPRO-2310-10741</t>
  </si>
  <si>
    <t>RPRO-2310-10749</t>
  </si>
  <si>
    <t>DC-001809</t>
  </si>
  <si>
    <t>4CA (PP)LINING KNIT MATTE MICRO (HOOD) REC 44" 250G</t>
  </si>
  <si>
    <t>RPRO-2310-10750</t>
  </si>
  <si>
    <t>RPRO-2310-10751</t>
  </si>
  <si>
    <t>DC-001316</t>
  </si>
  <si>
    <t>RPRO-2310-10752</t>
  </si>
  <si>
    <t>RPRO-2310-10753</t>
  </si>
  <si>
    <t>DC-001278</t>
  </si>
  <si>
    <t>RPRO-2310-10754</t>
  </si>
  <si>
    <t>DC-001252</t>
  </si>
  <si>
    <t>RPRO-2310-10759</t>
  </si>
  <si>
    <t>RPRO-2310-10761</t>
  </si>
  <si>
    <t>DC-001253</t>
  </si>
  <si>
    <t>RPRO-2310-10762</t>
  </si>
  <si>
    <t>DC-001251</t>
  </si>
  <si>
    <t>RPRO-2310-10763</t>
  </si>
  <si>
    <t>DC-001255</t>
  </si>
  <si>
    <t>RPRO-2310-10764</t>
  </si>
  <si>
    <t>DC-001346</t>
  </si>
  <si>
    <t>RPRO-2310-10765</t>
  </si>
  <si>
    <t>DC-001379</t>
  </si>
  <si>
    <t>RPRO-2310-10771</t>
  </si>
  <si>
    <t>DC-001391</t>
  </si>
  <si>
    <t>RPRO-2310-10772</t>
  </si>
  <si>
    <t>DC-001667</t>
  </si>
  <si>
    <t>58C (PM)LINING KNIT MATTE MICRO (HOOD) REC 44" 250G</t>
  </si>
  <si>
    <t>RPRO-2310-10773</t>
  </si>
  <si>
    <t>DC-001364</t>
  </si>
  <si>
    <t>OrthoLite Regular-Hybrid-Nike SEEDPEARL/12-0703TPX Hybrid Flat Sheet 0.11D 25+/-4 Asker C 1.1M 2M 4m</t>
  </si>
  <si>
    <t>11K EPM ELILON 44" 280G</t>
  </si>
  <si>
    <t>RPRO-2310-10774</t>
  </si>
  <si>
    <t>DC-001319</t>
  </si>
  <si>
    <t>3CE EPM ELILON 44" 280G</t>
  </si>
  <si>
    <t>RPRO-2310-10775</t>
  </si>
  <si>
    <t>DC-001509</t>
  </si>
  <si>
    <t>RPRO-2310-10776</t>
  </si>
  <si>
    <t>RPRO-2310-10777</t>
  </si>
  <si>
    <t>RPRO-2310-10778</t>
  </si>
  <si>
    <t>DC-001923</t>
  </si>
  <si>
    <t>71R EPM MERRY MESH(LJB-730) 44" 220G</t>
  </si>
  <si>
    <t>RPRO-2310-10779</t>
  </si>
  <si>
    <t>RPRO-2310-10780</t>
  </si>
  <si>
    <t>DC-001500</t>
  </si>
  <si>
    <t>RPRO-2310-10781</t>
  </si>
  <si>
    <t>RPRO-2310-10782</t>
  </si>
  <si>
    <t>DC-001394</t>
  </si>
  <si>
    <t>RPRO-2310-10783</t>
  </si>
  <si>
    <t>RPRO-2310-10784</t>
  </si>
  <si>
    <t>RPRO-2310-10785</t>
  </si>
  <si>
    <t>RPRO-2310-10786</t>
  </si>
  <si>
    <t>DC-001315</t>
  </si>
  <si>
    <t>26B (PP)LINING KNIT MATTE MICRO (SHASTA) REC 44" 309G</t>
  </si>
  <si>
    <t>RPRO-2310-10787</t>
  </si>
  <si>
    <t>RPRO-2310-10788</t>
  </si>
  <si>
    <t>DC-001715</t>
  </si>
  <si>
    <t>2GY COLORO (PP)LINING KNIT MATTE MICRO (HOOD) REC 44" 250G</t>
  </si>
  <si>
    <t>RPRO-2310-10789</t>
  </si>
  <si>
    <t>DC-001747</t>
  </si>
  <si>
    <t>11M EPM ELILON 44" 280G</t>
  </si>
  <si>
    <t>RPRO-2310-10791</t>
  </si>
  <si>
    <t>DC-001378</t>
  </si>
  <si>
    <t>58C MERRY MESH(LJB-540) 44" 250G</t>
  </si>
  <si>
    <t>RPRO-2310-10795</t>
  </si>
  <si>
    <t>DC-001389</t>
  </si>
  <si>
    <t>RPRO-2310-10805</t>
  </si>
  <si>
    <t>DC-001672</t>
  </si>
  <si>
    <t>20I LJ-A1999 (FP) DURAPLUSH 1TONE FDY-SD REC 44" 240G</t>
  </si>
  <si>
    <t>RPRO-2310-10806</t>
  </si>
  <si>
    <t>DC-001367</t>
  </si>
  <si>
    <t>RPRO-2310-10807</t>
  </si>
  <si>
    <t>RPRO-2310-10808</t>
  </si>
  <si>
    <t>DC-001254</t>
  </si>
  <si>
    <t>RPRO-2310-10809</t>
  </si>
  <si>
    <t>RPRO-2310-10811</t>
  </si>
  <si>
    <t>DC-001758</t>
  </si>
  <si>
    <t>RPRO-2310-10812</t>
  </si>
  <si>
    <t>DC-001759</t>
  </si>
  <si>
    <t>12J MERRY MESH(LJB-540) 44" 250G</t>
  </si>
  <si>
    <t>RPRO-2310-10813</t>
  </si>
  <si>
    <t>RPRO-2310-10814</t>
  </si>
  <si>
    <t>DC-001929</t>
  </si>
  <si>
    <t>6DQ MERRY MESH(LJB-540) 44" 250G</t>
  </si>
  <si>
    <t>RPRO-2310-10815</t>
  </si>
  <si>
    <t>RPRO-2310-10816</t>
  </si>
  <si>
    <t>DC-001930</t>
  </si>
  <si>
    <t>RPRO-2310-10817</t>
  </si>
  <si>
    <t>DC-001412</t>
  </si>
  <si>
    <t>RPRO-2310-10818</t>
  </si>
  <si>
    <t>DC-001931</t>
  </si>
  <si>
    <t>RPRO-2310-10819</t>
  </si>
  <si>
    <t>RPRO-2310-10820</t>
  </si>
  <si>
    <t>RPRO-2310-10821</t>
  </si>
  <si>
    <t>RPRO-2310-10822</t>
  </si>
  <si>
    <t>RPRO-251021-0077</t>
  </si>
  <si>
    <t>OrthoLite Ultra SEEDPEARL/12-0703TPX 0.085D 25+/-4 Asker C 1.1M 2M 6mm</t>
  </si>
  <si>
    <t>DC-001955</t>
  </si>
  <si>
    <t>DC-002059</t>
  </si>
  <si>
    <t>04Z EPM ELILON 44" 280G</t>
  </si>
  <si>
    <t>OrthoLite Ultra GREEN/16-5932TPX Flat Sheet 0.085D 25+/-4 Asker C 1.1M 2M 5mm</t>
  </si>
  <si>
    <t>145-17-00 LJ-B1150B-EPM5 44" 170G</t>
  </si>
  <si>
    <t>DC-008166</t>
  </si>
  <si>
    <t>000-55-00 LJ-B1150B-EPM5 44" 170G</t>
  </si>
  <si>
    <t>DC-016144</t>
  </si>
  <si>
    <t>BLACK C HF-SL01670 P EPM5 (100% Recycle Polyester) 48" 270G</t>
  </si>
  <si>
    <t>DC-016146</t>
  </si>
  <si>
    <t>13-4201TCX (Oyster Mushroom) HF-SL01670 P EPM5 (100% Recycle Polyester) 48" 270G</t>
  </si>
  <si>
    <t>29E DURAPLUSH LJ-A2700 44" 250G</t>
  </si>
  <si>
    <t>DC-001284</t>
  </si>
  <si>
    <t>10A EPM MERRY MESH(LJB-730) 44" 220G</t>
  </si>
  <si>
    <t>DC-016890</t>
  </si>
  <si>
    <t>19-3920TCX HF-SL01670 P EPM5 (100% Recycle Polyester) 48" 270G</t>
  </si>
  <si>
    <t>DC-016889</t>
  </si>
  <si>
    <t>00A EPM MERRY MESH(LJB-730) 44" 220G</t>
  </si>
  <si>
    <t>OrthoLite Regular-Nike AIR BLUE/16-4134TPX Flat Sheet 0.11D 25+/-4 Asker C 1.1M 1.7M 2mm</t>
  </si>
  <si>
    <t>DC-008951</t>
  </si>
  <si>
    <t>2AI EPM ELILON 44" 280G</t>
  </si>
  <si>
    <t>00A (PP)LINING KNIT MATTE MICRO (SHASTA) REC 44" 309G</t>
  </si>
  <si>
    <t>DC-013592</t>
  </si>
  <si>
    <t>DC-016935</t>
  </si>
  <si>
    <t>Bleach White A1154Y (100% recycled polyester) 49" 182G</t>
  </si>
  <si>
    <t>DC-014672</t>
  </si>
  <si>
    <t>19-3908TPX A1154Y (100% recycled polyester) 49" 182G</t>
  </si>
  <si>
    <t>RPRO-251110-0222</t>
  </si>
  <si>
    <t>RPRO-251110-0223</t>
  </si>
  <si>
    <t>RPRO-251110-0231</t>
  </si>
  <si>
    <t>RPRO-251110-0232</t>
  </si>
  <si>
    <t>RPRO-251110-0233</t>
  </si>
  <si>
    <t>RPRO-251110-0234</t>
  </si>
  <si>
    <t>RPRO-251110-0235</t>
  </si>
  <si>
    <t>RPRO-251111-0080</t>
  </si>
  <si>
    <t>Grade School</t>
  </si>
  <si>
    <t>DC-014506</t>
  </si>
  <si>
    <t>DC-001271</t>
  </si>
  <si>
    <t>DC-013749</t>
  </si>
  <si>
    <t>DC-006416</t>
  </si>
  <si>
    <t>DC-013431</t>
  </si>
  <si>
    <t>18-4006TCX YH-S960 EPM5 (100% Recycled PET) 44'' 198G</t>
  </si>
  <si>
    <t>DC-016351</t>
  </si>
  <si>
    <t>05I MERRY MESH LJ-B540-EPM5 1TONE DTY REC (PCX#206190)(MCS#LU1P/PK5929) 44" 250G</t>
  </si>
  <si>
    <t>DC-014201</t>
  </si>
  <si>
    <t>DC-017150</t>
  </si>
  <si>
    <t>005-18-00 (Puma Black) PH WS320000 SINGLE LAYER MESH (100% RECYCLED PET) SOFTERNER 44" 179G</t>
  </si>
  <si>
    <t>DC-017108</t>
  </si>
  <si>
    <t>DC-014235</t>
  </si>
  <si>
    <t>DC-016709</t>
  </si>
  <si>
    <t>DC-014780</t>
  </si>
  <si>
    <t>RPRO-251126-0224</t>
  </si>
  <si>
    <t>DC-017197</t>
  </si>
  <si>
    <t>07P (PP)LINING KNIT MATTE MICRO (HOOD) REC 44" 250G</t>
  </si>
  <si>
    <t>DC-011910</t>
  </si>
  <si>
    <t>DC-016463</t>
  </si>
  <si>
    <t>DC-007879</t>
  </si>
  <si>
    <t>DC-003966</t>
  </si>
  <si>
    <t>DC-015822</t>
  </si>
  <si>
    <t>DC-012265</t>
  </si>
  <si>
    <t>DC-017225</t>
  </si>
  <si>
    <t>145-17-00 LJ-B0771-NB-VEPM5 44" 220G</t>
  </si>
  <si>
    <t>RPRO-251128-0085</t>
  </si>
  <si>
    <t>TV-067 - DAO GHÉP QUAY ĐẦU (D-0493)</t>
  </si>
  <si>
    <t>White=129-96-00 5.5OZ CANVAS 44" 180G</t>
  </si>
  <si>
    <t>076-94-00 LJ-B1-1-EPM1 44" 180G</t>
  </si>
  <si>
    <t>145-17-00 LJ-B1-1-VEPM5 44" 180G</t>
  </si>
  <si>
    <t>DC-009717</t>
  </si>
  <si>
    <t>AA2U FORTUNE EPM5(PC) 46" 225G</t>
  </si>
  <si>
    <t>DC-009724</t>
  </si>
  <si>
    <t>DC-005007</t>
  </si>
  <si>
    <t>AEWQ(NEON) FORTUNE EPM5(PC) 46" 225G</t>
  </si>
  <si>
    <t>DC-005536</t>
  </si>
  <si>
    <t>DC-014930</t>
  </si>
  <si>
    <t>DC-012475</t>
  </si>
  <si>
    <t>DC-013090</t>
  </si>
  <si>
    <t>17-0613TCX DJT-8543 GUSTI TEX(EPM 100%) 44" 315G</t>
  </si>
  <si>
    <t>DC-017297</t>
  </si>
  <si>
    <t>Junior's</t>
  </si>
  <si>
    <t>RPRO-251205-0001</t>
  </si>
  <si>
    <t>DC-017298</t>
  </si>
  <si>
    <t>DC-006506</t>
  </si>
  <si>
    <t>00A (PP)LINING,KNIT,MATTE,FLAT,(LENA),REC 44" 210G</t>
  </si>
  <si>
    <t>DC-009866</t>
  </si>
  <si>
    <t>18-1664TPX (BARCO) 100% RECYCLED CK MESH POST CONSUMER UNBACKED 46" 180G</t>
  </si>
  <si>
    <t>DC-015919</t>
  </si>
  <si>
    <t>04Z DURAPLUSH LJ-A2700 44" 250G</t>
  </si>
  <si>
    <t>DC-015918</t>
  </si>
  <si>
    <t>2CQ DURAPLUSH LJ-A2700 44" 250G</t>
  </si>
  <si>
    <t>DC-014369</t>
  </si>
  <si>
    <t>DC-015042</t>
  </si>
  <si>
    <t>RPRO-251211-0031</t>
  </si>
  <si>
    <t>DC-009649</t>
  </si>
  <si>
    <t>RPRO-251211-0035</t>
  </si>
  <si>
    <t>RPRO-251211-0037</t>
  </si>
  <si>
    <t>DC-016848</t>
  </si>
  <si>
    <t>DC-011220</t>
  </si>
  <si>
    <t>OrthoLite Eco LT-Hybrid SEEDPEARL/12-0703TPX Hybrid 0.11D 25+/-4 Asker C 1.1M 1.47M 4mm</t>
  </si>
  <si>
    <t>145-17-00  Velvetex Unbacked 60" 240G</t>
  </si>
  <si>
    <t>DC-017363</t>
  </si>
  <si>
    <t>RPRO-251215-0016</t>
  </si>
  <si>
    <t>RPRO-251215-0017</t>
  </si>
  <si>
    <t>RPRO-251215-0018</t>
  </si>
  <si>
    <t>RPRO-251215-0019</t>
  </si>
  <si>
    <t>RPRO-251215-0020</t>
  </si>
  <si>
    <t>DC-014222</t>
  </si>
  <si>
    <t>DC-017496</t>
  </si>
  <si>
    <t>DC-015708</t>
  </si>
  <si>
    <t>RPRO-2407-09197</t>
  </si>
  <si>
    <t>DC-009089</t>
  </si>
  <si>
    <t>3EE (PP)LINING KNIT MATTE MICRO (HOOD) REC 44" 250G</t>
  </si>
  <si>
    <t>RPRO-2407-09198</t>
  </si>
  <si>
    <t>DC-009090</t>
  </si>
  <si>
    <t>DC-012714</t>
  </si>
  <si>
    <t>DC-013430</t>
  </si>
  <si>
    <t>19-3911TCX YH-S960 EPM5 (100% Recycled PET) 44'' 198G</t>
  </si>
  <si>
    <t>DC-014501</t>
  </si>
  <si>
    <t>DC-011335</t>
  </si>
  <si>
    <t>RPRO-251222-0848</t>
  </si>
  <si>
    <t>SL-14849W (D-0728)</t>
  </si>
  <si>
    <t>Zara-01 (D-0727)</t>
  </si>
  <si>
    <t>DC-014539</t>
  </si>
  <si>
    <t>29B (PP)LINING KNIT MATTE MICRO (HOOD) REC 44" 250G</t>
  </si>
  <si>
    <t>DC-017540</t>
  </si>
  <si>
    <t>RPRO-251224-0321</t>
  </si>
  <si>
    <t>RPRO-251224-0351</t>
  </si>
  <si>
    <t>DC-006146</t>
  </si>
  <si>
    <t>RPRO-251224-0854</t>
  </si>
  <si>
    <t>DC-014838</t>
  </si>
  <si>
    <t>19-3917TCX LJ-B0001-DDY-EPM5 44" 225G</t>
  </si>
  <si>
    <t>RPRO-251224-0856</t>
  </si>
  <si>
    <t>RPRO-251224-0858</t>
  </si>
  <si>
    <t>RPRO-251224-0860</t>
  </si>
  <si>
    <t>RPRO-251224-0862</t>
  </si>
  <si>
    <t>RPRO-251224-0864</t>
  </si>
  <si>
    <t>RPRO-251224-0866</t>
  </si>
  <si>
    <t>RPRO-251224-0868</t>
  </si>
  <si>
    <t>RPRO-251224-0870</t>
  </si>
  <si>
    <t>RPRO-251224-0874</t>
  </si>
  <si>
    <t>RPRO-251224-0876</t>
  </si>
  <si>
    <t>DC-016145</t>
  </si>
  <si>
    <t>19-3917TCX (Blackened Pearl) HF-SL01670 P EPM5 (100% Recycle Polyester) 48" 270G</t>
  </si>
  <si>
    <t>RPRO-251224-0878</t>
  </si>
  <si>
    <t>RPRO-251224-0880</t>
  </si>
  <si>
    <t>RPRO-251224-0882</t>
  </si>
  <si>
    <t>RPRO-251224-0884</t>
  </si>
  <si>
    <t>RPRO-251224-0886</t>
  </si>
  <si>
    <t>RPRO-251224-0888</t>
  </si>
  <si>
    <t>RPRO-251224-0890</t>
  </si>
  <si>
    <t>RPRO-251224-0892</t>
  </si>
  <si>
    <t>DC-012258</t>
  </si>
  <si>
    <t>RPRO-251225-0596</t>
  </si>
  <si>
    <t>RPRO-251225-0602</t>
  </si>
  <si>
    <t>RPRO-251225-0608</t>
  </si>
  <si>
    <t>RPRO-251225-0614</t>
  </si>
  <si>
    <t>RPRO-251225-0620</t>
  </si>
  <si>
    <t>RPRO-251225-0626</t>
  </si>
  <si>
    <t>RPRO-251225-0632</t>
  </si>
  <si>
    <t>RPRO-251225-0638</t>
  </si>
  <si>
    <t>RPRO-251225-0644</t>
  </si>
  <si>
    <t>RPRO-251225-0650</t>
  </si>
  <si>
    <t>RPRO-251225-0655</t>
  </si>
  <si>
    <t>RPRO-251225-0660</t>
  </si>
  <si>
    <t>RPRO-251225-0664</t>
  </si>
  <si>
    <t>RPRO-251225-0668</t>
  </si>
  <si>
    <t>RPRO-251225-0672</t>
  </si>
  <si>
    <t>RPRO-251225-0676</t>
  </si>
  <si>
    <t>RPRO-251225-0680</t>
  </si>
  <si>
    <t>RPRO-251225-0684</t>
  </si>
  <si>
    <t>RPRO-251225-0687</t>
  </si>
  <si>
    <t>DC-017547</t>
  </si>
  <si>
    <t>DC-017545</t>
  </si>
  <si>
    <t>0AI EPM ELILON 44" 280G</t>
  </si>
  <si>
    <t>DC-015405</t>
  </si>
  <si>
    <t>DC-016947</t>
  </si>
  <si>
    <t>09R EPM ELILON 44" 280G</t>
  </si>
  <si>
    <t>DC-017302</t>
  </si>
  <si>
    <t>24G EPM ELILON 44" 280G</t>
  </si>
  <si>
    <t>RPRO-251225-0521</t>
  </si>
  <si>
    <t>DC-016209</t>
  </si>
  <si>
    <t>04Z (PP)LINING KNIT MATTE MICRO (SHASTA) REC 44" 309G</t>
  </si>
  <si>
    <t>RPRO-251225-0526</t>
  </si>
  <si>
    <t>RPRO-251225-0531</t>
  </si>
  <si>
    <t>DC-015913</t>
  </si>
  <si>
    <t>DC-015912</t>
  </si>
  <si>
    <t>DC-017541</t>
  </si>
  <si>
    <t>TNF-R2-8 (D-0604)</t>
  </si>
  <si>
    <t>TNF BLACK (CSI) CK MESH UNBACKED 46" 180G</t>
  </si>
  <si>
    <t>DC-013772</t>
  </si>
  <si>
    <t>RPRO-251225-0704</t>
  </si>
  <si>
    <t>DC-013770</t>
  </si>
  <si>
    <t>029-56-02 COLORO CK MESH UNBACKED 46" 180G</t>
  </si>
  <si>
    <t>RPRO-251225-0713</t>
  </si>
  <si>
    <t>RPRO-251225-0722</t>
  </si>
  <si>
    <t>RPRO-251225-0731</t>
  </si>
  <si>
    <t>RPRO-251225-0475</t>
  </si>
  <si>
    <t>RPRO-251225-0485</t>
  </si>
  <si>
    <t>RPRO-251225-0500</t>
  </si>
  <si>
    <t>RPRO-251225-0505</t>
  </si>
  <si>
    <t>RPRO-251225-0530</t>
  </si>
  <si>
    <t>RPRO-251225-0545</t>
  </si>
  <si>
    <t>RPRO-251225-0560</t>
  </si>
  <si>
    <t>RPRO-251225-0776</t>
  </si>
  <si>
    <t>RPRO-251225-0779</t>
  </si>
  <si>
    <t>DC-006072</t>
  </si>
  <si>
    <t>RPRO-251226-0028</t>
  </si>
  <si>
    <t>DC-017564</t>
  </si>
  <si>
    <t>DC-017561</t>
  </si>
  <si>
    <t>STOM-B (D-0725)</t>
  </si>
  <si>
    <t>SP-105 (D-0664)</t>
  </si>
  <si>
    <t>ZOE (D-0667)</t>
  </si>
  <si>
    <t>SP-102 (D-0663)</t>
  </si>
  <si>
    <t>SP-102 (D-0662)</t>
  </si>
  <si>
    <t>DC-017484</t>
  </si>
  <si>
    <t>DC-017486</t>
  </si>
  <si>
    <t>48P (PP)LINING,KNIT,MATTE,FLAT (FRESNO),REC-RYP 44" 210G</t>
  </si>
  <si>
    <t>10A (PP)LINING,KNIT,MATTE,FLAT (FRESNO),REC-RYP 44" 210G</t>
  </si>
  <si>
    <t>DC-017559</t>
  </si>
  <si>
    <t>DC-006559</t>
  </si>
  <si>
    <t>DC-007158</t>
  </si>
  <si>
    <t>RPRO-251229-1184</t>
  </si>
  <si>
    <t>RPRO-251229-1265</t>
  </si>
  <si>
    <t>RPRO-251229-1271</t>
  </si>
  <si>
    <t>RPRO-251229-1274</t>
  </si>
  <si>
    <t>DC-009960</t>
  </si>
  <si>
    <t>DC-017612</t>
  </si>
  <si>
    <t>DC-017598</t>
  </si>
  <si>
    <t>DC-017214</t>
  </si>
  <si>
    <t>DC-017592</t>
  </si>
  <si>
    <t>DC-017595</t>
  </si>
  <si>
    <t>DC-017711</t>
  </si>
  <si>
    <t>DC-017594</t>
  </si>
  <si>
    <t>DC-017593</t>
  </si>
  <si>
    <t>DC-014811</t>
  </si>
  <si>
    <t>JV1-0695-3 (Skive arch)</t>
  </si>
  <si>
    <t>RPRO-251229-1162</t>
  </si>
  <si>
    <t>DC-015010</t>
  </si>
  <si>
    <t>DC-007693</t>
  </si>
  <si>
    <t>06F EPM ELILON 44" 280G</t>
  </si>
  <si>
    <t>RPRO-251229-1501</t>
  </si>
  <si>
    <t>DC-012524</t>
  </si>
  <si>
    <t>RPRO-251230-0273</t>
  </si>
  <si>
    <t>DC-017647</t>
  </si>
  <si>
    <t>DC-017646</t>
  </si>
  <si>
    <t>05Q MERRY MESH LJ-B540-EPM5 1TONE DTY REC (PCX#206190)(MCS#LU1P/PK5929) 44" 250G</t>
  </si>
  <si>
    <t>DC-017649</t>
  </si>
  <si>
    <t>58V MERRY MESH LJ-B540-EPM5 1TONE DTY REC (PCX#206190)(MCS#LU1P/PK5929) 44" 250G</t>
  </si>
  <si>
    <t>DC-017478</t>
  </si>
  <si>
    <t>DC-016707</t>
  </si>
  <si>
    <t>DC-016055</t>
  </si>
  <si>
    <t>DC-001545</t>
  </si>
  <si>
    <t>10L (PP)LINING,KNIT,MATTE,FLAT,(LENA),REC 44" 210G</t>
  </si>
  <si>
    <t>RPRO-251231-0022</t>
  </si>
  <si>
    <t>DC-013920</t>
  </si>
  <si>
    <t>RPRO-251231-0034</t>
  </si>
  <si>
    <t>DC-016210</t>
  </si>
  <si>
    <t>4CA (PP)LINING KNIT MATTE MICRO (SHASTA) REC 44" 309G</t>
  </si>
  <si>
    <t>RPRO-251231-0036</t>
  </si>
  <si>
    <t>RPRO-260105-0703</t>
  </si>
  <si>
    <t>RPRO-251231-0005</t>
  </si>
  <si>
    <t>RPRO-260103-0078</t>
  </si>
  <si>
    <t>DC-015938</t>
  </si>
  <si>
    <t>DC-017288</t>
  </si>
  <si>
    <t>DC-016225</t>
  </si>
  <si>
    <t>DC-015939</t>
  </si>
  <si>
    <t>RPRO-260102-0253</t>
  </si>
  <si>
    <t>DC-017582</t>
  </si>
  <si>
    <t>RPRO-260102-0256</t>
  </si>
  <si>
    <t>44B (PP)LINING KNIT MATTE MICRO (HOOD) REC 44" 250G (B)</t>
  </si>
  <si>
    <t>DC-017675</t>
  </si>
  <si>
    <t>DC-017673</t>
  </si>
  <si>
    <t>DC-012324</t>
  </si>
  <si>
    <t>4KQ (PP)LINING KNIT MATTE MICRO (HOOD) REC 44" 250G</t>
  </si>
  <si>
    <t>DC-015707</t>
  </si>
  <si>
    <t>3LV (PP)LINING KNIT MATTE MICRO (HOOD) REC 44" 250G</t>
  </si>
  <si>
    <t>RPRO-260105-0083</t>
  </si>
  <si>
    <t>DC-013921</t>
  </si>
  <si>
    <t>25B (PP)LINING KNIT MATTE MICRO (HOOD) REC 44" 250G</t>
  </si>
  <si>
    <t>DC-017713</t>
  </si>
  <si>
    <t>DC-012117</t>
  </si>
  <si>
    <t>076-94-00 LJ-B4-EPM5 44" 220G</t>
  </si>
  <si>
    <t>DC-017714</t>
  </si>
  <si>
    <t>RPRO-260105-0725</t>
  </si>
  <si>
    <t>RPRO-260105-0727</t>
  </si>
  <si>
    <t>RPRO-260105-0729</t>
  </si>
  <si>
    <t>RPRO-260105-0731</t>
  </si>
  <si>
    <t>RPRO-260105-0733</t>
  </si>
  <si>
    <t>RPRO-260105-0265</t>
  </si>
  <si>
    <t>RPRO-260105-0267</t>
  </si>
  <si>
    <t>RPRO-260105-0269</t>
  </si>
  <si>
    <t>RPRO-260105-0271</t>
  </si>
  <si>
    <t>RPRO-260105-0735</t>
  </si>
  <si>
    <t>RPRO-260105-0737</t>
  </si>
  <si>
    <t>RPRO-260105-0739</t>
  </si>
  <si>
    <t>RPRO-260105-0741</t>
  </si>
  <si>
    <t>RPRO-260105-0743</t>
  </si>
  <si>
    <t>RPRO-260105-0745</t>
  </si>
  <si>
    <t>RPRO-260105-0747</t>
  </si>
  <si>
    <t>RPRO-260105-0749</t>
  </si>
  <si>
    <t>RPRO-260105-0751</t>
  </si>
  <si>
    <t>RPRO-260105-0753</t>
  </si>
  <si>
    <t>RPRO-260105-0755</t>
  </si>
  <si>
    <t>RPRO-260105-0757</t>
  </si>
  <si>
    <t>RPRO-260105-0273</t>
  </si>
  <si>
    <t>RPRO-260105-0275</t>
  </si>
  <si>
    <t>RPRO-260105-0277</t>
  </si>
  <si>
    <t>RPRO-260105-0279</t>
  </si>
  <si>
    <t>RPRO-260105-0281</t>
  </si>
  <si>
    <t>RPRO-260105-0283</t>
  </si>
  <si>
    <t>RPRO-260105-0285</t>
  </si>
  <si>
    <t>RPRO-260105-0095</t>
  </si>
  <si>
    <t>RPRO-260105-0097</t>
  </si>
  <si>
    <t>RPRO-260105-0099</t>
  </si>
  <si>
    <t>RPRO-260105-0101</t>
  </si>
  <si>
    <t>RPRO-260105-0104</t>
  </si>
  <si>
    <t>RPRO-260105-0759</t>
  </si>
  <si>
    <t>RPRO-260105-0761</t>
  </si>
  <si>
    <t>RPRO-260105-0763</t>
  </si>
  <si>
    <t>RPRO-260105-0765</t>
  </si>
  <si>
    <t>RPRO-260105-0767</t>
  </si>
  <si>
    <t>RPRO-260105-0769</t>
  </si>
  <si>
    <t>RPRO-260105-0106</t>
  </si>
  <si>
    <t>DC-017712</t>
  </si>
  <si>
    <t>RPRO-260105-0108</t>
  </si>
  <si>
    <t>RPRO-260105-0110</t>
  </si>
  <si>
    <t>RPRO-260105-0112</t>
  </si>
  <si>
    <t>RPRO-260105-0114</t>
  </si>
  <si>
    <t>RPRO-260105-0116</t>
  </si>
  <si>
    <t>RPRO-260105-0118</t>
  </si>
  <si>
    <t>RPRO-260105-0120</t>
  </si>
  <si>
    <t>RPRO-260105-0771</t>
  </si>
  <si>
    <t>DC-017715</t>
  </si>
  <si>
    <t>2HI MERRY MESH LJ-B540-EPM5 1TONE DTY REC (PCX#206190)(MCS#LU1P/PK5929) 44" 250G</t>
  </si>
  <si>
    <t>DC-014507</t>
  </si>
  <si>
    <t>DC-015706</t>
  </si>
  <si>
    <t>00A MSO-AERO MONEYLON REC (100%), DJT-995-R(100) 44" 255G (PCX#244537)</t>
  </si>
  <si>
    <t>DC-015705</t>
  </si>
  <si>
    <t>10A MSO-AERO MONEYLON REC (100%), DJT-995-R(100) 44" 255G (PCX#244537)</t>
  </si>
  <si>
    <t>RPRO-260107-0016</t>
  </si>
  <si>
    <t>RPRO-260107-0017</t>
  </si>
  <si>
    <t>RPRO-260107-0018</t>
  </si>
  <si>
    <t>RPRO-260107-0007</t>
  </si>
  <si>
    <t>DC-012380</t>
  </si>
  <si>
    <t>959/960 (Y-74/Y-75) (D-0537)</t>
  </si>
  <si>
    <t>OrthoLite Recycled MULTICOLOR Recycled 0.23D 25-43 Asker C 1.1M 1.47M 3mm</t>
  </si>
  <si>
    <t>BOSFORO BLACK FELTUS RECYCLED 58" 400G</t>
  </si>
  <si>
    <t>RPRO-260107-0008</t>
  </si>
  <si>
    <t>DC-009864</t>
  </si>
  <si>
    <t>AB27(920) (D-0509)</t>
  </si>
  <si>
    <t>OrthoLite Recycled MULTICOLOR Recycled 0.23D 25-43 Asker C 1.1M 2M 3mm</t>
  </si>
  <si>
    <t>RPRO-260107-0044</t>
  </si>
  <si>
    <t>RPRO-260107-0045</t>
  </si>
  <si>
    <t>RPRO-260107-0046</t>
  </si>
  <si>
    <t>RPRO-260107-0047</t>
  </si>
  <si>
    <t>RPRO-260107-0048</t>
  </si>
  <si>
    <t>RPRO-260107-0049</t>
  </si>
  <si>
    <t>RPRO-260107-0050</t>
  </si>
  <si>
    <t>RPRO-260107-0051</t>
  </si>
  <si>
    <t>RPRO-260107-0052</t>
  </si>
  <si>
    <t>RPRO-260107-0053</t>
  </si>
  <si>
    <t>RPRO-260107-0054</t>
  </si>
  <si>
    <t>RPRO-260107-0055</t>
  </si>
  <si>
    <t>RPRO-260107-0056</t>
  </si>
  <si>
    <t>RPRO-260107-0057</t>
  </si>
  <si>
    <t>RPRO-260107-0058</t>
  </si>
  <si>
    <t>RPRO-260107-0059</t>
  </si>
  <si>
    <t>RPRO-260107-0060</t>
  </si>
  <si>
    <t>RPRO-260107-0061</t>
  </si>
  <si>
    <t>RPRO-260107-0062</t>
  </si>
  <si>
    <t>RPRO-260107-0063</t>
  </si>
  <si>
    <t>RPRO-260107-0064</t>
  </si>
  <si>
    <t>RPRO-260107-0065</t>
  </si>
  <si>
    <t>RPRO-260107-0066</t>
  </si>
  <si>
    <t>RPRO-260107-0067</t>
  </si>
  <si>
    <t>RPRO-260107-0068</t>
  </si>
  <si>
    <t>RPRO-260107-0069</t>
  </si>
  <si>
    <t>RPRO-260107-0071</t>
  </si>
  <si>
    <t>RPRO-260107-0072</t>
  </si>
  <si>
    <t>RPRO-260107-0073</t>
  </si>
  <si>
    <t>DC-017736</t>
  </si>
  <si>
    <t>RPRO-260107-0076</t>
  </si>
  <si>
    <t>DC-008100</t>
  </si>
  <si>
    <t>DC-014096</t>
  </si>
  <si>
    <t>DC-001663</t>
  </si>
  <si>
    <t>10J EPM ELILON 44" 280G</t>
  </si>
  <si>
    <t>RPRO-260107-0086</t>
  </si>
  <si>
    <t>RPRO-260107-0087</t>
  </si>
  <si>
    <t>RPRO-260107-0088</t>
  </si>
  <si>
    <t>RPRO-260107-0092</t>
  </si>
  <si>
    <t>DC-017737</t>
  </si>
  <si>
    <t>6JB (PP)LINING KNIT MATTE MICRO (HOOD) REC 44" 250G (A)</t>
  </si>
  <si>
    <t>RPRO-260108-0107</t>
  </si>
  <si>
    <t>RPRO-260107-0101</t>
  </si>
  <si>
    <t>RPRO-260107-0162</t>
  </si>
  <si>
    <t>DC-013691</t>
  </si>
  <si>
    <t>017-79-00 LJ-B0771-NB-VEPM5 44" 220G</t>
  </si>
  <si>
    <t>RPRO-260107-0163</t>
  </si>
  <si>
    <t>DC-013692</t>
  </si>
  <si>
    <t>RPRO-260107-0164</t>
  </si>
  <si>
    <t>RPRO-260107-0165</t>
  </si>
  <si>
    <t>RPRO-260107-0166</t>
  </si>
  <si>
    <t>RPRO-260107-0167</t>
  </si>
  <si>
    <t>RPRO-260107-0168</t>
  </si>
  <si>
    <t>RPRO-260107-0169</t>
  </si>
  <si>
    <t>RPRO-260107-0170</t>
  </si>
  <si>
    <t>RPRO-260107-0171</t>
  </si>
  <si>
    <t>RPRO-260107-0172</t>
  </si>
  <si>
    <t>RPRO-260107-0173</t>
  </si>
  <si>
    <t>RPRO-260107-0174</t>
  </si>
  <si>
    <t>RPRO-260107-0175</t>
  </si>
  <si>
    <t>RPRO-260107-0176</t>
  </si>
  <si>
    <t>RPRO-260107-0177</t>
  </si>
  <si>
    <t>BLACK C HF-SL01670 P EPM5 DOPE DYE (100% Recycle Polyester) 48" 270G</t>
  </si>
  <si>
    <t>RPRO-260108-0008</t>
  </si>
  <si>
    <t>19-3920TCX HF-SL01670 P EPM5 DOPE DYE (100% Recycle Polyester) 48" 270G</t>
  </si>
  <si>
    <t>RPRO-260108-0010</t>
  </si>
  <si>
    <t>13-4201TCX (Oyster Mushroom) HF-SL01670 P EPM5 DOPE DYE (100% Recycle Polyester) 48" 270G</t>
  </si>
  <si>
    <t>RPRO-260108-0011</t>
  </si>
  <si>
    <t>RPRO-260108-0012</t>
  </si>
  <si>
    <t>RPRO-260108-0013</t>
  </si>
  <si>
    <t>DC-016113</t>
  </si>
  <si>
    <t>RPRO-260108-0014</t>
  </si>
  <si>
    <t>RPRO-260108-0027</t>
  </si>
  <si>
    <t>RPRO-260108-0028</t>
  </si>
  <si>
    <t>RPRO-260108-0029</t>
  </si>
  <si>
    <t>RPRO-260108-0030</t>
  </si>
  <si>
    <t>RPRO-260108-0031</t>
  </si>
  <si>
    <t>RPRO-260108-0032</t>
  </si>
  <si>
    <t>RPRO-260108-0033</t>
  </si>
  <si>
    <t>RPRO-260108-0034</t>
  </si>
  <si>
    <t>RPRO-260108-0035</t>
  </si>
  <si>
    <t>RPRO-260108-0036</t>
  </si>
  <si>
    <t>RPRO-260108-0037</t>
  </si>
  <si>
    <t>RPRO-260108-0038</t>
  </si>
  <si>
    <t>RPRO-260108-0039</t>
  </si>
  <si>
    <t>RPRO-260108-0040</t>
  </si>
  <si>
    <t>RPRO-260108-0041</t>
  </si>
  <si>
    <t>Pousung test</t>
  </si>
  <si>
    <t>DC-017534</t>
  </si>
  <si>
    <t>DC-016534</t>
  </si>
  <si>
    <t>DC-016399</t>
  </si>
  <si>
    <t>RPRO-260113-0422</t>
  </si>
  <si>
    <t>RPRO-260113-0423</t>
  </si>
  <si>
    <t>DC-000603</t>
  </si>
  <si>
    <t>OrthoLite Ultra-Hybrid SEEDPEARL/12-0703TPX Hybrid 0.085D 25+/-4 Asker C 1.1M 2M 5mm</t>
  </si>
  <si>
    <t>DC-017218</t>
  </si>
  <si>
    <t>DC-017221</t>
  </si>
  <si>
    <t>DC-017224</t>
  </si>
  <si>
    <t>DC-017222</t>
  </si>
  <si>
    <t>RPRO-260113-0537</t>
  </si>
  <si>
    <t>RPRO-260113-0538</t>
  </si>
  <si>
    <t>RPRO-260113-0539</t>
  </si>
  <si>
    <t>RPRO-260113-0540</t>
  </si>
  <si>
    <t>RPRO-260113-0541</t>
  </si>
  <si>
    <t>RPRO-260113-0542</t>
  </si>
  <si>
    <t>RPRO-260113-0543</t>
  </si>
  <si>
    <t>RPRO-260113-0544</t>
  </si>
  <si>
    <t>RPRO-260113-0545</t>
  </si>
  <si>
    <t>RPRO-260113-0546</t>
  </si>
  <si>
    <t>RPRO-260113-0547</t>
  </si>
  <si>
    <t>RPRO-260113-0548</t>
  </si>
  <si>
    <t>RPRO-260113-0549</t>
  </si>
  <si>
    <t>RPRO-260113-0550</t>
  </si>
  <si>
    <t>RPRO-260113-0551</t>
  </si>
  <si>
    <t>RPRO-260113-0552</t>
  </si>
  <si>
    <t>RPRO-260113-0553</t>
  </si>
  <si>
    <t>RPRO-260113-0554</t>
  </si>
  <si>
    <t>RPRO-260113-0555</t>
  </si>
  <si>
    <t>RPRO-260113-0556</t>
  </si>
  <si>
    <t>RPRO-260113-0557</t>
  </si>
  <si>
    <t>RPRO-260113-0558</t>
  </si>
  <si>
    <t>DC-017809</t>
  </si>
  <si>
    <t>RPRO-260113-0559</t>
  </si>
  <si>
    <t>RPRO-260113-0560</t>
  </si>
  <si>
    <t>RPRO-260113-0561</t>
  </si>
  <si>
    <t>RPRO-260113-0562</t>
  </si>
  <si>
    <t>RPRO-260113-0563</t>
  </si>
  <si>
    <t>RPRO-260113-0564</t>
  </si>
  <si>
    <t>RPRO-260113-0565</t>
  </si>
  <si>
    <t>RPRO-260113-0566</t>
  </si>
  <si>
    <t>RPRO-260113-0567</t>
  </si>
  <si>
    <t>RPRO-260113-0568</t>
  </si>
  <si>
    <t>RPRO-260113-0569</t>
  </si>
  <si>
    <t>RPRO-260113-0570</t>
  </si>
  <si>
    <t>RPRO-260113-0571</t>
  </si>
  <si>
    <t>RPRO-260113-0572</t>
  </si>
  <si>
    <t>RPRO-260113-0573</t>
  </si>
  <si>
    <t>RPRO-260113-0574</t>
  </si>
  <si>
    <t>RPRO-260113-0575</t>
  </si>
  <si>
    <t>RPRO-260113-0576</t>
  </si>
  <si>
    <t>RPRO-260113-0577</t>
  </si>
  <si>
    <t>RPRO-260113-0578</t>
  </si>
  <si>
    <t>RPRO-260113-0579</t>
  </si>
  <si>
    <t>DC-017810</t>
  </si>
  <si>
    <t>RPRO-260113-0580</t>
  </si>
  <si>
    <t>RPRO-260113-0581</t>
  </si>
  <si>
    <t>DC-017812</t>
  </si>
  <si>
    <t>RPRO-260113-0582</t>
  </si>
  <si>
    <t>RPRO-260113-0583</t>
  </si>
  <si>
    <t>RPRO-260113-0584</t>
  </si>
  <si>
    <t>RPRO-260113-0585</t>
  </si>
  <si>
    <t>RPRO-260113-0586</t>
  </si>
  <si>
    <t>DC-017813</t>
  </si>
  <si>
    <t>RPRO-260113-0587</t>
  </si>
  <si>
    <t>RPRO-260113-0588</t>
  </si>
  <si>
    <t>DC-017805</t>
  </si>
  <si>
    <t>RPRO-260114-0017</t>
  </si>
  <si>
    <t>RPRO-260114-0023</t>
  </si>
  <si>
    <t>DC-011529</t>
  </si>
  <si>
    <t>44B EPM ELILON 44" 280G</t>
  </si>
  <si>
    <t>DC-013406</t>
  </si>
  <si>
    <t>RPRO-260114-0060</t>
  </si>
  <si>
    <t>DC-017607</t>
  </si>
  <si>
    <t>DC-002752</t>
  </si>
  <si>
    <t>DC-016114</t>
  </si>
  <si>
    <t>19-3917TCX (Blackened Pearl) HF-SL01670 P EPM5 DOPE DYE (100% Recycle Polyester) 48" 270G</t>
  </si>
  <si>
    <t>RPRO-260115-0141</t>
  </si>
  <si>
    <t>RPRO-260115-0142</t>
  </si>
  <si>
    <t>RPRO-260115-0143</t>
  </si>
  <si>
    <t>RPRO-260115-0144</t>
  </si>
  <si>
    <t>RPRO-260115-0145</t>
  </si>
  <si>
    <t>RPRO-260115-0146</t>
  </si>
  <si>
    <t>RPRO-260115-0147</t>
  </si>
  <si>
    <t>RPRO-260115-0148</t>
  </si>
  <si>
    <t>RPRO-260115-0149</t>
  </si>
  <si>
    <t>RPRO-260116-0160</t>
  </si>
  <si>
    <t>DC-014783</t>
  </si>
  <si>
    <t>RBK4133-1L/H (D-0078)</t>
  </si>
  <si>
    <t>OrthoLite Regular RED/19-1764TPX 0.13D 35+/-4 Asker C 1.1M 1.47M 4mm</t>
  </si>
  <si>
    <t>091-63-26 ETC MESH EPM5 60" 365G</t>
  </si>
  <si>
    <t>RPRO-260116-0161</t>
  </si>
  <si>
    <t>RPRO-260116-0162</t>
  </si>
  <si>
    <t>RPRO-260116-0163</t>
  </si>
  <si>
    <t>RPRO-260116-0164</t>
  </si>
  <si>
    <t>RPRO-260116-0165</t>
  </si>
  <si>
    <t>RPRO-260116-0166</t>
  </si>
  <si>
    <t>RPRO-260116-0167</t>
  </si>
  <si>
    <t>RPRO-260116-0168</t>
  </si>
  <si>
    <t>RPRO-260116-0169</t>
  </si>
  <si>
    <t>RPRO-260116-0170</t>
  </si>
  <si>
    <t>RPRO-260116-0171</t>
  </si>
  <si>
    <t>RPRO-260116-0172</t>
  </si>
  <si>
    <t>DC-013263</t>
  </si>
  <si>
    <t>008-27-06 ETC MESH EPM5 60" 365G</t>
  </si>
  <si>
    <t>RPRO-260116-0173</t>
  </si>
  <si>
    <t>RPRO-260116-0174</t>
  </si>
  <si>
    <t>RPRO-260116-0175</t>
  </si>
  <si>
    <t>RPRO-260116-0176</t>
  </si>
  <si>
    <t>RPRO-260116-0177</t>
  </si>
  <si>
    <t>RPRO-260116-0178</t>
  </si>
  <si>
    <t>RPRO-260116-0179</t>
  </si>
  <si>
    <t>RPRO-260116-0180</t>
  </si>
  <si>
    <t>DC-014723</t>
  </si>
  <si>
    <t>128-27-24 ETC MESH EPM5 60" 365G</t>
  </si>
  <si>
    <t>RPRO-260116-0182</t>
  </si>
  <si>
    <t>DC-014722</t>
  </si>
  <si>
    <t>012-55-44 ETC MESH EPM5 60" 365G</t>
  </si>
  <si>
    <t>RPRO-260116-0188</t>
  </si>
  <si>
    <t>RPRO-260116-0189</t>
  </si>
  <si>
    <t>RPRO-260116-0192</t>
  </si>
  <si>
    <t>RPRO-260116-0193</t>
  </si>
  <si>
    <t>RPRO-260116-0194</t>
  </si>
  <si>
    <t>RPRO-260116-0195</t>
  </si>
  <si>
    <t>RPRO-260116-0197</t>
  </si>
  <si>
    <t>RPRO-260116-0198</t>
  </si>
  <si>
    <t>RPRO-260116-0199</t>
  </si>
  <si>
    <t>RPRO-260116-0200</t>
  </si>
  <si>
    <t>RPRO-260116-0201</t>
  </si>
  <si>
    <t>RPRO-260116-0202</t>
  </si>
  <si>
    <t>RPRO-260116-0203</t>
  </si>
  <si>
    <t>RPRO-260116-0204</t>
  </si>
  <si>
    <t>RPRO-260116-0205</t>
  </si>
  <si>
    <t>RPRO-260116-0206</t>
  </si>
  <si>
    <t>RPRO-260116-0207</t>
  </si>
  <si>
    <t>RPRO-260116-0208</t>
  </si>
  <si>
    <t>RPRO-260116-0209</t>
  </si>
  <si>
    <t>RPRO-260116-0210</t>
  </si>
  <si>
    <t>BLACK=117-15-00 100% RECYCLED CK MESH POST CONSUMER UNBACKED 46" 200G</t>
  </si>
  <si>
    <t>DC-017710</t>
  </si>
  <si>
    <t>6CV (PP)LINING KNIT MATTE MICRO (HOOD) REC 44" 250G (A)</t>
  </si>
  <si>
    <t>RPRO-260117-0005</t>
  </si>
  <si>
    <t>DC-017650</t>
  </si>
  <si>
    <t>RPRO-260117-0006</t>
  </si>
  <si>
    <t>RPRO-260117-0010</t>
  </si>
  <si>
    <t>DC-016373</t>
  </si>
  <si>
    <t>RPRO-260117-0014</t>
  </si>
  <si>
    <t>RPRO-260117-0015</t>
  </si>
  <si>
    <t>RPRO-260117-0016</t>
  </si>
  <si>
    <t>RPRO-260117-0017</t>
  </si>
  <si>
    <t>RPRO-260117-0018</t>
  </si>
  <si>
    <t>RPRO-260117-0019</t>
  </si>
  <si>
    <t>RPRO-260117-0020</t>
  </si>
  <si>
    <t>RPRO-260117-0021</t>
  </si>
  <si>
    <t>DC-016371</t>
  </si>
  <si>
    <t>RPRO-260117-0022</t>
  </si>
  <si>
    <t>RPRO-260117-0024</t>
  </si>
  <si>
    <t>DC-017811</t>
  </si>
  <si>
    <t>45B (PP)LINING KNIT MATTE MICRO (HOOD) REC 44" 250G (A)</t>
  </si>
  <si>
    <t>RPRO-260119-0533</t>
  </si>
  <si>
    <t>DC-017428</t>
  </si>
  <si>
    <t>6CD (PP)LINING KNIT MATTE MICRO (HOOD) REC 44" 250G (A)</t>
  </si>
  <si>
    <t>RPRO-260119-0536</t>
  </si>
  <si>
    <t>RPRO-260122-0002</t>
  </si>
  <si>
    <t>DC-010108</t>
  </si>
  <si>
    <t>RPRO-260122-0003</t>
  </si>
  <si>
    <t>RPRO-260122-0004</t>
  </si>
  <si>
    <t>RPRO-260122-0005</t>
  </si>
  <si>
    <t>RPRO-260122-0006</t>
  </si>
  <si>
    <t>RPRO-260122-0007</t>
  </si>
  <si>
    <t>RPRO-260122-0008</t>
  </si>
  <si>
    <t>RPRO-260122-0009</t>
  </si>
  <si>
    <t>DC-006143</t>
  </si>
  <si>
    <t>035-91-05 100% RECYCLED CK MESH POST CONSUMER UNBACKED 46" 200G</t>
  </si>
  <si>
    <t>RPRO-260122-0013</t>
  </si>
  <si>
    <t>DC-015397</t>
  </si>
  <si>
    <t>RPRO-260122-0014</t>
  </si>
  <si>
    <t>DC-017904</t>
  </si>
  <si>
    <t>035-91-05 (Converse Egret) 5.5OZ CANVAS 44" 180G</t>
  </si>
  <si>
    <t>RPRO-260120-1117</t>
  </si>
  <si>
    <t>RPRO-260120-1118</t>
  </si>
  <si>
    <t>RPRO-260120-1119</t>
  </si>
  <si>
    <t>RPRO-260120-1120</t>
  </si>
  <si>
    <t>DC-017709</t>
  </si>
  <si>
    <t>14A MERRY MESH LJ-B540-EPM5 1TONE DTY REC (PCX#206190)(MCS#LU1P/PK5929) 44" 250G</t>
  </si>
  <si>
    <t>DC-016542</t>
  </si>
  <si>
    <t>RPRO-260120-0416</t>
  </si>
  <si>
    <t>RPRO-260120-0419</t>
  </si>
  <si>
    <t>RPRO-260120-0422</t>
  </si>
  <si>
    <t>RPRO-260120-0425</t>
  </si>
  <si>
    <t>RPRO-260120-0428</t>
  </si>
  <si>
    <t>RPRO-260120-0431</t>
  </si>
  <si>
    <t>RPRO-260120-0434</t>
  </si>
  <si>
    <t>RPRO-260120-0437</t>
  </si>
  <si>
    <t>RPRO-260120-0440</t>
  </si>
  <si>
    <t>RPRO-260120-0443</t>
  </si>
  <si>
    <t>RPRO-260120-0446</t>
  </si>
  <si>
    <t>RPRO-260120-0449</t>
  </si>
  <si>
    <t>DC-013094</t>
  </si>
  <si>
    <t>13-4108TCX DJT-8543 GUSTI TEX(EPM 100%) 44" 315G</t>
  </si>
  <si>
    <t>DC-015177</t>
  </si>
  <si>
    <t>11-0103TCX DJT-8543 GUSTI TEX(EPM 100%) 44" 315G</t>
  </si>
  <si>
    <t>DC-013098</t>
  </si>
  <si>
    <t>11-0603TCX DJT-8543 GUSTI TEX(EPM 100%) 44" 315G</t>
  </si>
  <si>
    <t>DC-013095</t>
  </si>
  <si>
    <t>14-4105TCX DJT-8543 GUSTI TEX(EPM 100%) 44" 315G</t>
  </si>
  <si>
    <t>RPRO-260120-0597</t>
  </si>
  <si>
    <t>RPRO-260120-0645</t>
  </si>
  <si>
    <t>RPRO-260120-0649</t>
  </si>
  <si>
    <t>DC-015216</t>
  </si>
  <si>
    <t>RPRO-260120-0661</t>
  </si>
  <si>
    <t>RPRO-260120-0669</t>
  </si>
  <si>
    <t>RPRO-260120-0675</t>
  </si>
  <si>
    <t>RPRO-260120-0678</t>
  </si>
  <si>
    <t>RPRO-260120-0687</t>
  </si>
  <si>
    <t>RPRO-260120-0690</t>
  </si>
  <si>
    <t>RPRO-260120-0693</t>
  </si>
  <si>
    <t>RPRO-260120-0696</t>
  </si>
  <si>
    <t>RPRO-260120-0699</t>
  </si>
  <si>
    <t>RPRO-260120-0702</t>
  </si>
  <si>
    <t>RPRO-260120-0711</t>
  </si>
  <si>
    <t>RPRO-260120-0714</t>
  </si>
  <si>
    <t>RPRO-260120-0723</t>
  </si>
  <si>
    <t>RPRO-260120-0726</t>
  </si>
  <si>
    <t>RPRO-260120-0732</t>
  </si>
  <si>
    <t>RPRO-260120-0735</t>
  </si>
  <si>
    <t>RPRO-260120-0738</t>
  </si>
  <si>
    <t>RPRO-260120-0744</t>
  </si>
  <si>
    <t>RPRO-260120-0747</t>
  </si>
  <si>
    <t>RPRO-260120-0750</t>
  </si>
  <si>
    <t>RPRO-260120-0753</t>
  </si>
  <si>
    <t>RPRO-260120-0756</t>
  </si>
  <si>
    <t>RPRO-260120-0759</t>
  </si>
  <si>
    <t>RPRO-260120-0762</t>
  </si>
  <si>
    <t>RPRO-260120-0768</t>
  </si>
  <si>
    <t>RPRO-260120-0771</t>
  </si>
  <si>
    <t>RPRO-260120-0777</t>
  </si>
  <si>
    <t>RPRO-260120-0780</t>
  </si>
  <si>
    <t>DC-013096</t>
  </si>
  <si>
    <t>16-0207TCX DJT-8543 GUSTI TEX(EPM 100%) 44" 315G</t>
  </si>
  <si>
    <t>RPRO-260120-0805</t>
  </si>
  <si>
    <t>DC-013099</t>
  </si>
  <si>
    <t>RPRO-260120-0881</t>
  </si>
  <si>
    <t>RPRO-260120-0902</t>
  </si>
  <si>
    <t>RPRO-260120-0908</t>
  </si>
  <si>
    <t>RPRO-260120-0914</t>
  </si>
  <si>
    <t>RPRO-260120-0932</t>
  </si>
  <si>
    <t>RPRO-260122-0613</t>
  </si>
  <si>
    <t>RPRO-260122-0619</t>
  </si>
  <si>
    <t>RPRO-260122-0625</t>
  </si>
  <si>
    <t>RPRO-260122-0631</t>
  </si>
  <si>
    <t>RPRO-260122-0637</t>
  </si>
  <si>
    <t>RPRO-260122-0643</t>
  </si>
  <si>
    <t>RPRO-260122-0649</t>
  </si>
  <si>
    <t>RPRO-260122-0655</t>
  </si>
  <si>
    <t>RPRO-260122-0660</t>
  </si>
  <si>
    <t>RPRO-260122-0665</t>
  </si>
  <si>
    <t>RPRO-260122-0670</t>
  </si>
  <si>
    <t>RPRO-260122-0675</t>
  </si>
  <si>
    <t>RPRO-260122-0680</t>
  </si>
  <si>
    <t>RPRO-260122-0685</t>
  </si>
  <si>
    <t>RPRO-260122-0690</t>
  </si>
  <si>
    <t>RPRO-260122-0919</t>
  </si>
  <si>
    <t>RPRO-260122-0924</t>
  </si>
  <si>
    <t>DC-006149</t>
  </si>
  <si>
    <t>OrthoLite Regular GREY/17-1501TPX Flat Sheet 0.16D 51+/-4 Asker C 1.1M 1.7M 12mm</t>
  </si>
  <si>
    <t>DC-011041</t>
  </si>
  <si>
    <t>OrthoLite Eco LT-Hybrid-Converse SEEDPEARL/12-0703TPX Hybrid Flat Sheet 0.13D 25+/-4 Asker C 1.1M 2M</t>
  </si>
  <si>
    <t>DC-002807</t>
  </si>
  <si>
    <t>White=129-96-00 100% RECYCLED CK MESH POST CONSUMER UNBACKED 46" 200G</t>
  </si>
  <si>
    <t>RPRO-260122-0137</t>
  </si>
  <si>
    <t>RPRO-260122-0138</t>
  </si>
  <si>
    <t>RPRO-260122-0139</t>
  </si>
  <si>
    <t>RPRO-260122-0140</t>
  </si>
  <si>
    <t>RPRO-260122-0141</t>
  </si>
  <si>
    <t>RPRO-260122-0142</t>
  </si>
  <si>
    <t>RPRO-260122-0143</t>
  </si>
  <si>
    <t>RPRO-260122-0144</t>
  </si>
  <si>
    <t>RPRO-260122-0145</t>
  </si>
  <si>
    <t>RPRO-260122-0146</t>
  </si>
  <si>
    <t>RPRO-260122-0147</t>
  </si>
  <si>
    <t>RPRO-260122-0148</t>
  </si>
  <si>
    <t>RPRO-260122-0149</t>
  </si>
  <si>
    <t>RPRO-260122-0150</t>
  </si>
  <si>
    <t>RPRO-260122-0151</t>
  </si>
  <si>
    <t>RPRO-260122-0152</t>
  </si>
  <si>
    <t>RPRO-260122-0153</t>
  </si>
  <si>
    <t>RPRO-260122-0154</t>
  </si>
  <si>
    <t>RPRO-260122-0155</t>
  </si>
  <si>
    <t>RPRO-260122-0156</t>
  </si>
  <si>
    <t>RPRO-260122-0157</t>
  </si>
  <si>
    <t>RPRO-260122-0158</t>
  </si>
  <si>
    <t>RPRO-260122-0159</t>
  </si>
  <si>
    <t>RPRO-260122-0160</t>
  </si>
  <si>
    <t>RPRO-260122-0161</t>
  </si>
  <si>
    <t>RPRO-260122-0162</t>
  </si>
  <si>
    <t>RPRO-260122-0163</t>
  </si>
  <si>
    <t>RPRO-260122-0164</t>
  </si>
  <si>
    <t>DC-004311</t>
  </si>
  <si>
    <t>CONV-0048(CLOUD CREAM) 100% RECYCLED CK MESH POST CONSUMER UNBACKED 46" 200G</t>
  </si>
  <si>
    <t>DC-002812</t>
  </si>
  <si>
    <t>RPRO-260122-0167</t>
  </si>
  <si>
    <t>DC-001438</t>
  </si>
  <si>
    <t>RPRO-260122-0175</t>
  </si>
  <si>
    <t>RPRO-260122-0177</t>
  </si>
  <si>
    <t>RPRO-260122-0178</t>
  </si>
  <si>
    <t>RPRO-260122-0181</t>
  </si>
  <si>
    <t>RPRO-260122-0184</t>
  </si>
  <si>
    <t>RPRO-260122-0186</t>
  </si>
  <si>
    <t>RPRO-260122-0187</t>
  </si>
  <si>
    <t>RPRO-260122-0189</t>
  </si>
  <si>
    <t>RPRO-260122-0193</t>
  </si>
  <si>
    <t>RPRO-260122-0197</t>
  </si>
  <si>
    <t>RPRO-260122-0198</t>
  </si>
  <si>
    <t>RPRO-260122-0199</t>
  </si>
  <si>
    <t>RPRO-260122-0200</t>
  </si>
  <si>
    <t>RPRO-260122-0204</t>
  </si>
  <si>
    <t>RPRO-260122-0205</t>
  </si>
  <si>
    <t>RPRO-260122-0206</t>
  </si>
  <si>
    <t>RPRO-260122-0207</t>
  </si>
  <si>
    <t>RPRO-260122-0208</t>
  </si>
  <si>
    <t>RPRO-260122-0209</t>
  </si>
  <si>
    <t>RPRO-260122-0210</t>
  </si>
  <si>
    <t>RPRO-260122-0211</t>
  </si>
  <si>
    <t>RPRO-260122-0212</t>
  </si>
  <si>
    <t>RPRO-260122-0214</t>
  </si>
  <si>
    <t>DC-008478</t>
  </si>
  <si>
    <t>RPRO-260122-0215</t>
  </si>
  <si>
    <t>RPRO-260122-0216</t>
  </si>
  <si>
    <t>RPRO-260122-0217</t>
  </si>
  <si>
    <t>RPRO-260122-0277</t>
  </si>
  <si>
    <t>RPRO-260122-0278</t>
  </si>
  <si>
    <t>RPRO-260122-0301</t>
  </si>
  <si>
    <t>RPRO-260122-0305</t>
  </si>
  <si>
    <t>RPRO-260122-0332</t>
  </si>
  <si>
    <t>RPRO-260122-0335</t>
  </si>
  <si>
    <t>RPRO-260122-0347</t>
  </si>
  <si>
    <t>RPRO-260122-0350</t>
  </si>
  <si>
    <t>RPRO-260122-0356</t>
  </si>
  <si>
    <t>RPRO-260122-0359</t>
  </si>
  <si>
    <t>RPRO-260122-0371</t>
  </si>
  <si>
    <t>RPRO-260122-0392</t>
  </si>
  <si>
    <t>RPRO-260122-0422</t>
  </si>
  <si>
    <t>RPRO-260122-0434</t>
  </si>
  <si>
    <t>RPRO-260122-0440</t>
  </si>
  <si>
    <t>RPRO-260122-0446</t>
  </si>
  <si>
    <t>RPRO-260122-0452</t>
  </si>
  <si>
    <t>RPRO-260122-0488</t>
  </si>
  <si>
    <t>RPRO-260122-0494</t>
  </si>
  <si>
    <t>RPRO-260122-0506</t>
  </si>
  <si>
    <t>RPRO-260122-0536</t>
  </si>
  <si>
    <t>DC-007950</t>
  </si>
  <si>
    <t>RPRO-260122-0542</t>
  </si>
  <si>
    <t>RPRO-260122-0650</t>
  </si>
  <si>
    <t>DC-015393</t>
  </si>
  <si>
    <t>RPRO-260122-0656</t>
  </si>
  <si>
    <t>DC-015398</t>
  </si>
  <si>
    <t>DC-002839</t>
  </si>
  <si>
    <t>BLACK=117-15-00 5.5OZ CANVAS 44" 180G</t>
  </si>
  <si>
    <t>RPRO-260122-0666</t>
  </si>
  <si>
    <t>RPRO-260122-0686</t>
  </si>
  <si>
    <t>DC-007095</t>
  </si>
  <si>
    <t>RPRO-260122-0726</t>
  </si>
  <si>
    <t>DC-011383</t>
  </si>
  <si>
    <t>UNBLEACHED NATURAL 5.5OZ CANVAS 44" 180G</t>
  </si>
  <si>
    <t>DC-011384</t>
  </si>
  <si>
    <t>RPRO-260122-0886</t>
  </si>
  <si>
    <t>RPRO-260122-0892</t>
  </si>
  <si>
    <t>DC-015402</t>
  </si>
  <si>
    <t>RPRO-260122-0972</t>
  </si>
  <si>
    <t>RPRO-260122-0987</t>
  </si>
  <si>
    <t>RPRO-260122-1046</t>
  </si>
  <si>
    <t>RPRO-260122-1056</t>
  </si>
  <si>
    <t>RPRO-260122-1066</t>
  </si>
  <si>
    <t>RPRO-260122-1071</t>
  </si>
  <si>
    <t>RPRO-260122-1083</t>
  </si>
  <si>
    <t>RPRO-260122-1089</t>
  </si>
  <si>
    <t>RPRO-260122-1107</t>
  </si>
  <si>
    <t>RPRO-260122-1118</t>
  </si>
  <si>
    <t>RPRO-260122-1135</t>
  </si>
  <si>
    <t>RPRO-260122-1162</t>
  </si>
  <si>
    <t>RPRO-260122-1167</t>
  </si>
  <si>
    <t>RPRO-260122-1173</t>
  </si>
  <si>
    <t>RPRO-260122-1202</t>
  </si>
  <si>
    <t>RPRO-260122-1208</t>
  </si>
  <si>
    <t>RPRO-260122-1220</t>
  </si>
  <si>
    <t>RPRO-260122-1226</t>
  </si>
  <si>
    <t>RPRO-260122-1232</t>
  </si>
  <si>
    <t>RPRO-260122-1238</t>
  </si>
  <si>
    <t>RPRO-260122-1243</t>
  </si>
  <si>
    <t>RPRO-260122-1249</t>
  </si>
  <si>
    <t>RPRO-260122-1255</t>
  </si>
  <si>
    <t>RPRO-260122-1261</t>
  </si>
  <si>
    <t>RPRO-260122-1267</t>
  </si>
  <si>
    <t>RPRO-260122-1273</t>
  </si>
  <si>
    <t>RPRO-260122-0314</t>
  </si>
  <si>
    <t>RPRO-260122-0316</t>
  </si>
  <si>
    <t>RPRO-260122-0319</t>
  </si>
  <si>
    <t>RPRO-260122-0321</t>
  </si>
  <si>
    <t>RPRO-260122-0323</t>
  </si>
  <si>
    <t>RPRO-260122-0325</t>
  </si>
  <si>
    <t>RPRO-260122-0331</t>
  </si>
  <si>
    <t>RPRO-260122-0336</t>
  </si>
  <si>
    <t>RPRO-260122-0339</t>
  </si>
  <si>
    <t>RPRO-260122-0342</t>
  </si>
  <si>
    <t>RPRO-260122-0345</t>
  </si>
  <si>
    <t>RPRO-260122-0348</t>
  </si>
  <si>
    <t>RPRO-260122-0351</t>
  </si>
  <si>
    <t>RPRO-260122-0354</t>
  </si>
  <si>
    <t>RPRO-260122-0373</t>
  </si>
  <si>
    <t>RPRO-260122-0378</t>
  </si>
  <si>
    <t>RPRO-260122-0394</t>
  </si>
  <si>
    <t>RPRO-260122-0400</t>
  </si>
  <si>
    <t>RPRO-260122-0412</t>
  </si>
  <si>
    <t>RPRO-260122-0418</t>
  </si>
  <si>
    <t>RPRO-260122-0430</t>
  </si>
  <si>
    <t>RPRO-260122-0442</t>
  </si>
  <si>
    <t>RPRO-260122-0448</t>
  </si>
  <si>
    <t>RPRO-260122-0454</t>
  </si>
  <si>
    <t>RPRO-260122-0460</t>
  </si>
  <si>
    <t>RPRO-260122-0466</t>
  </si>
  <si>
    <t>RPRO-260122-0472</t>
  </si>
  <si>
    <t>RPRO-260122-0478</t>
  </si>
  <si>
    <t>RPRO-260122-0484</t>
  </si>
  <si>
    <t>RPRO-260122-0490</t>
  </si>
  <si>
    <t>RPRO-260122-0496</t>
  </si>
  <si>
    <t>RPRO-260122-0502</t>
  </si>
  <si>
    <t>RPRO-260122-0508</t>
  </si>
  <si>
    <t>RPRO-260122-0514</t>
  </si>
  <si>
    <t>RPRO-260122-0520</t>
  </si>
  <si>
    <t>RPRO-260122-0526</t>
  </si>
  <si>
    <t>RPRO-260122-0532</t>
  </si>
  <si>
    <t>RPRO-260122-0538</t>
  </si>
  <si>
    <t>RPRO-260122-0544</t>
  </si>
  <si>
    <t>RPRO-260122-0550</t>
  </si>
  <si>
    <t>RPRO-260122-0556</t>
  </si>
  <si>
    <t>RPRO-260122-0562</t>
  </si>
  <si>
    <t>RPRO-260122-0568</t>
  </si>
  <si>
    <t>RPRO-260122-0574</t>
  </si>
  <si>
    <t>RPRO-260122-0580</t>
  </si>
  <si>
    <t>RPRO-260122-0586</t>
  </si>
  <si>
    <t>RPRO-260122-0592</t>
  </si>
  <si>
    <t>RPRO-260122-0598</t>
  </si>
  <si>
    <t>RPRO-260122-0604</t>
  </si>
  <si>
    <t>RPRO-260122-0610</t>
  </si>
  <si>
    <t>RPRO-260122-0616</t>
  </si>
  <si>
    <t>RPRO-260122-0622</t>
  </si>
  <si>
    <t>RPRO-260122-0628</t>
  </si>
  <si>
    <t>RPRO-260122-0634</t>
  </si>
  <si>
    <t>RPRO-260122-0640</t>
  </si>
  <si>
    <t>RPRO-260122-0646</t>
  </si>
  <si>
    <t>RPRO-260122-0652</t>
  </si>
  <si>
    <t>RPRO-260122-0657</t>
  </si>
  <si>
    <t>RPRO-260122-0662</t>
  </si>
  <si>
    <t>RPRO-260122-0667</t>
  </si>
  <si>
    <t>RPRO-260122-0672</t>
  </si>
  <si>
    <t>RPRO-260122-0677</t>
  </si>
  <si>
    <t>RPRO-260122-0682</t>
  </si>
  <si>
    <t>RPRO-260122-0687</t>
  </si>
  <si>
    <t>RPRO-260122-0692</t>
  </si>
  <si>
    <t>RPRO-260122-0697</t>
  </si>
  <si>
    <t>RPRO-260122-0702</t>
  </si>
  <si>
    <t>RPRO-260122-0707</t>
  </si>
  <si>
    <t>RPRO-260122-0712</t>
  </si>
  <si>
    <t>RPRO-260122-0717</t>
  </si>
  <si>
    <t>RPRO-260122-0722</t>
  </si>
  <si>
    <t>RPRO-260122-0727</t>
  </si>
  <si>
    <t>RPRO-260122-0732</t>
  </si>
  <si>
    <t>RPRO-260122-0737</t>
  </si>
  <si>
    <t>RPRO-260122-0747</t>
  </si>
  <si>
    <t>RPRO-260122-0752</t>
  </si>
  <si>
    <t>RPRO-260122-0757</t>
  </si>
  <si>
    <t>RPRO-260122-0767</t>
  </si>
  <si>
    <t>RPRO-260122-0772</t>
  </si>
  <si>
    <t>RPRO-260122-0782</t>
  </si>
  <si>
    <t>RPRO-260122-0797</t>
  </si>
  <si>
    <t>RPRO-260122-0802</t>
  </si>
  <si>
    <t>RPRO-260122-0807</t>
  </si>
  <si>
    <t>RPRO-260122-0812</t>
  </si>
  <si>
    <t>RPRO-260122-0817</t>
  </si>
  <si>
    <t>RPRO-260122-0822</t>
  </si>
  <si>
    <t>RPRO-260122-0827</t>
  </si>
  <si>
    <t>RPRO-260122-0832</t>
  </si>
  <si>
    <t>RPRO-260122-0837</t>
  </si>
  <si>
    <t>RPRO-260122-0842</t>
  </si>
  <si>
    <t>RPRO-260122-0847</t>
  </si>
  <si>
    <t>RPRO-260122-0852</t>
  </si>
  <si>
    <t>RPRO-260122-0857</t>
  </si>
  <si>
    <t>RPRO-260122-0862</t>
  </si>
  <si>
    <t>RPRO-260122-0867</t>
  </si>
  <si>
    <t>RPRO-260122-0872</t>
  </si>
  <si>
    <t>RPRO-260122-0882</t>
  </si>
  <si>
    <t>RPRO-260122-0887</t>
  </si>
  <si>
    <t>RPRO-260122-0893</t>
  </si>
  <si>
    <t>RPRO-260122-0899</t>
  </si>
  <si>
    <t>RPRO-260122-0905</t>
  </si>
  <si>
    <t>RPRO-260122-0921</t>
  </si>
  <si>
    <t>RPRO-260122-0927</t>
  </si>
  <si>
    <t>RPRO-260122-0939</t>
  </si>
  <si>
    <t>RPRO-260122-0945</t>
  </si>
  <si>
    <t>RPRO-260122-0955</t>
  </si>
  <si>
    <t>RPRO-260122-0961</t>
  </si>
  <si>
    <t>RPRO-260122-0967</t>
  </si>
  <si>
    <t>RPRO-260122-0983</t>
  </si>
  <si>
    <t>RPRO-260122-0994</t>
  </si>
  <si>
    <t>RPRO-260122-1000</t>
  </si>
  <si>
    <t>RPRO-260122-1006</t>
  </si>
  <si>
    <t>RPRO-260122-1024</t>
  </si>
  <si>
    <t>RPRO-260122-1030</t>
  </si>
  <si>
    <t>RPRO-260122-1036</t>
  </si>
  <si>
    <t>RPRO-260122-1041</t>
  </si>
  <si>
    <t>RPRO-260122-1047</t>
  </si>
  <si>
    <t>RPRO-260122-1052</t>
  </si>
  <si>
    <t>RPRO-260122-1057</t>
  </si>
  <si>
    <t>RPRO-260122-1078</t>
  </si>
  <si>
    <t>RPRO-260122-1084</t>
  </si>
  <si>
    <t>RPRO-260122-1090</t>
  </si>
  <si>
    <t>RPRO-260122-1096</t>
  </si>
  <si>
    <t>RPRO-260122-1102</t>
  </si>
  <si>
    <t>RPRO-260122-1108</t>
  </si>
  <si>
    <t>RPRO-260122-1114</t>
  </si>
  <si>
    <t>RPRO-260122-1125</t>
  </si>
  <si>
    <t>RPRO-260122-1131</t>
  </si>
  <si>
    <t>RPRO-260122-1143</t>
  </si>
  <si>
    <t>RPRO-260122-1150</t>
  </si>
  <si>
    <t>RPRO-260122-1157</t>
  </si>
  <si>
    <t>RPRO-260122-1169</t>
  </si>
  <si>
    <t>RPRO-260122-1174</t>
  </si>
  <si>
    <t>RPRO-260122-1180</t>
  </si>
  <si>
    <t>RPRO-260122-1186</t>
  </si>
  <si>
    <t>RPRO-260122-1192</t>
  </si>
  <si>
    <t>RPRO-260122-1198</t>
  </si>
  <si>
    <t>RPRO-260122-1203</t>
  </si>
  <si>
    <t>RPRO-260122-1209</t>
  </si>
  <si>
    <t>RPRO-260122-1215</t>
  </si>
  <si>
    <t>RPRO-260122-1221</t>
  </si>
  <si>
    <t>RPRO-260122-1227</t>
  </si>
  <si>
    <t>RPRO-260122-1233</t>
  </si>
  <si>
    <t>RPRO-260122-1239</t>
  </si>
  <si>
    <t>RPRO-260122-1245</t>
  </si>
  <si>
    <t>RPRO-260122-1257</t>
  </si>
  <si>
    <t>RPRO-260122-1263</t>
  </si>
  <si>
    <t>RPRO-260122-1268</t>
  </si>
  <si>
    <t>RPRO-260122-1274</t>
  </si>
  <si>
    <t>RPRO-260122-1279</t>
  </si>
  <si>
    <t>RPRO-260122-1283</t>
  </si>
  <si>
    <t>RPRO-260122-1288</t>
  </si>
  <si>
    <t>RPRO-260122-1293</t>
  </si>
  <si>
    <t>RPRO-260122-1298</t>
  </si>
  <si>
    <t>RPRO-260122-1303</t>
  </si>
  <si>
    <t>RPRO-260122-1307</t>
  </si>
  <si>
    <t>RPRO-260122-1312</t>
  </si>
  <si>
    <t>RPRO-260122-1317</t>
  </si>
  <si>
    <t>RPRO-260122-1322</t>
  </si>
  <si>
    <t>RPRO-260122-1327</t>
  </si>
  <si>
    <t>RPRO-260122-1331</t>
  </si>
  <si>
    <t>RPRO-260122-1334</t>
  </si>
  <si>
    <t>RPRO-260122-1338</t>
  </si>
  <si>
    <t>RPRO-260122-1341</t>
  </si>
  <si>
    <t>RPRO-260122-1345</t>
  </si>
  <si>
    <t>RPRO-260122-1349</t>
  </si>
  <si>
    <t>RPRO-260122-1353</t>
  </si>
  <si>
    <t>RPRO-260122-1356</t>
  </si>
  <si>
    <t>RPRO-260122-0334</t>
  </si>
  <si>
    <t>RPRO-260122-0337</t>
  </si>
  <si>
    <t>RPRO-260122-0340</t>
  </si>
  <si>
    <t>RPRO-260122-0343</t>
  </si>
  <si>
    <t>RPRO-260122-0346</t>
  </si>
  <si>
    <t>RPRO-260122-0349</t>
  </si>
  <si>
    <t>RPRO-260122-0352</t>
  </si>
  <si>
    <t>RPRO-260122-0355</t>
  </si>
  <si>
    <t>RPRO-260122-0358</t>
  </si>
  <si>
    <t>RPRO-260122-0361</t>
  </si>
  <si>
    <t>RPRO-260122-0365</t>
  </si>
  <si>
    <t>RPRO-260122-0369</t>
  </si>
  <si>
    <t>RPRO-260122-0374</t>
  </si>
  <si>
    <t>RPRO-260122-0379</t>
  </si>
  <si>
    <t>RPRO-260122-0384</t>
  </si>
  <si>
    <t>RPRO-260122-0389</t>
  </si>
  <si>
    <t>RPRO-260122-0395</t>
  </si>
  <si>
    <t>RPRO-260122-0401</t>
  </si>
  <si>
    <t>RPRO-260122-0407</t>
  </si>
  <si>
    <t>RPRO-260122-0413</t>
  </si>
  <si>
    <t>RPRO-260122-0419</t>
  </si>
  <si>
    <t>RPRO-260122-0425</t>
  </si>
  <si>
    <t>RPRO-260122-0431</t>
  </si>
  <si>
    <t>RPRO-260122-0437</t>
  </si>
  <si>
    <t>RPRO-260122-0443</t>
  </si>
  <si>
    <t>RPRO-260122-0449</t>
  </si>
  <si>
    <t>RPRO-260122-0455</t>
  </si>
  <si>
    <t>RPRO-260122-0461</t>
  </si>
  <si>
    <t>RPRO-260122-0467</t>
  </si>
  <si>
    <t>RPRO-260122-0473</t>
  </si>
  <si>
    <t>RPRO-260122-0479</t>
  </si>
  <si>
    <t>RPRO-260122-0485</t>
  </si>
  <si>
    <t>RPRO-260122-0491</t>
  </si>
  <si>
    <t>RPRO-260122-0497</t>
  </si>
  <si>
    <t>RPRO-260122-0503</t>
  </si>
  <si>
    <t>RPRO-260122-0509</t>
  </si>
  <si>
    <t>RPRO-260122-0515</t>
  </si>
  <si>
    <t>RPRO-260122-0521</t>
  </si>
  <si>
    <t>RPRO-260122-0527</t>
  </si>
  <si>
    <t>RPRO-260122-0533</t>
  </si>
  <si>
    <t>RPRO-260122-0539</t>
  </si>
  <si>
    <t>RPRO-260122-0545</t>
  </si>
  <si>
    <t>RPRO-260122-0551</t>
  </si>
  <si>
    <t>RPRO-260122-0557</t>
  </si>
  <si>
    <t>RPRO-260122-0563</t>
  </si>
  <si>
    <t>RPRO-260122-0569</t>
  </si>
  <si>
    <t>RPRO-260122-0575</t>
  </si>
  <si>
    <t>RPRO-260122-0581</t>
  </si>
  <si>
    <t>RPRO-260122-0587</t>
  </si>
  <si>
    <t>RPRO-260122-0593</t>
  </si>
  <si>
    <t>DC-016785</t>
  </si>
  <si>
    <t>028-89-01 (VINTAGE WHITE) 5.5OZ CANVAS 44" 180G</t>
  </si>
  <si>
    <t>RPRO-260122-0599</t>
  </si>
  <si>
    <t>RPRO-260122-0605</t>
  </si>
  <si>
    <t>RPRO-260122-0611</t>
  </si>
  <si>
    <t>RPRO-260122-0617</t>
  </si>
  <si>
    <t>RPRO-260122-0623</t>
  </si>
  <si>
    <t>RPRO-260122-0629</t>
  </si>
  <si>
    <t>RPRO-260122-0635</t>
  </si>
  <si>
    <t>RPRO-260122-0641</t>
  </si>
  <si>
    <t>RPRO-260122-0647</t>
  </si>
  <si>
    <t>RPRO-260122-0653</t>
  </si>
  <si>
    <t>RPRO-260122-0658</t>
  </si>
  <si>
    <t>RPRO-260122-0663</t>
  </si>
  <si>
    <t>RPRO-260122-0668</t>
  </si>
  <si>
    <t>RPRO-260122-0673</t>
  </si>
  <si>
    <t>RPRO-260122-0678</t>
  </si>
  <si>
    <t>RPRO-260122-0683</t>
  </si>
  <si>
    <t>RPRO-260122-0688</t>
  </si>
  <si>
    <t>RPRO-260122-0693</t>
  </si>
  <si>
    <t>RPRO-260122-0698</t>
  </si>
  <si>
    <t>RPRO-260122-0703</t>
  </si>
  <si>
    <t>RPRO-260122-0708</t>
  </si>
  <si>
    <t>DC-006158</t>
  </si>
  <si>
    <t>032-81-07 DOPE DYE CLARO HF-SL01712P CYCLONE REC 46" 234G</t>
  </si>
  <si>
    <t>RPRO-260122-0753</t>
  </si>
  <si>
    <t>RPRO-260122-0758</t>
  </si>
  <si>
    <t>DC-007440</t>
  </si>
  <si>
    <t>RPRO-260122-0773</t>
  </si>
  <si>
    <t>RPRO-260122-0798</t>
  </si>
  <si>
    <t>RPRO-260122-0808</t>
  </si>
  <si>
    <t>RPRO-260122-0818</t>
  </si>
  <si>
    <t>RPRO-260122-0833</t>
  </si>
  <si>
    <t>RPRO-260122-0843</t>
  </si>
  <si>
    <t>RPRO-260122-0848</t>
  </si>
  <si>
    <t>RPRO-260122-0853</t>
  </si>
  <si>
    <t>RPRO-260122-0858</t>
  </si>
  <si>
    <t>RPRO-260122-0863</t>
  </si>
  <si>
    <t>RPRO-260122-0878</t>
  </si>
  <si>
    <t>DC-007111</t>
  </si>
  <si>
    <t>RPRO-260122-1037</t>
  </si>
  <si>
    <t>DC-010021</t>
  </si>
  <si>
    <t>CONV-0048 DOPE DYE CLARO HF-SL01712P CYCLONE REC 46" 234G</t>
  </si>
  <si>
    <t>RPRO-260122-1042</t>
  </si>
  <si>
    <t>RPRO-260122-1048</t>
  </si>
  <si>
    <t>RPRO-260122-1053</t>
  </si>
  <si>
    <t>RPRO-260122-1058</t>
  </si>
  <si>
    <t>RPRO-260122-1063</t>
  </si>
  <si>
    <t>RPRO-260122-1068</t>
  </si>
  <si>
    <t>RPRO-260122-1073</t>
  </si>
  <si>
    <t>RPRO-260122-1079</t>
  </si>
  <si>
    <t>RPRO-260122-1085</t>
  </si>
  <si>
    <t>RPRO-260122-1091</t>
  </si>
  <si>
    <t>RPRO-260122-1097</t>
  </si>
  <si>
    <t>DC-017902</t>
  </si>
  <si>
    <t>OrthoLite Eco LT-Hybrid-Converse SEEDPEARL/12-0703TPX Hybrid 0.11D 25+/-4 Asker C 1.1M 2M 4mm</t>
  </si>
  <si>
    <t>031-75-00 (LIGHT GREY) 100% RECYCLED CK MESH POST CONSUMER UNBACKED 46" 200G</t>
  </si>
  <si>
    <t>RPRO-260122-1103</t>
  </si>
  <si>
    <t>RPRO-260122-1109</t>
  </si>
  <si>
    <t>RPRO-260122-1115</t>
  </si>
  <si>
    <t>RPRO-260122-1120</t>
  </si>
  <si>
    <t>RPRO-260122-1126</t>
  </si>
  <si>
    <t>RPRO-260122-1132</t>
  </si>
  <si>
    <t>RPRO-260122-1137</t>
  </si>
  <si>
    <t>RPRO-260122-1144</t>
  </si>
  <si>
    <t>RPRO-260122-1151</t>
  </si>
  <si>
    <t>RPRO-260122-1158</t>
  </si>
  <si>
    <t>RPRO-260122-1164</t>
  </si>
  <si>
    <t>RPRO-260122-1170</t>
  </si>
  <si>
    <t>RPRO-260122-1176</t>
  </si>
  <si>
    <t>DC-017899</t>
  </si>
  <si>
    <t>123-53-11 (ICY DEMEANOR) 100% RECYCLED CK MESH POST CONSUMER UNBACKED 46" 200G</t>
  </si>
  <si>
    <t>RPRO-260122-1181</t>
  </si>
  <si>
    <t>RPRO-260122-1187</t>
  </si>
  <si>
    <t>RPRO-260122-1193</t>
  </si>
  <si>
    <t>RPRO-260122-1199</t>
  </si>
  <si>
    <t>RPRO-260122-1205</t>
  </si>
  <si>
    <t>RPRO-260122-1210</t>
  </si>
  <si>
    <t>RPRO-260122-1216</t>
  </si>
  <si>
    <t>RPRO-260122-1222</t>
  </si>
  <si>
    <t>RPRO-260122-1228</t>
  </si>
  <si>
    <t>DC-017900</t>
  </si>
  <si>
    <t>006-74-20 (OK BLOOMER) 100% RECYCLED CK MESH POST CONSUMER UNBACKED 46" 200G</t>
  </si>
  <si>
    <t>RPRO-260122-1234</t>
  </si>
  <si>
    <t>RPRO-260122-1240</t>
  </si>
  <si>
    <t>RPRO-260122-1246</t>
  </si>
  <si>
    <t>RPRO-260122-1252</t>
  </si>
  <si>
    <t>RPRO-260122-1258</t>
  </si>
  <si>
    <t>RPRO-260122-1264</t>
  </si>
  <si>
    <t>RPRO-260122-1270</t>
  </si>
  <si>
    <t>RPRO-260122-1275</t>
  </si>
  <si>
    <t>DC-017906</t>
  </si>
  <si>
    <t>025-42-24 (RUSTED BOLT) 5.5OZ CANVAS 44" 180G</t>
  </si>
  <si>
    <t>RPRO-260122-1280</t>
  </si>
  <si>
    <t>RPRO-260122-1285</t>
  </si>
  <si>
    <t>RPRO-260122-1290</t>
  </si>
  <si>
    <t>RPRO-260122-1294</t>
  </si>
  <si>
    <t>RPRO-260122-1299</t>
  </si>
  <si>
    <t>RPRO-260122-1304</t>
  </si>
  <si>
    <t>RPRO-260122-1309</t>
  </si>
  <si>
    <t>RPRO-260122-1313</t>
  </si>
  <si>
    <t>RPRO-260122-1318</t>
  </si>
  <si>
    <t>RPRO-260122-1323</t>
  </si>
  <si>
    <t>RPRO-260122-1328</t>
  </si>
  <si>
    <t>RPRO-260122-1332</t>
  </si>
  <si>
    <t>RPRO-260122-0420</t>
  </si>
  <si>
    <t>DC-017901</t>
  </si>
  <si>
    <t>032-81-07 5.5OZ CANVAS 44" 180G</t>
  </si>
  <si>
    <t>DC-017903</t>
  </si>
  <si>
    <t>RPRO-260122-0456</t>
  </si>
  <si>
    <t>RPRO-260122-0474</t>
  </si>
  <si>
    <t>RPRO-260122-0492</t>
  </si>
  <si>
    <t>RPRO-260122-0504</t>
  </si>
  <si>
    <t>RPRO-260122-0522</t>
  </si>
  <si>
    <t>RPRO-260122-0540</t>
  </si>
  <si>
    <t>RPRO-260122-0558</t>
  </si>
  <si>
    <t>RPRO-260122-0564</t>
  </si>
  <si>
    <t>RPRO-260122-0576</t>
  </si>
  <si>
    <t>RPRO-260122-0582</t>
  </si>
  <si>
    <t>RPRO-260122-0588</t>
  </si>
  <si>
    <t>RPRO-260122-0594</t>
  </si>
  <si>
    <t>RPRO-260122-0600</t>
  </si>
  <si>
    <t>RPRO-260122-0606</t>
  </si>
  <si>
    <t>RPRO-260122-0612</t>
  </si>
  <si>
    <t>RPRO-260122-0618</t>
  </si>
  <si>
    <t>RPRO-260122-0624</t>
  </si>
  <si>
    <t>RPRO-260122-0630</t>
  </si>
  <si>
    <t>RPRO-260122-0636</t>
  </si>
  <si>
    <t>RPRO-260122-0642</t>
  </si>
  <si>
    <t>RPRO-260122-0648</t>
  </si>
  <si>
    <t>RPRO-260122-0654</t>
  </si>
  <si>
    <t>RPRO-260122-0659</t>
  </si>
  <si>
    <t>RPRO-260122-0664</t>
  </si>
  <si>
    <t>RPRO-260122-0669</t>
  </si>
  <si>
    <t>RPRO-260122-0674</t>
  </si>
  <si>
    <t>RPRO-260122-0679</t>
  </si>
  <si>
    <t>RPRO-260122-0694</t>
  </si>
  <si>
    <t>RPRO-260122-0699</t>
  </si>
  <si>
    <t>RPRO-260122-0704</t>
  </si>
  <si>
    <t>RPRO-260122-0709</t>
  </si>
  <si>
    <t>RPRO-260122-0734</t>
  </si>
  <si>
    <t>RPRO-260122-0739</t>
  </si>
  <si>
    <t>RPRO-260122-0744</t>
  </si>
  <si>
    <t>RPRO-260122-0764</t>
  </si>
  <si>
    <t>RPRO-260122-0769</t>
  </si>
  <si>
    <t>RPRO-260122-0774</t>
  </si>
  <si>
    <t>RPRO-260122-0779</t>
  </si>
  <si>
    <t>RPRO-260122-0784</t>
  </si>
  <si>
    <t>RPRO-260122-0789</t>
  </si>
  <si>
    <t>RPRO-260122-0794</t>
  </si>
  <si>
    <t>RPRO-260122-0799</t>
  </si>
  <si>
    <t>RPRO-260122-0804</t>
  </si>
  <si>
    <t>RPRO-260122-0809</t>
  </si>
  <si>
    <t>RPRO-260122-0814</t>
  </si>
  <si>
    <t>RPRO-260122-0824</t>
  </si>
  <si>
    <t>RPRO-260122-0829</t>
  </si>
  <si>
    <t>RPRO-260122-0834</t>
  </si>
  <si>
    <t>RPRO-260122-0839</t>
  </si>
  <si>
    <t>RPRO-260122-0844</t>
  </si>
  <si>
    <t>RPRO-260122-0849</t>
  </si>
  <si>
    <t>RPRO-260122-0854</t>
  </si>
  <si>
    <t>RPRO-260122-0859</t>
  </si>
  <si>
    <t>RPRO-260122-0864</t>
  </si>
  <si>
    <t>RPRO-260122-0869</t>
  </si>
  <si>
    <t>DC-017905</t>
  </si>
  <si>
    <t>088-24-06 (STEELY PINE) CLARO HF-SL01712P CYCLONE REC 46" 234G</t>
  </si>
  <si>
    <t>RPRO-260122-0874</t>
  </si>
  <si>
    <t>RPRO-260122-0879</t>
  </si>
  <si>
    <t>RPRO-260122-0884</t>
  </si>
  <si>
    <t>RPRO-260122-0890</t>
  </si>
  <si>
    <t>RPRO-260122-0895</t>
  </si>
  <si>
    <t>RPRO-260122-0901</t>
  </si>
  <si>
    <t>RPRO-260122-0907</t>
  </si>
  <si>
    <t>RPRO-260122-0913</t>
  </si>
  <si>
    <t>RPRO-260122-0918</t>
  </si>
  <si>
    <t>RPRO-260122-0923</t>
  </si>
  <si>
    <t>RPRO-260122-0929</t>
  </si>
  <si>
    <t>RPRO-260122-0935</t>
  </si>
  <si>
    <t>RPRO-260122-0941</t>
  </si>
  <si>
    <t>RPRO-260122-0947</t>
  </si>
  <si>
    <t>DC-017907</t>
  </si>
  <si>
    <t>008-65-06 (PETAL PIT) CLARO HF-SL01712P CYCLONE REC 46" 234G</t>
  </si>
  <si>
    <t>RPRO-260122-0952</t>
  </si>
  <si>
    <t>RPRO-260122-0958</t>
  </si>
  <si>
    <t>RPRO-260122-0963</t>
  </si>
  <si>
    <t>DC-017898</t>
  </si>
  <si>
    <t>151-43-00 (DARKER GREY) CLARO HF-SL01712P CYCLONE REC 46" 234G</t>
  </si>
  <si>
    <t>RPRO-260122-0969</t>
  </si>
  <si>
    <t>RPRO-260122-0975</t>
  </si>
  <si>
    <t>RPRO-260122-0980</t>
  </si>
  <si>
    <t>RPRO-260122-0985</t>
  </si>
  <si>
    <t>RPRO-260122-0991</t>
  </si>
  <si>
    <t>RPRO-260122-0997</t>
  </si>
  <si>
    <t>RPRO-260122-1002</t>
  </si>
  <si>
    <t>RPRO-260122-1008</t>
  </si>
  <si>
    <t>RPRO-260122-1014</t>
  </si>
  <si>
    <t>RPRO-260122-1020</t>
  </si>
  <si>
    <t>RPRO-260122-1026</t>
  </si>
  <si>
    <t>RPRO-260122-1032</t>
  </si>
  <si>
    <t>RPRO-260122-1038</t>
  </si>
  <si>
    <t>RPRO-260122-1043</t>
  </si>
  <si>
    <t>RPRO-260122-1098</t>
  </si>
  <si>
    <t>RPRO-260122-1133</t>
  </si>
  <si>
    <t>RPRO-260122-1140</t>
  </si>
  <si>
    <t>RPRO-260122-1153</t>
  </si>
  <si>
    <t>RPRO-260122-1159</t>
  </si>
  <si>
    <t>RPRO-260122-1165</t>
  </si>
  <si>
    <t>RPRO-260122-1171</t>
  </si>
  <si>
    <t>RPRO-260122-1194</t>
  </si>
  <si>
    <t>RPRO-260122-1200</t>
  </si>
  <si>
    <t>RPRO-260122-1206</t>
  </si>
  <si>
    <t>RPRO-260122-1211</t>
  </si>
  <si>
    <t>RPRO-260122-1217</t>
  </si>
  <si>
    <t>RPRO-260122-1305</t>
  </si>
  <si>
    <t>RPRO-260122-1336</t>
  </si>
  <si>
    <t>RPRO-260122-1340</t>
  </si>
  <si>
    <t>RPRO-260122-1344</t>
  </si>
  <si>
    <t>RPRO-260122-1347</t>
  </si>
  <si>
    <t>RPRO-260122-1351</t>
  </si>
  <si>
    <t>RPRO-260122-1355</t>
  </si>
  <si>
    <t>RPRO-260122-1358</t>
  </si>
  <si>
    <t>RPRO-260122-1359</t>
  </si>
  <si>
    <t>RPRO-260122-1360</t>
  </si>
  <si>
    <t>RPRO-260122-1361</t>
  </si>
  <si>
    <t>RPRO-260122-1362</t>
  </si>
  <si>
    <t>RPRO-260122-1363</t>
  </si>
  <si>
    <t>RPRO-260122-1364</t>
  </si>
  <si>
    <t>RPRO-260122-1367</t>
  </si>
  <si>
    <t>RPRO-260122-1368</t>
  </si>
  <si>
    <t>RPRO-260122-1369</t>
  </si>
  <si>
    <t>RPRO-260122-1370</t>
  </si>
  <si>
    <t>RPRO-260122-1371</t>
  </si>
  <si>
    <t>RPRO-260122-1373</t>
  </si>
  <si>
    <t>RPRO-260122-1374</t>
  </si>
  <si>
    <t>RPRO-260122-1375</t>
  </si>
  <si>
    <t>RPRO-260122-1376</t>
  </si>
  <si>
    <t>RPRO-260122-0441</t>
  </si>
  <si>
    <t>RPRO-260122-0447</t>
  </si>
  <si>
    <t>RPRO-260122-0453</t>
  </si>
  <si>
    <t>RPRO-260122-0459</t>
  </si>
  <si>
    <t>RPRO-260122-0465</t>
  </si>
  <si>
    <t>RPRO-260122-0471</t>
  </si>
  <si>
    <t>RPRO-260122-0477</t>
  </si>
  <si>
    <t>RPRO-260122-0483</t>
  </si>
  <si>
    <t>RPRO-260122-0489</t>
  </si>
  <si>
    <t>RPRO-260122-0495</t>
  </si>
  <si>
    <t>RPRO-260122-0501</t>
  </si>
  <si>
    <t>RPRO-260122-0507</t>
  </si>
  <si>
    <t>RPRO-260122-0513</t>
  </si>
  <si>
    <t>RPRO-260122-0519</t>
  </si>
  <si>
    <t>RPRO-260122-0525</t>
  </si>
  <si>
    <t>RPRO-260122-0531</t>
  </si>
  <si>
    <t>RPRO-260122-0537</t>
  </si>
  <si>
    <t>RPRO-260122-0543</t>
  </si>
  <si>
    <t>RPRO-260122-0549</t>
  </si>
  <si>
    <t>RPRO-260122-0555</t>
  </si>
  <si>
    <t>RPRO-260122-0561</t>
  </si>
  <si>
    <t>RPRO-260122-0567</t>
  </si>
  <si>
    <t>RPRO-260122-0573</t>
  </si>
  <si>
    <t>RPRO-260122-0579</t>
  </si>
  <si>
    <t>RPRO-260122-0585</t>
  </si>
  <si>
    <t>RPRO-260122-0591</t>
  </si>
  <si>
    <t>RPRO-260122-0597</t>
  </si>
  <si>
    <t>RPRO-260122-0603</t>
  </si>
  <si>
    <t>RPRO-260122-0609</t>
  </si>
  <si>
    <t>RPRO-260122-0615</t>
  </si>
  <si>
    <t>RPRO-260122-0621</t>
  </si>
  <si>
    <t>RPRO-260122-0627</t>
  </si>
  <si>
    <t>DC-011040</t>
  </si>
  <si>
    <t>RPRO-260124-0116</t>
  </si>
  <si>
    <t>RPRO-260124-0118</t>
  </si>
  <si>
    <t>RPRO-260124-0119</t>
  </si>
  <si>
    <t>RPRO-260124-0120</t>
  </si>
  <si>
    <t>RPRO-260124-0121</t>
  </si>
  <si>
    <t>RPRO-260124-0122</t>
  </si>
  <si>
    <t>RPRO-260124-0123</t>
  </si>
  <si>
    <t>RPRO-260124-0124</t>
  </si>
  <si>
    <t>RPRO-260124-0125</t>
  </si>
  <si>
    <t>RPRO-260124-0126</t>
  </si>
  <si>
    <t>RPRO-260126-0003</t>
  </si>
  <si>
    <t>DC-016898</t>
  </si>
  <si>
    <t>OrthoLite Regular-Nike AIR BLUE/16-4134TPX Flat Sheet 0.11D 25+/-4 Asker C 1.1M 2M 5mm</t>
  </si>
  <si>
    <t>62F (PP)LINING KNIT BRUSHED RIO REC 44" 230G</t>
  </si>
  <si>
    <t>RPRO-260126-0214</t>
  </si>
  <si>
    <t>RPRO-260126-0215</t>
  </si>
  <si>
    <t>RPRO-260126-0216</t>
  </si>
  <si>
    <t>RPRO-260126-0217</t>
  </si>
  <si>
    <t>RPRO-260126-0218</t>
  </si>
  <si>
    <t>RPRO-260126-0219</t>
  </si>
  <si>
    <t>RPRO-260126-0220</t>
  </si>
  <si>
    <t>RPRO-260126-0221</t>
  </si>
  <si>
    <t>DC-001518</t>
  </si>
  <si>
    <t>10A (PP)LINING KNIT MATTE MICRO (HOOD) REC 44" 250G (PCX#167606)</t>
  </si>
  <si>
    <t>RPRO-260128-1364</t>
  </si>
  <si>
    <t>00A (PP)LINING KNIT MATTE MICRO (HOOD) REC 44" 250G (PCX #167606)</t>
  </si>
  <si>
    <t>0AN (PP)LINING KNIT MATTE MICRO (HOOD) REC 44" 250G (PCX#167606)</t>
  </si>
  <si>
    <t>DC-016887</t>
  </si>
  <si>
    <t>RPRO-260128-1288</t>
  </si>
  <si>
    <t>DC-012159</t>
  </si>
  <si>
    <t>RPRO-260128-1289</t>
  </si>
  <si>
    <t>RPRO-260128-1290</t>
  </si>
  <si>
    <t>RPRO-260128-1291</t>
  </si>
  <si>
    <t>RPRO-260128-1292</t>
  </si>
  <si>
    <t>RPRO-260128-1293</t>
  </si>
  <si>
    <t>RPRO-260128-1294</t>
  </si>
  <si>
    <t>RPRO-260128-1295</t>
  </si>
  <si>
    <t>RPRO-260128-1296</t>
  </si>
  <si>
    <t>RPRO-260128-1298</t>
  </si>
  <si>
    <t>RPRO-260128-1300</t>
  </si>
  <si>
    <t>RPRO-260128-1302</t>
  </si>
  <si>
    <t>RPRO-260128-1304</t>
  </si>
  <si>
    <t>RPRO-260128-1307</t>
  </si>
  <si>
    <t>RPRO-260128-1310</t>
  </si>
  <si>
    <t>RPRO-260128-1313</t>
  </si>
  <si>
    <t>RPRO-260128-1316</t>
  </si>
  <si>
    <t>RPRO-260128-1319</t>
  </si>
  <si>
    <t>RPRO-260127-0089</t>
  </si>
  <si>
    <t>RPRO-260127-0090</t>
  </si>
  <si>
    <t>RPRO-260127-0091</t>
  </si>
  <si>
    <t>RPRO-260127-0092</t>
  </si>
  <si>
    <t>RPRO-260127-0093</t>
  </si>
  <si>
    <t>RPRO-260127-0094</t>
  </si>
  <si>
    <t>RPRO-260127-0095</t>
  </si>
  <si>
    <t>RPRO-260127-0096</t>
  </si>
  <si>
    <t>RPRO-260127-0097</t>
  </si>
  <si>
    <t>RPRO-260127-0098</t>
  </si>
  <si>
    <t>RPRO-260127-0099</t>
  </si>
  <si>
    <t>RPRO-260127-0100</t>
  </si>
  <si>
    <t>RPRO-260127-0101</t>
  </si>
  <si>
    <t>RPRO-260127-0102</t>
  </si>
  <si>
    <t>RPRO-260127-0103</t>
  </si>
  <si>
    <t>RPRO-260127-0104</t>
  </si>
  <si>
    <t>RPRO-260127-0105</t>
  </si>
  <si>
    <t>RPRO-260127-0107</t>
  </si>
  <si>
    <t>RPRO-260127-0109</t>
  </si>
  <si>
    <t>RPRO-260127-0111</t>
  </si>
  <si>
    <t>RPRO-260127-0113</t>
  </si>
  <si>
    <t>RPRO-260127-0115</t>
  </si>
  <si>
    <t>RPRO-260127-0117</t>
  </si>
  <si>
    <t>RPRO-260127-0119</t>
  </si>
  <si>
    <t>RPRO-260127-0121</t>
  </si>
  <si>
    <t>RPRO-260127-0123</t>
  </si>
  <si>
    <t>RPRO-260127-0125</t>
  </si>
  <si>
    <t>RPRO-260127-0127</t>
  </si>
  <si>
    <t>RPRO-260127-0129</t>
  </si>
  <si>
    <t>RPRO-260127-0131</t>
  </si>
  <si>
    <t>RPRO-260127-0133</t>
  </si>
  <si>
    <t>RPRO-260127-0135</t>
  </si>
  <si>
    <t>RPRO-260127-0136</t>
  </si>
  <si>
    <t>RPRO-260127-0137</t>
  </si>
  <si>
    <t>RPRO-260127-0139</t>
  </si>
  <si>
    <t>RPRO-260127-0141</t>
  </si>
  <si>
    <t>RPRO-260127-0143</t>
  </si>
  <si>
    <t>RPRO-260127-0145</t>
  </si>
  <si>
    <t>RPRO-260127-0147</t>
  </si>
  <si>
    <t>RPRO-260127-0149</t>
  </si>
  <si>
    <t>RPRO-260127-0151</t>
  </si>
  <si>
    <t>RPRO-260127-0153</t>
  </si>
  <si>
    <t>RPRO-260127-0155</t>
  </si>
  <si>
    <t>RPRO-260127-0157</t>
  </si>
  <si>
    <t>RPRO-260127-0159</t>
  </si>
  <si>
    <t>RPRO-260127-0161</t>
  </si>
  <si>
    <t>RPRO-260127-0163</t>
  </si>
  <si>
    <t>RPRO-260127-0165</t>
  </si>
  <si>
    <t>RPRO-260127-0167</t>
  </si>
  <si>
    <t>RPRO-260127-0169</t>
  </si>
  <si>
    <t>RPRO-260127-0171</t>
  </si>
  <si>
    <t>RPRO-260127-0173</t>
  </si>
  <si>
    <t>RPRO-260127-0175</t>
  </si>
  <si>
    <t>RPRO-260127-0177</t>
  </si>
  <si>
    <t>RPRO-260127-0179</t>
  </si>
  <si>
    <t>RPRO-260127-0262</t>
  </si>
  <si>
    <t>DC-006556</t>
  </si>
  <si>
    <t>19-3901TPG YH-S960 EPM5 (100% Recycled PET) 44'' 198G</t>
  </si>
  <si>
    <t>RPRO-260127-0264</t>
  </si>
  <si>
    <t>DC-006558</t>
  </si>
  <si>
    <t>RPRO-260127-0266</t>
  </si>
  <si>
    <t>RPRO-260127-0268</t>
  </si>
  <si>
    <t>RPRO-260127-0270</t>
  </si>
  <si>
    <t>RPRO-260127-0272</t>
  </si>
  <si>
    <t>RPRO-260127-0332</t>
  </si>
  <si>
    <t>RPRO-260127-0335</t>
  </si>
  <si>
    <t>RPRO-260127-0338</t>
  </si>
  <si>
    <t>RPRO-260127-0341</t>
  </si>
  <si>
    <t>RPRO-260127-0344</t>
  </si>
  <si>
    <t>RPRO-260127-0347</t>
  </si>
  <si>
    <t>RPRO-260127-0350</t>
  </si>
  <si>
    <t>RPRO-260127-0353</t>
  </si>
  <si>
    <t>RPRO-260127-0368</t>
  </si>
  <si>
    <t>RPRO-260127-0371</t>
  </si>
  <si>
    <t>RPRO-260127-0372</t>
  </si>
  <si>
    <t>RPRO-260127-0373</t>
  </si>
  <si>
    <t>DC-011242</t>
  </si>
  <si>
    <t>4PS EPM ELILON 44" 280G</t>
  </si>
  <si>
    <t>RPRO-260127-0380</t>
  </si>
  <si>
    <t>RPRO-260127-0383</t>
  </si>
  <si>
    <t>DC-017465</t>
  </si>
  <si>
    <t>4MT (PP)LINING KNIT MATTE MICRO (HOOD) REC 44" 250G (A)</t>
  </si>
  <si>
    <t>RPRO-260127-0495</t>
  </si>
  <si>
    <t>RPRO-260127-0498</t>
  </si>
  <si>
    <t>RPRO-260128-0500</t>
  </si>
  <si>
    <t>DC-002867</t>
  </si>
  <si>
    <t>RPRO-260128-0502</t>
  </si>
  <si>
    <t>RPRO-260128-0504</t>
  </si>
  <si>
    <t>RPRO-260128-0506</t>
  </si>
  <si>
    <t>RPRO-260128-0508</t>
  </si>
  <si>
    <t>RPRO-260128-0510</t>
  </si>
  <si>
    <t>RPRO-260128-0512</t>
  </si>
  <si>
    <t>RPRO-260128-0520</t>
  </si>
  <si>
    <t>RPRO-260128-0524</t>
  </si>
  <si>
    <t>RPRO-260128-0527</t>
  </si>
  <si>
    <t>RPRO-260128-0530</t>
  </si>
  <si>
    <t>RPRO-260128-0533</t>
  </si>
  <si>
    <t>RPRO-260128-0536</t>
  </si>
  <si>
    <t>RPRO-260128-0600</t>
  </si>
  <si>
    <t>RPRO-260128-0603</t>
  </si>
  <si>
    <t>RPRO-260128-0609</t>
  </si>
  <si>
    <t>DC-017580</t>
  </si>
  <si>
    <t>RPRO-260128-1467</t>
  </si>
  <si>
    <t>DC-017354</t>
  </si>
  <si>
    <t>4AI MERRY MESH(LJB-540) 44" 250G</t>
  </si>
  <si>
    <t>DC-017970</t>
  </si>
  <si>
    <t>DC-004231</t>
  </si>
  <si>
    <t>RPRO-260128-1479</t>
  </si>
  <si>
    <t>DC-016171</t>
  </si>
  <si>
    <t>3JJ MERRY MESH(LJB-540) 44" 250G</t>
  </si>
  <si>
    <t>RPRO-260128-1481</t>
  </si>
  <si>
    <t>0AH (PP)LINING KNIT MATTE MICRO (HOOD) REC 44" 250G (PCX#167606)</t>
  </si>
  <si>
    <t>RPRO-260128-1499</t>
  </si>
  <si>
    <t>RPRO-260128-1501</t>
  </si>
  <si>
    <t>RPRO-260128-1503</t>
  </si>
  <si>
    <t>RPRO-260128-1509</t>
  </si>
  <si>
    <t>DC-017971</t>
  </si>
  <si>
    <t>DC-017075</t>
  </si>
  <si>
    <t>RPRO-260128-1523</t>
  </si>
  <si>
    <t>DC-016641</t>
  </si>
  <si>
    <t>12J (PP)LINING KNIT MATTE MICRO (HOOD) REC 44" 250G (PCX#167606)</t>
  </si>
  <si>
    <t>RPRO-260128-1525</t>
  </si>
  <si>
    <t>DC-017079</t>
  </si>
  <si>
    <t>13B (PP)LINING KNIT MATTE MICRO (HOOD) REC 44" 250G</t>
  </si>
  <si>
    <t>RPRO-260128-1543</t>
  </si>
  <si>
    <t>DC-017974</t>
  </si>
  <si>
    <t>6GC (PP)LINING KNIT MATTE MICRO (HOOD) REC 44" 250G</t>
  </si>
  <si>
    <t>RPRO-260128-1545</t>
  </si>
  <si>
    <t>RPRO-260128-1547</t>
  </si>
  <si>
    <t>RPRO-260128-1549</t>
  </si>
  <si>
    <t>RPRO-260128-1551</t>
  </si>
  <si>
    <t>RPRO-260128-1553</t>
  </si>
  <si>
    <t>RPRO-260128-1555</t>
  </si>
  <si>
    <t>RPRO-260128-1557</t>
  </si>
  <si>
    <t>RPRO-260128-1559</t>
  </si>
  <si>
    <t>RPRO-260128-1561</t>
  </si>
  <si>
    <t>RPRO-260128-1563</t>
  </si>
  <si>
    <t>RPRO-260128-1565</t>
  </si>
  <si>
    <t>RPRO-260128-1567</t>
  </si>
  <si>
    <t>RPRO-260128-1569</t>
  </si>
  <si>
    <t>RPRO-260128-1571</t>
  </si>
  <si>
    <t>RPRO-260128-1573</t>
  </si>
  <si>
    <t>DC-011115</t>
  </si>
  <si>
    <t>DC-013648</t>
  </si>
  <si>
    <t>DC-009638</t>
  </si>
  <si>
    <t>RPRO-260128-1587</t>
  </si>
  <si>
    <t>DC-017591</t>
  </si>
  <si>
    <t>RPRO-260128-1595</t>
  </si>
  <si>
    <t>RPRO-260128-1603</t>
  </si>
  <si>
    <t>DC-017587</t>
  </si>
  <si>
    <t>4QG MERRY MESH(LJB-540) 44" 250G</t>
  </si>
  <si>
    <t>RPRO-260128-1605</t>
  </si>
  <si>
    <t>RPRO-260128-1607</t>
  </si>
  <si>
    <t>RPRO-260128-1617</t>
  </si>
  <si>
    <t>RPRO-260128-1619</t>
  </si>
  <si>
    <t>RPRO-260128-1634</t>
  </si>
  <si>
    <t>RPRO-260128-1636</t>
  </si>
  <si>
    <t>RPRO-260128-1638</t>
  </si>
  <si>
    <t>RPRO-260128-1640</t>
  </si>
  <si>
    <t>RPRO-260128-1642</t>
  </si>
  <si>
    <t>RPRO-260128-1648</t>
  </si>
  <si>
    <t>DC-013746</t>
  </si>
  <si>
    <t>04Z (PP)LINING KNIT MATTE MICRO (HOOD) REC 44" 250G (PCX#167606)</t>
  </si>
  <si>
    <t>RPRO-260128-1650</t>
  </si>
  <si>
    <t>DC-017077</t>
  </si>
  <si>
    <t>RPRO-260128-1652</t>
  </si>
  <si>
    <t>RPRO-260128-1654</t>
  </si>
  <si>
    <t>RPRO-260128-1656</t>
  </si>
  <si>
    <t>RPRO-260128-1658</t>
  </si>
  <si>
    <t>RPRO-260128-1660</t>
  </si>
  <si>
    <t>RPRO-260128-1662</t>
  </si>
  <si>
    <t>RPRO-260128-1664</t>
  </si>
  <si>
    <t>RPRO-260128-1688</t>
  </si>
  <si>
    <t>RPRO-260128-1690</t>
  </si>
  <si>
    <t>RPRO-260128-1692</t>
  </si>
  <si>
    <t>RPRO-260128-1694</t>
  </si>
  <si>
    <t>RPRO-260128-1696</t>
  </si>
  <si>
    <t>RPRO-260128-1698</t>
  </si>
  <si>
    <t>RPRO-260128-1318</t>
  </si>
  <si>
    <t>RPRO-260128-1321</t>
  </si>
  <si>
    <t>DC-017415</t>
  </si>
  <si>
    <t>4KZ (PP)LINING KNIT MATTE MICRO (HOOD) REC 44" 250G (A)</t>
  </si>
  <si>
    <t>RPRO-260128-1704</t>
  </si>
  <si>
    <t>DC-013924</t>
  </si>
  <si>
    <t>3BA (PP)LINING KNIT MATTE MICRO (HOOD) REC 44" 250G</t>
  </si>
  <si>
    <t>RPRO-260128-1706</t>
  </si>
  <si>
    <t>00A (PP)LINING KNIT MATTE MICRO (SHASTA) REC 44" 309G (PCX #167605)</t>
  </si>
  <si>
    <t>RPRO-260128-1342</t>
  </si>
  <si>
    <t>RPRO-260128-1357</t>
  </si>
  <si>
    <t>RPRO-260128-1366</t>
  </si>
  <si>
    <t>RPRO-260128-1372</t>
  </si>
  <si>
    <t>RPRO-260128-1376</t>
  </si>
  <si>
    <t>03X (PP)LINING KNIT MATTE MICRO (HOOD) REC 44" 250G (PCX#167606)</t>
  </si>
  <si>
    <t>RPRO-260128-1378</t>
  </si>
  <si>
    <t>RPRO-260128-1380</t>
  </si>
  <si>
    <t>RPRO-260128-1384</t>
  </si>
  <si>
    <t>RPRO-260128-1386</t>
  </si>
  <si>
    <t>RPRO-260128-1390</t>
  </si>
  <si>
    <t>RPRO-260128-1394</t>
  </si>
  <si>
    <t>RPRO-260128-1410</t>
  </si>
  <si>
    <t>RPRO-260128-1418</t>
  </si>
  <si>
    <t>25B (PP)LINING KNIT MATTE MICRO (HOOD) REC 44" 250G (PCX#167606)</t>
  </si>
  <si>
    <t>RPRO-260128-1420</t>
  </si>
  <si>
    <t>RPRO-260128-1422</t>
  </si>
  <si>
    <t>RPRO-260128-1424</t>
  </si>
  <si>
    <t>RPRO-260128-1432</t>
  </si>
  <si>
    <t>RPRO-260128-1436</t>
  </si>
  <si>
    <t>RPRO-260128-1438</t>
  </si>
  <si>
    <t>DC-017972</t>
  </si>
  <si>
    <t>70Z MERRY MESH LJ-B540-EPM5 1TONE DTY REC (PCX#206190)(MCS#LU1P/PK5929) 44" 250G</t>
  </si>
  <si>
    <t>DC-015899</t>
  </si>
  <si>
    <t>RPRO-260128-1458</t>
  </si>
  <si>
    <t>DC-015904</t>
  </si>
  <si>
    <t>4PB MERRY MESH LJ-B540-EPM5 1TONE DTY REC (PCX#206190)(MCS#LU1P/PK5929) 44" 250G</t>
  </si>
  <si>
    <t>RPRO-260128-1462</t>
  </si>
  <si>
    <t>RPRO-260128-1464</t>
  </si>
  <si>
    <t>RPRO-260128-1472</t>
  </si>
  <si>
    <t>RPRO-260128-1474</t>
  </si>
  <si>
    <t>RPRO-260128-1476</t>
  </si>
  <si>
    <t>RPRO-260128-1478</t>
  </si>
  <si>
    <t>RPRO-260128-1480</t>
  </si>
  <si>
    <t>RPRO-260128-1482</t>
  </si>
  <si>
    <t>RPRO-260128-1484</t>
  </si>
  <si>
    <t>RPRO-260128-1486</t>
  </si>
  <si>
    <t>RPRO-260128-1488</t>
  </si>
  <si>
    <t>RPRO-260128-1490</t>
  </si>
  <si>
    <t>RPRO-260128-1492</t>
  </si>
  <si>
    <t>RPRO-260128-1494</t>
  </si>
  <si>
    <t>RPRO-260128-1496</t>
  </si>
  <si>
    <t>RPRO-260128-1504</t>
  </si>
  <si>
    <t>RPRO-260128-1506</t>
  </si>
  <si>
    <t>RPRO-260128-1508</t>
  </si>
  <si>
    <t>RPRO-260128-1510</t>
  </si>
  <si>
    <t>RPRO-260128-1512</t>
  </si>
  <si>
    <t>RPRO-260128-1514</t>
  </si>
  <si>
    <t>RPRO-260128-1516</t>
  </si>
  <si>
    <t>RPRO-260128-1518</t>
  </si>
  <si>
    <t>RPRO-260128-1520</t>
  </si>
  <si>
    <t>RPRO-260128-1522</t>
  </si>
  <si>
    <t>RPRO-260128-1590</t>
  </si>
  <si>
    <t>RPRO-260128-1592</t>
  </si>
  <si>
    <t>RPRO-260128-1594</t>
  </si>
  <si>
    <t>RPRO-260128-1596</t>
  </si>
  <si>
    <t>RPRO-260128-1598</t>
  </si>
  <si>
    <t>RPRO-260128-1600</t>
  </si>
  <si>
    <t>RPRO-260128-1602</t>
  </si>
  <si>
    <t>RPRO-260128-1604</t>
  </si>
  <si>
    <t>RPRO-260128-1606</t>
  </si>
  <si>
    <t>RPRO-260128-1608</t>
  </si>
  <si>
    <t>DC-007869</t>
  </si>
  <si>
    <t>10A DURAPLUSH LJ-A2700 44" 250G (PCX #65338)</t>
  </si>
  <si>
    <t>RPRO-260128-1707</t>
  </si>
  <si>
    <t>DC-017470</t>
  </si>
  <si>
    <t>RPRO-260128-1709</t>
  </si>
  <si>
    <t>RPRO-260128-1711</t>
  </si>
  <si>
    <t>RPRO-260128-1713</t>
  </si>
  <si>
    <t>RPRO-260128-1715</t>
  </si>
  <si>
    <t>RPRO-260128-1717</t>
  </si>
  <si>
    <t>RPRO-260128-1719</t>
  </si>
  <si>
    <t>RPRO-260128-1720</t>
  </si>
  <si>
    <t>RPRO-260128-1721</t>
  </si>
  <si>
    <t>RPRO-260128-1725</t>
  </si>
  <si>
    <t>RPRO-260128-1726</t>
  </si>
  <si>
    <t>RPRO-260128-1729</t>
  </si>
  <si>
    <t>DC-017339</t>
  </si>
  <si>
    <t>62Z (PP)LINING KNIT MATTE MICRO (HOOD) REC 44" 250G</t>
  </si>
  <si>
    <t>RPRO-260128-1730</t>
  </si>
  <si>
    <t>RPRO-260128-1731</t>
  </si>
  <si>
    <t>RPRO-260128-1732</t>
  </si>
  <si>
    <t>DC-016888</t>
  </si>
  <si>
    <t>12B (PP)LINING KNIT MATTE MICRO (HOOD) REC 44" 250G</t>
  </si>
  <si>
    <t>RPRO-260128-1733</t>
  </si>
  <si>
    <t>RPRO-260128-1734</t>
  </si>
  <si>
    <t>RPRO-260128-1739</t>
  </si>
  <si>
    <t>RPRO-260128-1740</t>
  </si>
  <si>
    <t>RPRO-260128-1743</t>
  </si>
  <si>
    <t>DC-013736</t>
  </si>
  <si>
    <t>RPRO-260128-1744</t>
  </si>
  <si>
    <t>DC-016949</t>
  </si>
  <si>
    <t>RPRO-260128-1745</t>
  </si>
  <si>
    <t>RPRO-260128-1746</t>
  </si>
  <si>
    <t>DC-007764</t>
  </si>
  <si>
    <t>RPRO-260128-1748</t>
  </si>
  <si>
    <t>DC-012214</t>
  </si>
  <si>
    <t>DC-017537</t>
  </si>
  <si>
    <t>DC-017616</t>
  </si>
  <si>
    <t>00A (PP)LINING KNIT MATTE MICRO (HOOD) REC 44" 250G (PCX#167606)</t>
  </si>
  <si>
    <t>RPRO-260128-1751</t>
  </si>
  <si>
    <t>RPRO-260128-1752</t>
  </si>
  <si>
    <t>DC-017975</t>
  </si>
  <si>
    <t>44B (PP)LINING KNIT MATTE MICRO (HOOD) REC 44" 250G (A)</t>
  </si>
  <si>
    <t>RPRO-260128-1753</t>
  </si>
  <si>
    <t>RPRO-260129-0090</t>
  </si>
  <si>
    <t>DC-017998</t>
  </si>
  <si>
    <t>RPRO-260129-0091</t>
  </si>
  <si>
    <t>RPRO-260129-0092</t>
  </si>
  <si>
    <t>RPRO-260129-0093</t>
  </si>
  <si>
    <t>RPRO-260129-0094</t>
  </si>
  <si>
    <t>RPRO-260129-0095</t>
  </si>
  <si>
    <t>RPRO-260129-0096</t>
  </si>
  <si>
    <t>RPRO-260129-0097</t>
  </si>
  <si>
    <t>RPRO-260129-0098</t>
  </si>
  <si>
    <t>DC-016211</t>
  </si>
  <si>
    <t>RPRO-260129-0099</t>
  </si>
  <si>
    <t>RPRO-260129-0103</t>
  </si>
  <si>
    <t>RPRO-260129-0105</t>
  </si>
  <si>
    <t>RPRO-260129-0107</t>
  </si>
  <si>
    <t>RPRO-260129-0109</t>
  </si>
  <si>
    <t>RPRO-260129-0100</t>
  </si>
  <si>
    <t>RPRO-260129-0111</t>
  </si>
  <si>
    <t>RPRO-260129-0113</t>
  </si>
  <si>
    <t>RPRO-260129-0115</t>
  </si>
  <si>
    <t>RPRO-260129-0117</t>
  </si>
  <si>
    <t>RPRO-260129-0102</t>
  </si>
  <si>
    <t>RPRO-260129-0120</t>
  </si>
  <si>
    <t>RPRO-260129-0123</t>
  </si>
  <si>
    <t>RPRO-260129-0104</t>
  </si>
  <si>
    <t>RPRO-260129-0126</t>
  </si>
  <si>
    <t>DC-010845</t>
  </si>
  <si>
    <t>RPRO-260129-0129</t>
  </si>
  <si>
    <t>RPRO-260129-0132</t>
  </si>
  <si>
    <t>RPRO-260129-0106</t>
  </si>
  <si>
    <t>RPRO-260129-0135</t>
  </si>
  <si>
    <t>RPRO-260129-0108</t>
  </si>
  <si>
    <t>RPRO-260129-0110</t>
  </si>
  <si>
    <t>RPRO-260129-0112</t>
  </si>
  <si>
    <t>RPRO-260129-0138</t>
  </si>
  <si>
    <t>RPRO-260129-0141</t>
  </si>
  <si>
    <t>RPRO-260129-0114</t>
  </si>
  <si>
    <t>RPRO-260129-0116</t>
  </si>
  <si>
    <t>RPRO-260129-0119</t>
  </si>
  <si>
    <t>RPRO-260129-0122</t>
  </si>
  <si>
    <t>RPRO-260129-0125</t>
  </si>
  <si>
    <t>RPRO-260129-0128</t>
  </si>
  <si>
    <t>RPRO-260129-0131</t>
  </si>
  <si>
    <t>RPRO-260129-0134</t>
  </si>
  <si>
    <t>RPRO-260129-0137</t>
  </si>
  <si>
    <t>RPRO-260129-0140</t>
  </si>
  <si>
    <t>RPRO-260129-0144</t>
  </si>
  <si>
    <t>RPRO-260129-0147</t>
  </si>
  <si>
    <t>RPRO-260129-0150</t>
  </si>
  <si>
    <t>RPRO-260129-0153</t>
  </si>
  <si>
    <t>RPRO-260129-0143</t>
  </si>
  <si>
    <t>RPRO-260129-0146</t>
  </si>
  <si>
    <t>RPRO-260129-0149</t>
  </si>
  <si>
    <t>RPRO-260129-0152</t>
  </si>
  <si>
    <t>RPRO-260129-0155</t>
  </si>
  <si>
    <t>RPRO-260129-0158</t>
  </si>
  <si>
    <t>RPRO-260129-0161</t>
  </si>
  <si>
    <t>RPRO-260129-0164</t>
  </si>
  <si>
    <t>RPRO-260129-0167</t>
  </si>
  <si>
    <t>RPRO-260129-0170</t>
  </si>
  <si>
    <t>RPRO-260129-0173</t>
  </si>
  <si>
    <t>RPRO-260129-0176</t>
  </si>
  <si>
    <t>RPRO-260129-0179</t>
  </si>
  <si>
    <t>RPRO-260129-0182</t>
  </si>
  <si>
    <t>RPRO-260129-0185</t>
  </si>
  <si>
    <t>RPRO-260129-0188</t>
  </si>
  <si>
    <t>RPRO-260129-0191</t>
  </si>
  <si>
    <t>RPRO-260129-0194</t>
  </si>
  <si>
    <t>RPRO-260129-0197</t>
  </si>
  <si>
    <t>RPRO-260129-0200</t>
  </si>
  <si>
    <t>RPRO-260129-0203</t>
  </si>
  <si>
    <t>RPRO-260129-0206</t>
  </si>
  <si>
    <t>RPRO-260129-0209</t>
  </si>
  <si>
    <t>RPRO-260129-0212</t>
  </si>
  <si>
    <t>RPRO-260129-0215</t>
  </si>
  <si>
    <t>RPRO-260129-0218</t>
  </si>
  <si>
    <t>RPRO-260129-0156</t>
  </si>
  <si>
    <t>DC-010803</t>
  </si>
  <si>
    <t>043-89-00 LJ-B1-1-EPM5 44" 180G</t>
  </si>
  <si>
    <t>RPRO-260129-0221</t>
  </si>
  <si>
    <t>RPRO-260129-0171</t>
  </si>
  <si>
    <t>DC-018000</t>
  </si>
  <si>
    <t>RPRO-260129-0183</t>
  </si>
  <si>
    <t>DC-017755</t>
  </si>
  <si>
    <t>GR15-22S OBSIDIAN CY101 44" 210G (PT LEEA)</t>
  </si>
  <si>
    <t>RPRO-260129-0189</t>
  </si>
  <si>
    <t>DC-018016</t>
  </si>
  <si>
    <t>RPRO-260129-0213</t>
  </si>
  <si>
    <t>RPRO-260129-0245</t>
  </si>
  <si>
    <t>RPRO-260129-0251</t>
  </si>
  <si>
    <t>RPRO-260129-0130</t>
  </si>
  <si>
    <t>DC-018010</t>
  </si>
  <si>
    <t>51C (PP)LINING KNIT MATTE MICRO (HOOD) REC 44" 250G (PCX#167606)</t>
  </si>
  <si>
    <t>DC-010779</t>
  </si>
  <si>
    <t>01V (PP)LINING KNIT MATTE MICRO (HOOD) REC 44" 250G (PCX#167606)</t>
  </si>
  <si>
    <t>RPRO-260129-0136</t>
  </si>
  <si>
    <t>DC-017472</t>
  </si>
  <si>
    <t>44B (PP)LINING KNIT MATTE MICRO (HOOD) REC 44" 250G (PCX#167606) (A)</t>
  </si>
  <si>
    <t>DC-017342</t>
  </si>
  <si>
    <t>RPRO-260129-0148</t>
  </si>
  <si>
    <t>RPRO-260129-0154</t>
  </si>
  <si>
    <t>RPRO-260129-0157</t>
  </si>
  <si>
    <t>DC-018011</t>
  </si>
  <si>
    <t>6DA (PP)LINING KNIT MATTE MICRO (HOOD) REC 44" 250G (PCX#167606)</t>
  </si>
  <si>
    <t>RPRO-260129-0163</t>
  </si>
  <si>
    <t>DC-017743</t>
  </si>
  <si>
    <t>4KZ (PP)LINING KNIT MATTE MICRO (HOOD) REC 44" 250G (PCX#167606) (A)</t>
  </si>
  <si>
    <t>RPRO-260129-0166</t>
  </si>
  <si>
    <t>DC-017745</t>
  </si>
  <si>
    <t>RPRO-260129-0172</t>
  </si>
  <si>
    <t>DC-017748</t>
  </si>
  <si>
    <t>06L (PP)LINING KNIT MATTE MICRO (HOOD) REC 44" 250G (PCX#167606) (A)</t>
  </si>
  <si>
    <t>DC-015043</t>
  </si>
  <si>
    <t>DC-014356</t>
  </si>
  <si>
    <t>RPRO-260129-0199</t>
  </si>
  <si>
    <t>DC-017744</t>
  </si>
  <si>
    <t>RPRO-260129-0202</t>
  </si>
  <si>
    <t>RPRO-260129-0205</t>
  </si>
  <si>
    <t>6HM (PP)LINING KNIT MATTE MICRO (HOOD) REC 44" 250G (PCX#167606)</t>
  </si>
  <si>
    <t>RPRO-260129-0208</t>
  </si>
  <si>
    <t>DC-016884</t>
  </si>
  <si>
    <t>RPRO-260129-0983</t>
  </si>
  <si>
    <t>DC-018012</t>
  </si>
  <si>
    <t>63D (PP)LINING KNIT MATTE MICRO (HOOD) REC 44" 250G (PCX#167606)</t>
  </si>
  <si>
    <t>RPRO-260129-0988</t>
  </si>
  <si>
    <t>RPRO-260129-0991</t>
  </si>
  <si>
    <t>DC-017474</t>
  </si>
  <si>
    <t>6JB (PP)LINING KNIT MATTE MICRO (HOOD) REC 44" 250G (PCX#167606) (A)</t>
  </si>
  <si>
    <t>RPRO-260129-0241</t>
  </si>
  <si>
    <t>07P (PP)LINING KNIT MATTE MICRO (HOOD) REC 44" 250G (PCX#167606)</t>
  </si>
  <si>
    <t>RPRO-260129-0244</t>
  </si>
  <si>
    <t>RPRO-260129-0247</t>
  </si>
  <si>
    <t>DC-018022</t>
  </si>
  <si>
    <t>3KF (PP)LINING KNIT MATTE MICRO (HOOD) REC 44" 250G (PCX#167606)</t>
  </si>
  <si>
    <t>RPRO-260129-0250</t>
  </si>
  <si>
    <t>RPRO-260129-0256</t>
  </si>
  <si>
    <t>RPRO-260129-0260</t>
  </si>
  <si>
    <t>DC-016076</t>
  </si>
  <si>
    <t>6JB DURAPLUSH LJ-A2700 44" 250G (PCX #65338)</t>
  </si>
  <si>
    <t>RPRO-260131-0029</t>
  </si>
  <si>
    <t>RPRO-260129-0278</t>
  </si>
  <si>
    <t>DC-018007</t>
  </si>
  <si>
    <t>29E EPM MERRY MESH(LJB-730) 44" 220G</t>
  </si>
  <si>
    <t>RPRO-260129-0281</t>
  </si>
  <si>
    <t>RPRO-260129-0284</t>
  </si>
  <si>
    <t>RPRO-260129-0287</t>
  </si>
  <si>
    <t>RPRO-260129-0290</t>
  </si>
  <si>
    <t>RPRO-260129-0293</t>
  </si>
  <si>
    <t>RPRO-260129-0296</t>
  </si>
  <si>
    <t>RPRO-260129-0299</t>
  </si>
  <si>
    <t>RPRO-260129-0302</t>
  </si>
  <si>
    <t>RPRO-260129-0305</t>
  </si>
  <si>
    <t>RPRO-260129-0308</t>
  </si>
  <si>
    <t>RPRO-260129-0311</t>
  </si>
  <si>
    <t>RPRO-260129-0314</t>
  </si>
  <si>
    <t>RPRO-260129-0317</t>
  </si>
  <si>
    <t>RPRO-260129-0320</t>
  </si>
  <si>
    <t>RPRO-260129-0323</t>
  </si>
  <si>
    <t>RPRO-260129-0326</t>
  </si>
  <si>
    <t>RPRO-260129-0329</t>
  </si>
  <si>
    <t>RPRO-260129-0332</t>
  </si>
  <si>
    <t>RPRO-260129-0335</t>
  </si>
  <si>
    <t>RPRO-260129-0338</t>
  </si>
  <si>
    <t>RPRO-260129-0341</t>
  </si>
  <si>
    <t>RPRO-260129-0344</t>
  </si>
  <si>
    <t>RPRO-260129-0347</t>
  </si>
  <si>
    <t>RPRO-260129-0350</t>
  </si>
  <si>
    <t>RPRO-260129-0353</t>
  </si>
  <si>
    <t>RPRO-260129-0356</t>
  </si>
  <si>
    <t>RPRO-260129-0359</t>
  </si>
  <si>
    <t>RPRO-260129-0362</t>
  </si>
  <si>
    <t>RPRO-260129-0365</t>
  </si>
  <si>
    <t>RPRO-260129-0368</t>
  </si>
  <si>
    <t>RPRO-260129-0371</t>
  </si>
  <si>
    <t>RPRO-260129-0373</t>
  </si>
  <si>
    <t>RPRO-260129-0375</t>
  </si>
  <si>
    <t>RPRO-260129-0377</t>
  </si>
  <si>
    <t>RPRO-260129-0379</t>
  </si>
  <si>
    <t>RPRO-260129-0381</t>
  </si>
  <si>
    <t>RPRO-260129-0383</t>
  </si>
  <si>
    <t>RPRO-260129-0385</t>
  </si>
  <si>
    <t>RPRO-260129-0387</t>
  </si>
  <si>
    <t>RPRO-260129-0389</t>
  </si>
  <si>
    <t>RPRO-260129-0391</t>
  </si>
  <si>
    <t>RPRO-260129-0393</t>
  </si>
  <si>
    <t>RPRO-260129-0395</t>
  </si>
  <si>
    <t>RPRO-260129-0397</t>
  </si>
  <si>
    <t>RPRO-260129-0399</t>
  </si>
  <si>
    <t>RPRO-260129-0401</t>
  </si>
  <si>
    <t>RPRO-260129-0403</t>
  </si>
  <si>
    <t>RPRO-260129-0405</t>
  </si>
  <si>
    <t>RPRO-260129-0407</t>
  </si>
  <si>
    <t>RPRO-260129-0409</t>
  </si>
  <si>
    <t>RPRO-260129-0411</t>
  </si>
  <si>
    <t>RPRO-260129-0413</t>
  </si>
  <si>
    <t>RPRO-260129-0415</t>
  </si>
  <si>
    <t>RPRO-260129-0417</t>
  </si>
  <si>
    <t>RPRO-260129-0419</t>
  </si>
  <si>
    <t>RPRO-260129-0421</t>
  </si>
  <si>
    <t>RPRO-260129-0423</t>
  </si>
  <si>
    <t>RPRO-260129-0425</t>
  </si>
  <si>
    <t>RPRO-260129-0427</t>
  </si>
  <si>
    <t>RPRO-260129-0429</t>
  </si>
  <si>
    <t>RPRO-260129-0431</t>
  </si>
  <si>
    <t>RPRO-260129-0433</t>
  </si>
  <si>
    <t>RPRO-260129-0435</t>
  </si>
  <si>
    <t>RPRO-260131-0036</t>
  </si>
  <si>
    <t>RPRO-260129-0437</t>
  </si>
  <si>
    <t>RPRO-260129-0445</t>
  </si>
  <si>
    <t>RPRO-260129-0467</t>
  </si>
  <si>
    <t>RPRO-260129-0469</t>
  </si>
  <si>
    <t>RPRO-260129-0531</t>
  </si>
  <si>
    <t>DC-008397</t>
  </si>
  <si>
    <t>RPRO-260129-0533</t>
  </si>
  <si>
    <t>RPRO-260129-0535</t>
  </si>
  <si>
    <t>0BL (PP)LINING KNIT MATTE MICRO (HOOD) REC 44" 250G (PCX#167606)</t>
  </si>
  <si>
    <t>RPRO-260129-0537</t>
  </si>
  <si>
    <t>00A DURAPLUSH LJ-A2700 44" 250G (PCX #65338)</t>
  </si>
  <si>
    <t>DC-018020</t>
  </si>
  <si>
    <t>RPRO-260131-0064</t>
  </si>
  <si>
    <t>RPRO-260131-0088</t>
  </si>
  <si>
    <t>RPRO-260131-0104</t>
  </si>
  <si>
    <t>RPRO-260131-0112</t>
  </si>
  <si>
    <t>RPRO-260131-0124</t>
  </si>
  <si>
    <t>RPRO-260131-0128</t>
  </si>
  <si>
    <t>RPRO-260131-0049</t>
  </si>
  <si>
    <t>RPRO-260131-0051</t>
  </si>
  <si>
    <t>RPRO-260131-0053</t>
  </si>
  <si>
    <t>RPRO-260131-0056</t>
  </si>
  <si>
    <t>RPRO-260131-0059</t>
  </si>
  <si>
    <t>RPRO-260131-0063</t>
  </si>
  <si>
    <t>RPRO-260131-0067</t>
  </si>
  <si>
    <t>RPRO-260131-0071</t>
  </si>
  <si>
    <t>RPRO-260131-0075</t>
  </si>
  <si>
    <t>RPRO-260131-0079</t>
  </si>
  <si>
    <t>RPRO-260131-0083</t>
  </si>
  <si>
    <t>RPRO-260131-0087</t>
  </si>
  <si>
    <t>RPRO-260131-0091</t>
  </si>
  <si>
    <t>RPRO-260131-0095</t>
  </si>
  <si>
    <t>RPRO-260131-0099</t>
  </si>
  <si>
    <t>RPRO-260131-0103</t>
  </si>
  <si>
    <t>RPRO-260131-0107</t>
  </si>
  <si>
    <t>RPRO-260131-0111</t>
  </si>
  <si>
    <t>RPRO-260131-0115</t>
  </si>
  <si>
    <t>RPRO-260131-0119</t>
  </si>
  <si>
    <t>RPRO-260131-0123</t>
  </si>
  <si>
    <t>RPRO-260131-0127</t>
  </si>
  <si>
    <t>RPRO-260131-0131</t>
  </si>
  <si>
    <t>RPRO-260131-0135</t>
  </si>
  <si>
    <t>RPRO-260131-0139</t>
  </si>
  <si>
    <t>RPRO-260131-0143</t>
  </si>
  <si>
    <t>RPRO-260131-0147</t>
  </si>
  <si>
    <t>RPRO-260131-0151</t>
  </si>
  <si>
    <t>RPRO-260131-0155</t>
  </si>
  <si>
    <t>RPRO-260131-0159</t>
  </si>
  <si>
    <t>RPRO-260131-0163</t>
  </si>
  <si>
    <t>RPRO-260131-0167</t>
  </si>
  <si>
    <t>RPRO-260131-0171</t>
  </si>
  <si>
    <t>RPRO-260131-0175</t>
  </si>
  <si>
    <t>RPRO-260131-0179</t>
  </si>
  <si>
    <t>RPRO-260131-0055</t>
  </si>
  <si>
    <t>RPRO-260131-0058</t>
  </si>
  <si>
    <t>RPRO-260131-0062</t>
  </si>
  <si>
    <t>RPRO-260131-0066</t>
  </si>
  <si>
    <t>RPRO-260131-0070</t>
  </si>
  <si>
    <t>RPRO-260131-0074</t>
  </si>
  <si>
    <t>RPRO-260131-0078</t>
  </si>
  <si>
    <t>RPRO-260131-0082</t>
  </si>
  <si>
    <t>RPRO-260131-0086</t>
  </si>
  <si>
    <t>RPRO-260131-0090</t>
  </si>
  <si>
    <t>RPRO-260131-0094</t>
  </si>
  <si>
    <t>RPRO-260131-0098</t>
  </si>
  <si>
    <t>RPRO-260131-0102</t>
  </si>
  <si>
    <t>RPRO-260131-0106</t>
  </si>
  <si>
    <t>RPRO-260131-0110</t>
  </si>
  <si>
    <t>RPRO-260131-0114</t>
  </si>
  <si>
    <t>RPRO-260131-0118</t>
  </si>
  <si>
    <t>RPRO-260131-0122</t>
  </si>
  <si>
    <t>RPRO-260131-0126</t>
  </si>
  <si>
    <t>RPRO-260131-0130</t>
  </si>
  <si>
    <t>RPRO-260131-0134</t>
  </si>
  <si>
    <t>RPRO-260131-0138</t>
  </si>
  <si>
    <t>RPRO-260131-0142</t>
  </si>
  <si>
    <t>RPRO-260131-0146</t>
  </si>
  <si>
    <t>RPRO-260131-0150</t>
  </si>
  <si>
    <t>RPRO-260131-0154</t>
  </si>
  <si>
    <t>RPRO-260131-0158</t>
  </si>
  <si>
    <t>RPRO-260131-0160</t>
  </si>
  <si>
    <t>RPRO-260131-0164</t>
  </si>
  <si>
    <t>RPRO-260131-0168</t>
  </si>
  <si>
    <t>DC-017145</t>
  </si>
  <si>
    <t>TNF-06-10</t>
  </si>
  <si>
    <t>OrthoLite Eco LT RED/19-1764TPX 0.11D 25+/-4 Asker C 1.1M 2M 4mm</t>
  </si>
  <si>
    <t>TNF BLACK (CSI-JK3) 100% RECYCLED CK MESH POST CONSUMER UNBACKED 46" 180G</t>
  </si>
  <si>
    <t>RPRO-260131-0172</t>
  </si>
  <si>
    <t>DC-017146</t>
  </si>
  <si>
    <t>028-47-06 (GARNET COLORO) 100% RECYCLED CK MESH POST CONSUMER UNBACKED 46" 180G</t>
  </si>
  <si>
    <t>RPRO-260131-0176</t>
  </si>
  <si>
    <t>RPRO-260131-0180</t>
  </si>
  <si>
    <t>RPRO-260131-0184</t>
  </si>
  <si>
    <t>RPRO-260131-0188</t>
  </si>
  <si>
    <t>RPRO-260131-0192</t>
  </si>
  <si>
    <t>RPRO-260131-0196</t>
  </si>
  <si>
    <t>RPRO-260131-0200</t>
  </si>
  <si>
    <t>RPRO-260131-0204</t>
  </si>
  <si>
    <t>RPRO-260131-0208</t>
  </si>
  <si>
    <t>RPRO-260131-0212</t>
  </si>
  <si>
    <t>RPRO-260131-0216</t>
  </si>
  <si>
    <t>RPRO-260131-0220</t>
  </si>
  <si>
    <t>RPRO-260131-0224</t>
  </si>
  <si>
    <t>RPRO-260131-0228</t>
  </si>
  <si>
    <t>RPRO-260131-0232</t>
  </si>
  <si>
    <t>RPRO-260131-0236</t>
  </si>
  <si>
    <t>RPRO-260131-0240</t>
  </si>
  <si>
    <t>RPRO-260131-0244</t>
  </si>
  <si>
    <t>RPRO-260131-0141</t>
  </si>
  <si>
    <t>RPRO-260131-0145</t>
  </si>
  <si>
    <t>RPRO-260131-0248</t>
  </si>
  <si>
    <t>RPRO-260131-0252</t>
  </si>
  <si>
    <t>RPRO-260131-0186</t>
  </si>
  <si>
    <t>RPRO-260131-0190</t>
  </si>
  <si>
    <t>RPRO-260131-0194</t>
  </si>
  <si>
    <t>RPRO-260131-0198</t>
  </si>
  <si>
    <t>RPRO-260131-0202</t>
  </si>
  <si>
    <t>RPRO-260131-0206</t>
  </si>
  <si>
    <t>RPRO-260131-0210</t>
  </si>
  <si>
    <t>RPRO-260131-0214</t>
  </si>
  <si>
    <t>RPRO-260131-0218</t>
  </si>
  <si>
    <t>RPRO-260131-0222</t>
  </si>
  <si>
    <t>RPRO-260131-0226</t>
  </si>
  <si>
    <t>RPRO-260131-0230</t>
  </si>
  <si>
    <t>RPRO-260131-0234</t>
  </si>
  <si>
    <t>RPRO-260131-0238</t>
  </si>
  <si>
    <t>RPRO-260131-0242</t>
  </si>
  <si>
    <t>RPRO-260131-0246</t>
  </si>
  <si>
    <t>RPRO-260131-0250</t>
  </si>
  <si>
    <t>RPRO-260131-0254</t>
  </si>
  <si>
    <t>RPRO-260131-0258</t>
  </si>
  <si>
    <t>RPRO-260131-0262</t>
  </si>
  <si>
    <t>RPRO-260131-0266</t>
  </si>
  <si>
    <t>RPRO-260131-0270</t>
  </si>
  <si>
    <t>RPRO-260131-0274</t>
  </si>
  <si>
    <t>RPRO-260131-0278</t>
  </si>
  <si>
    <t>RPRO-260131-0282</t>
  </si>
  <si>
    <t>RPRO-260131-0286</t>
  </si>
  <si>
    <t>RPRO-260131-0290</t>
  </si>
  <si>
    <t>RPRO-260131-0294</t>
  </si>
  <si>
    <t>RPRO-260131-0298</t>
  </si>
  <si>
    <t>RPRO-260131-0302</t>
  </si>
  <si>
    <t>RPRO-260131-0306</t>
  </si>
  <si>
    <t>RPRO-260131-0310</t>
  </si>
  <si>
    <t>RPRO-260131-0314</t>
  </si>
  <si>
    <t>RPRO-260131-0318</t>
  </si>
  <si>
    <t>RPRO-260131-0322</t>
  </si>
  <si>
    <t>RPRO-260131-0326</t>
  </si>
  <si>
    <t>RPRO-260131-0330</t>
  </si>
  <si>
    <t>RPRO-260131-0334</t>
  </si>
  <si>
    <t>RPRO-260131-0339</t>
  </si>
  <si>
    <t>RPRO-260131-0343</t>
  </si>
  <si>
    <t>RPRO-260131-0347</t>
  </si>
  <si>
    <t>RPRO-260131-0351</t>
  </si>
  <si>
    <t>RPRO-260131-0355</t>
  </si>
  <si>
    <t>RPRO-260131-0359</t>
  </si>
  <si>
    <t>RPRO-260131-0363</t>
  </si>
  <si>
    <t>RPRO-260131-0367</t>
  </si>
  <si>
    <t>RPRO-260131-0371</t>
  </si>
  <si>
    <t>RPRO-260131-0375</t>
  </si>
  <si>
    <t>RPRO-260131-0379</t>
  </si>
  <si>
    <t>RPRO-260131-0383</t>
  </si>
  <si>
    <t>RPRO-260131-0387</t>
  </si>
  <si>
    <t>RPRO-260131-0391</t>
  </si>
  <si>
    <t>RPRO-260131-0395</t>
  </si>
  <si>
    <t>RPRO-260131-0399</t>
  </si>
  <si>
    <t>RPRO-260131-0406</t>
  </si>
  <si>
    <t>RPRO-260131-0410</t>
  </si>
  <si>
    <t>RPRO-260131-0414</t>
  </si>
  <si>
    <t>RPRO-260131-0418</t>
  </si>
  <si>
    <t>RPRO-260131-0422</t>
  </si>
  <si>
    <t>RPRO-260131-0426</t>
  </si>
  <si>
    <t>RPRO-260131-0430</t>
  </si>
  <si>
    <t>RPRO-260131-0434</t>
  </si>
  <si>
    <t>RPRO-260131-0438</t>
  </si>
  <si>
    <t>RPRO-260131-0442</t>
  </si>
  <si>
    <t>RPRO-260131-0446</t>
  </si>
  <si>
    <t>RPRO-260131-0450</t>
  </si>
  <si>
    <t>RPRO-260131-0457</t>
  </si>
  <si>
    <t>RPRO-260131-0461</t>
  </si>
  <si>
    <t>RPRO-260131-0465</t>
  </si>
  <si>
    <t>RPRO-260131-0469</t>
  </si>
  <si>
    <t>RPRO-260131-0473</t>
  </si>
  <si>
    <t>RPRO-260131-0480</t>
  </si>
  <si>
    <t>RPRO-260131-0485</t>
  </si>
  <si>
    <t>RPRO-260131-0489</t>
  </si>
  <si>
    <t>RPRO-260131-0493</t>
  </si>
  <si>
    <t>RPRO-260131-0497</t>
  </si>
  <si>
    <t>RPRO-260131-0504</t>
  </si>
  <si>
    <t>RPRO-260131-0508</t>
  </si>
  <si>
    <t>RPRO-260131-0512</t>
  </si>
  <si>
    <t>RPRO-260131-0516</t>
  </si>
  <si>
    <t>RPRO-260131-0520</t>
  </si>
  <si>
    <t>RPRO-260131-0524</t>
  </si>
  <si>
    <t>RPRO-260131-0528</t>
  </si>
  <si>
    <t>RPRO-260131-0532</t>
  </si>
  <si>
    <t>RPRO-260131-0536</t>
  </si>
  <si>
    <t>RPRO-260131-0540</t>
  </si>
  <si>
    <t>RPRO-260131-0544</t>
  </si>
  <si>
    <t>RPRO-260131-0548</t>
  </si>
  <si>
    <t>RPRO-260131-0552</t>
  </si>
  <si>
    <t>RPRO-260131-0556</t>
  </si>
  <si>
    <t>RPRO-260131-0560</t>
  </si>
  <si>
    <t>RPRO-260131-0564</t>
  </si>
  <si>
    <t>RPRO-260131-0568</t>
  </si>
  <si>
    <t>RPRO-260131-0572</t>
  </si>
  <si>
    <t>RPRO-260131-0576</t>
  </si>
  <si>
    <t>RPRO-260131-0580</t>
  </si>
  <si>
    <t>RPRO-260131-0584</t>
  </si>
  <si>
    <t>RPRO-260131-0591</t>
  </si>
  <si>
    <t>RPRO-260131-0595</t>
  </si>
  <si>
    <t>RPRO-260131-0599</t>
  </si>
  <si>
    <t>RPRO-260131-0603</t>
  </si>
  <si>
    <t>RPRO-260131-0607</t>
  </si>
  <si>
    <t>RPRO-260131-0611</t>
  </si>
  <si>
    <t>RPRO-260131-0614</t>
  </si>
  <si>
    <t>RPRO-260131-0619</t>
  </si>
  <si>
    <t>RPRO-260131-0622</t>
  </si>
  <si>
    <t>RPRO-260131-0625</t>
  </si>
  <si>
    <t>RPRO-260131-0628</t>
  </si>
  <si>
    <t>RPRO-260131-0631</t>
  </si>
  <si>
    <t>RPRO-260131-0636</t>
  </si>
  <si>
    <t>RPRO-260131-0639</t>
  </si>
  <si>
    <t>RPRO-260131-0642</t>
  </si>
  <si>
    <t>RPRO-260131-0645</t>
  </si>
  <si>
    <t>RPRO-260131-0648</t>
  </si>
  <si>
    <t>RPRO-260131-0653</t>
  </si>
  <si>
    <t>RPRO-260131-0656</t>
  </si>
  <si>
    <t>RPRO-260131-0659</t>
  </si>
  <si>
    <t>RPRO-260131-0662</t>
  </si>
  <si>
    <t>RPRO-260131-0665</t>
  </si>
  <si>
    <t>RPRO-260131-0668</t>
  </si>
  <si>
    <t>RPRO-260131-0671</t>
  </si>
  <si>
    <t>RPRO-260131-0256</t>
  </si>
  <si>
    <t>DC-018050</t>
  </si>
  <si>
    <t>SB-086 (D-0673) (Arch Skiving)</t>
  </si>
  <si>
    <t>OrthoLite Regular-Nike AIR BLUE/16-4134TPX Flat Sheet 0.11D 25+/-4 Asker C 1.1M 2M 4mm</t>
  </si>
  <si>
    <t>10A (PM) LINING KNIT MATTE MICRO (SEATTLE) 44" 265G (PCX#167576)</t>
  </si>
  <si>
    <t>RPRO-260131-0260</t>
  </si>
  <si>
    <t>RPRO-260131-0264</t>
  </si>
  <si>
    <t>RPRO-260131-0268</t>
  </si>
  <si>
    <t>RPRO-260131-0272</t>
  </si>
  <si>
    <t>RPRO-260131-0280</t>
  </si>
  <si>
    <t>10A (PP)LINING,KNIT,MATTE,FLAT (FRESNO),REC-RYP 44" 210G (PCX #100075)</t>
  </si>
  <si>
    <t>RPRO-260131-0284</t>
  </si>
  <si>
    <t>RPRO-260131-0288</t>
  </si>
  <si>
    <t>RPRO-260131-0292</t>
  </si>
  <si>
    <t>RPRO-260131-0296</t>
  </si>
  <si>
    <t>RPRO-260131-0300</t>
  </si>
  <si>
    <t>RPRO-260131-0304</t>
  </si>
  <si>
    <t>RPRO-260131-0308</t>
  </si>
  <si>
    <t>RPRO-260131-0312</t>
  </si>
  <si>
    <t>DC-018025</t>
  </si>
  <si>
    <t>RPRO-260131-0316</t>
  </si>
  <si>
    <t>DC-018026</t>
  </si>
  <si>
    <t>RPRO-260131-0320</t>
  </si>
  <si>
    <t>DC-018034</t>
  </si>
  <si>
    <t>RPRO-260131-0324</t>
  </si>
  <si>
    <t>DC-018027</t>
  </si>
  <si>
    <t>RPRO-260131-0328</t>
  </si>
  <si>
    <t>RPRO-260131-0332</t>
  </si>
  <si>
    <t>RPRO-260131-0336</t>
  </si>
  <si>
    <t>RPRO-260131-0340</t>
  </si>
  <si>
    <t>RPRO-260131-0344</t>
  </si>
  <si>
    <t>RPRO-260131-0193</t>
  </si>
  <si>
    <t>RPRO-260131-0197</t>
  </si>
  <si>
    <t>RPRO-260131-0201</t>
  </si>
  <si>
    <t>RPRO-260131-0205</t>
  </si>
  <si>
    <t>RPRO-260131-0209</t>
  </si>
  <si>
    <t>RPRO-260131-0213</t>
  </si>
  <si>
    <t>RPRO-260131-0217</t>
  </si>
  <si>
    <t>RPRO-260131-0221</t>
  </si>
  <si>
    <t>RPRO-260131-0225</t>
  </si>
  <si>
    <t>RPRO-260131-0229</t>
  </si>
  <si>
    <t>RPRO-260131-0233</t>
  </si>
  <si>
    <t>RPRO-260131-0374</t>
  </si>
  <si>
    <t>RPRO-260131-0378</t>
  </si>
  <si>
    <t>RPRO-260131-0713</t>
  </si>
  <si>
    <t>04Z DURAPLUSH LJ-A2700 44" 250G (PCX #65338)</t>
  </si>
  <si>
    <t>RPRO-260131-0716</t>
  </si>
  <si>
    <t>RPRO-260131-0719</t>
  </si>
  <si>
    <t>RPRO-260131-0722</t>
  </si>
  <si>
    <t>RPRO-260131-0725</t>
  </si>
  <si>
    <t>RPRO-260131-0348</t>
  </si>
  <si>
    <t>RPRO-260131-0352</t>
  </si>
  <si>
    <t>RPRO-260131-0356</t>
  </si>
  <si>
    <t>RPRO-260131-0360</t>
  </si>
  <si>
    <t>RPRO-260131-0364</t>
  </si>
  <si>
    <t>RPRO-260131-0368</t>
  </si>
  <si>
    <t>RPRO-260131-0372</t>
  </si>
  <si>
    <t>RPRO-260131-0376</t>
  </si>
  <si>
    <t>RPRO-260131-0380</t>
  </si>
  <si>
    <t>RPRO-260131-0384</t>
  </si>
  <si>
    <t>RPRO-260131-0386</t>
  </si>
  <si>
    <t>2CQ DURAPLUSH LJ-A2700 44" 250G (PCX #65338)</t>
  </si>
  <si>
    <t>RPRO-260131-0390</t>
  </si>
  <si>
    <t>RPRO-260131-0394</t>
  </si>
  <si>
    <t>RPRO-260131-0398</t>
  </si>
  <si>
    <t>RPRO-260131-0402</t>
  </si>
  <si>
    <t>RPRO-260131-0405</t>
  </si>
  <si>
    <t>RPRO-260131-0409</t>
  </si>
  <si>
    <t>RPRO-260131-0413</t>
  </si>
  <si>
    <t>RPRO-260131-0417</t>
  </si>
  <si>
    <t>RPRO-260131-0421</t>
  </si>
  <si>
    <t>RPRO-260131-0425</t>
  </si>
  <si>
    <t>RPRO-260131-0429</t>
  </si>
  <si>
    <t>RPRO-260131-0388</t>
  </si>
  <si>
    <t>RPRO-260131-0433</t>
  </si>
  <si>
    <t>RPRO-260131-0437</t>
  </si>
  <si>
    <t>RPRO-260131-0456</t>
  </si>
  <si>
    <t>RPRO-260131-0460</t>
  </si>
  <si>
    <t>RPRO-260131-0464</t>
  </si>
  <si>
    <t>RPRO-260131-0468</t>
  </si>
  <si>
    <t>RPRO-260131-0472</t>
  </si>
  <si>
    <t>RPRO-260131-0476</t>
  </si>
  <si>
    <t>RPRO-260131-0479</t>
  </si>
  <si>
    <t>RPRO-260131-0483</t>
  </si>
  <si>
    <t>RPRO-260131-0487</t>
  </si>
  <si>
    <t>29E DURAPLUSH LJ-A2700 44" 250G (PCX #65338)</t>
  </si>
  <si>
    <t>RPRO-260131-0491</t>
  </si>
  <si>
    <t>RPRO-260131-0495</t>
  </si>
  <si>
    <t>RPRO-260131-0499</t>
  </si>
  <si>
    <t>RPRO-260131-0502</t>
  </si>
  <si>
    <t>RPRO-260131-0728</t>
  </si>
  <si>
    <t>RPRO-260131-0731</t>
  </si>
  <si>
    <t>RPRO-260131-0734</t>
  </si>
  <si>
    <t>RPRO-260131-0737</t>
  </si>
  <si>
    <t>RPRO-260131-0740</t>
  </si>
  <si>
    <t>RPRO-260131-0743</t>
  </si>
  <si>
    <t>RPRO-260131-0746</t>
  </si>
  <si>
    <t>RPRO-260131-0749</t>
  </si>
  <si>
    <t>11K MERRY MESH(LJB-540) 44" 250G (PCX #67725)</t>
  </si>
  <si>
    <t>RPRO-260131-0400</t>
  </si>
  <si>
    <t>RPRO-260131-0403</t>
  </si>
  <si>
    <t>RPRO-260131-0407</t>
  </si>
  <si>
    <t>RPRO-260131-0411</t>
  </si>
  <si>
    <t>RPRO-260131-0415</t>
  </si>
  <si>
    <t>RPRO-260131-0419</t>
  </si>
  <si>
    <t>RPRO-260131-0423</t>
  </si>
  <si>
    <t>RPRO-260131-0427</t>
  </si>
  <si>
    <t>RPRO-260131-0431</t>
  </si>
  <si>
    <t>RPRO-260131-0527</t>
  </si>
  <si>
    <t>RPRO-260131-0531</t>
  </si>
  <si>
    <t>RPRO-260131-0535</t>
  </si>
  <si>
    <t>RPRO-260131-0539</t>
  </si>
  <si>
    <t>RPRO-260131-0543</t>
  </si>
  <si>
    <t>RPRO-260131-0547</t>
  </si>
  <si>
    <t>RPRO-260131-0551</t>
  </si>
  <si>
    <t>RPRO-260131-0555</t>
  </si>
  <si>
    <t>RPRO-260131-0559</t>
  </si>
  <si>
    <t>RPRO-260131-0563</t>
  </si>
  <si>
    <t>RPRO-260131-0567</t>
  </si>
  <si>
    <t>RPRO-260131-0571</t>
  </si>
  <si>
    <t>RPRO-260131-0575</t>
  </si>
  <si>
    <t>RPRO-260131-0579</t>
  </si>
  <si>
    <t>RPRO-260131-0583</t>
  </si>
  <si>
    <t>RPRO-260131-0587</t>
  </si>
  <si>
    <t>RPRO-260131-0590</t>
  </si>
  <si>
    <t>RPRO-260131-0594</t>
  </si>
  <si>
    <t>RPRO-260131-0598</t>
  </si>
  <si>
    <t>RPRO-260131-0602</t>
  </si>
  <si>
    <t>RPRO-260131-0606</t>
  </si>
  <si>
    <t>RPRO-260131-0610</t>
  </si>
  <si>
    <t>RPRO-260131-0752</t>
  </si>
  <si>
    <t>RPRO-260131-0755</t>
  </si>
  <si>
    <t>RPRO-260131-0758</t>
  </si>
  <si>
    <t>RPRO-260131-0761</t>
  </si>
  <si>
    <t>RPRO-260131-0764</t>
  </si>
  <si>
    <t>RPRO-260131-0767</t>
  </si>
  <si>
    <t>RPRO-260131-0770</t>
  </si>
  <si>
    <t>RPRO-260131-0773</t>
  </si>
  <si>
    <t>RPRO-260131-0776</t>
  </si>
  <si>
    <t>RPRO-260131-0778</t>
  </si>
  <si>
    <t>RPRO-260131-0780</t>
  </si>
  <si>
    <t>RPRO-260131-0781</t>
  </si>
  <si>
    <t>RPRO-260202-0056</t>
  </si>
  <si>
    <t>RPRO-260202-0118</t>
  </si>
  <si>
    <t>RPRO-260202-0122</t>
  </si>
  <si>
    <t>RPRO-260202-0080</t>
  </si>
  <si>
    <t>RPRO-260202-0084</t>
  </si>
  <si>
    <t>RPRO-260202-0088</t>
  </si>
  <si>
    <t>RPRO-260202-0092</t>
  </si>
  <si>
    <t>RPRO-260202-0096</t>
  </si>
  <si>
    <t>RPRO-260202-0100</t>
  </si>
  <si>
    <t>RPRO-260202-0104</t>
  </si>
  <si>
    <t>RPRO-260202-0108</t>
  </si>
  <si>
    <t>RPRO-260202-0112</t>
  </si>
  <si>
    <t>RPRO-260202-0116</t>
  </si>
  <si>
    <t>RPRO-260202-0124</t>
  </si>
  <si>
    <t>DC-015443</t>
  </si>
  <si>
    <t>RPRO-260202-0129</t>
  </si>
  <si>
    <t>DC-017336</t>
  </si>
  <si>
    <t>RPRO-260202-0133</t>
  </si>
  <si>
    <t>RPRO-260202-0137</t>
  </si>
  <si>
    <t>RPRO-260202-0141</t>
  </si>
  <si>
    <t>RPRO-260202-0145</t>
  </si>
  <si>
    <t>RPRO-260202-0149</t>
  </si>
  <si>
    <t>RPRO-260202-0153</t>
  </si>
  <si>
    <t>RPRO-260202-0157</t>
  </si>
  <si>
    <t>RPRO-260202-0161</t>
  </si>
  <si>
    <t>RPRO-260202-0165</t>
  </si>
  <si>
    <t>RPRO-260202-0169</t>
  </si>
  <si>
    <t>RPRO-260202-0173</t>
  </si>
  <si>
    <t>RPRO-260202-0177</t>
  </si>
  <si>
    <t>RPRO-260202-0181</t>
  </si>
  <si>
    <t>RPRO-260202-0185</t>
  </si>
  <si>
    <t>RPRO-260202-0189</t>
  </si>
  <si>
    <t>RPRO-260202-0193</t>
  </si>
  <si>
    <t>RPRO-260202-0197</t>
  </si>
  <si>
    <t>RPRO-260202-0201</t>
  </si>
  <si>
    <t>RPRO-260202-0205</t>
  </si>
  <si>
    <t>RPRO-260202-0209</t>
  </si>
  <si>
    <t>RPRO-260202-0213</t>
  </si>
  <si>
    <t>RPRO-260202-0217</t>
  </si>
  <si>
    <t>RPRO-260202-0221</t>
  </si>
  <si>
    <t>RPRO-260202-0225</t>
  </si>
  <si>
    <t>RPRO-260202-0229</t>
  </si>
  <si>
    <t>RPRO-260202-0233</t>
  </si>
  <si>
    <t>RPRO-260202-0237</t>
  </si>
  <si>
    <t>RPRO-260202-0241</t>
  </si>
  <si>
    <t>RPRO-260202-0245</t>
  </si>
  <si>
    <t>RPRO-260202-0249</t>
  </si>
  <si>
    <t>DC-017328</t>
  </si>
  <si>
    <t>Infant</t>
  </si>
  <si>
    <t>RPRO-260202-0253</t>
  </si>
  <si>
    <t>RPRO-260202-0257</t>
  </si>
  <si>
    <t>RPRO-260202-0261</t>
  </si>
  <si>
    <t>RPRO-260202-0265</t>
  </si>
  <si>
    <t>RPRO-260202-0468</t>
  </si>
  <si>
    <t>DC-018052</t>
  </si>
  <si>
    <t>70Z (PP)LINING KNIT MATTE MICRO (HOOD) REC 44" 250G (PCX#167606)</t>
  </si>
  <si>
    <t>RPRO-260202-0472</t>
  </si>
  <si>
    <t>RPRO-260202-0903</t>
  </si>
  <si>
    <t>RPRO-260202-0912</t>
  </si>
  <si>
    <t>RPRO-260202-0915</t>
  </si>
  <si>
    <t>05Q (PP)LINING KNIT MATTE MICRO (HOOD) REC 44" 250G (PCX#167606)</t>
  </si>
  <si>
    <t>RPRO-260202-0918</t>
  </si>
  <si>
    <t>01X (PP)LINING KNIT MATTE MICRO (HOOD) REC 44" 250G (PCX#167606)</t>
  </si>
  <si>
    <t>RPRO-260202-0921</t>
  </si>
  <si>
    <t>29E (PP)LINING KNIT MATTE MICRO (HOOD) REC 44" 250G (PCX#167606)</t>
  </si>
  <si>
    <t>RPRO-260202-0924</t>
  </si>
  <si>
    <t>2GY (PP)LINING KNIT MATTE MICRO (HOOD) REC 44" 250G (PCX#167606)</t>
  </si>
  <si>
    <t>DC-014244</t>
  </si>
  <si>
    <t>RPRO-260202-0930</t>
  </si>
  <si>
    <t>RPRO-260202-0936</t>
  </si>
  <si>
    <t>DC-014249</t>
  </si>
  <si>
    <t>3EE (PP)LINING KNIT MATTE MICRO (HOOD) REC 44" 250G (PCX#167606)</t>
  </si>
  <si>
    <t>RPRO-260202-0939</t>
  </si>
  <si>
    <t>47N (PP)LINING KNIT MATTE MICRO (HOOD) REC 44" 250G (PCX#167606)</t>
  </si>
  <si>
    <t>RPRO-260202-0942</t>
  </si>
  <si>
    <t>06F (PP)LINING KNIT MATTE MICRO (HOOD) REC 44" 250G (PCX#167606) (B)</t>
  </si>
  <si>
    <t>RPRO-260202-0945</t>
  </si>
  <si>
    <t>RPRO-260202-0533</t>
  </si>
  <si>
    <t>RPRO-260202-0537</t>
  </si>
  <si>
    <t>RPRO-260202-0541</t>
  </si>
  <si>
    <t>RPRO-260202-0545</t>
  </si>
  <si>
    <t>RPRO-260202-0549</t>
  </si>
  <si>
    <t>RPRO-260202-0553</t>
  </si>
  <si>
    <t>RPRO-260202-0557</t>
  </si>
  <si>
    <t>RPRO-260202-0561</t>
  </si>
  <si>
    <t>RPRO-260202-0662</t>
  </si>
  <si>
    <t>DC-015942</t>
  </si>
  <si>
    <t>RPRO-260202-0666</t>
  </si>
  <si>
    <t>RPRO-260202-1146</t>
  </si>
  <si>
    <t>0AL DURAPLUSH LJ-A2700 44" 250G (PCX #65338)</t>
  </si>
  <si>
    <t>RPRO-260202-1149</t>
  </si>
  <si>
    <t>RPRO-260202-1152</t>
  </si>
  <si>
    <t>RPRO-260202-1155</t>
  </si>
  <si>
    <t>RPRO-260202-1158</t>
  </si>
  <si>
    <t>RPRO-260202-1161</t>
  </si>
  <si>
    <t>RPRO-260202-1164</t>
  </si>
  <si>
    <t>RPRO-260202-1167</t>
  </si>
  <si>
    <t>RPRO-260202-1170</t>
  </si>
  <si>
    <t>RPRO-260202-1173</t>
  </si>
  <si>
    <t>RPRO-260202-1176</t>
  </si>
  <si>
    <t>RPRO-260202-1179</t>
  </si>
  <si>
    <t>RPRO-260202-1181</t>
  </si>
  <si>
    <t>RPRO-260202-1183</t>
  </si>
  <si>
    <t>RPRO-260202-1185</t>
  </si>
  <si>
    <t>RPRO-260202-1187</t>
  </si>
  <si>
    <t>RPRO-260202-1189</t>
  </si>
  <si>
    <t>RPRO-260202-1191</t>
  </si>
  <si>
    <t>RPRO-260202-1193</t>
  </si>
  <si>
    <t>RPRO-260202-1195</t>
  </si>
  <si>
    <t>RPRO-260202-1198</t>
  </si>
  <si>
    <t>RPRO-260202-1199</t>
  </si>
  <si>
    <t>RPRO-260202-1200</t>
  </si>
  <si>
    <t>DC-016008</t>
  </si>
  <si>
    <t>RPRO-260202-1201</t>
  </si>
  <si>
    <t>RPRO-260202-1202</t>
  </si>
  <si>
    <t>RPRO-260202-1203</t>
  </si>
  <si>
    <t>DC-017448</t>
  </si>
  <si>
    <t>6CD (PP)LINING KNIT MATTE MICRO (HOOD) REC 44" 250G (PCX#167606) (B)</t>
  </si>
  <si>
    <t>RPRO-260203-0176</t>
  </si>
  <si>
    <t>DC-004135</t>
  </si>
  <si>
    <t>00A (PP) LINING KNIT MATTE MICRO (PIKES) REC 44" 220G (PCX#185461)</t>
  </si>
  <si>
    <t>RPRO-260203-0177</t>
  </si>
  <si>
    <t>RPRO-260203-0178</t>
  </si>
  <si>
    <t>RPRO-260203-0179</t>
  </si>
  <si>
    <t>RPRO-260203-0181</t>
  </si>
  <si>
    <t>RPRO-260203-0182</t>
  </si>
  <si>
    <t>RPRO-260203-0183</t>
  </si>
  <si>
    <t>RPRO-260203-0184</t>
  </si>
  <si>
    <t>RPRO-260203-0185</t>
  </si>
  <si>
    <t>RPRO-260203-0186</t>
  </si>
  <si>
    <t>RPRO-260203-0187</t>
  </si>
  <si>
    <t>RPRO-260203-0188</t>
  </si>
  <si>
    <t>RPRO-260203-0189</t>
  </si>
  <si>
    <t>RPRO-260203-0190</t>
  </si>
  <si>
    <t>RPRO-260203-0191</t>
  </si>
  <si>
    <t>RPRO-260203-0192</t>
  </si>
  <si>
    <t>RPRO-260203-0193</t>
  </si>
  <si>
    <t>RPRO-260203-0196</t>
  </si>
  <si>
    <t>RPRO-260203-0198</t>
  </si>
  <si>
    <t>RPRO-260203-0199</t>
  </si>
  <si>
    <t>RPRO-260203-0200</t>
  </si>
  <si>
    <t>RPRO-260203-0201</t>
  </si>
  <si>
    <t>RPRO-260203-0203</t>
  </si>
  <si>
    <t>RPRO-260203-0211</t>
  </si>
  <si>
    <t>RPRO-260203-0212</t>
  </si>
  <si>
    <t>RPRO-260203-0213</t>
  </si>
  <si>
    <t>RPRO-260203-0214</t>
  </si>
  <si>
    <t>RPRO-260203-0215</t>
  </si>
  <si>
    <t>RPRO-260203-0216</t>
  </si>
  <si>
    <t>RPRO-260203-0217</t>
  </si>
  <si>
    <t>RPRO-260203-0345</t>
  </si>
  <si>
    <t>RPRO-260203-0347</t>
  </si>
  <si>
    <t>RPRO-260203-0349</t>
  </si>
  <si>
    <t>RPRO-260203-0444</t>
  </si>
  <si>
    <t>RPRO-260203-0445</t>
  </si>
  <si>
    <t>RPRO-260203-0446</t>
  </si>
  <si>
    <t>RPRO-260203-0447</t>
  </si>
  <si>
    <t>RPRO-260203-0448</t>
  </si>
  <si>
    <t>RPRO-260203-0449</t>
  </si>
  <si>
    <t>RPRO-260203-0450</t>
  </si>
  <si>
    <t>RPRO-260203-0451</t>
  </si>
  <si>
    <t>RPRO-260203-0452</t>
  </si>
  <si>
    <t>RPRO-260203-0453</t>
  </si>
  <si>
    <t>RPRO-260203-0454</t>
  </si>
  <si>
    <t>RPRO-260203-0455</t>
  </si>
  <si>
    <t>RPRO-260203-0456</t>
  </si>
  <si>
    <t>RPRO-260203-0457</t>
  </si>
  <si>
    <t>RPRO-260203-0471</t>
  </si>
  <si>
    <t>RPRO-260203-0472</t>
  </si>
  <si>
    <t>RPRO-260203-0473</t>
  </si>
  <si>
    <t>RPRO-260203-0364</t>
  </si>
  <si>
    <t>DC-018124</t>
  </si>
  <si>
    <t>16-2120TCX DJT-8543 GUSTI TEX(EPM 100%) 44" 315G</t>
  </si>
  <si>
    <t>RPRO-260203-0366</t>
  </si>
  <si>
    <t>RPRO-260203-0368</t>
  </si>
  <si>
    <t>RPRO-260203-0370</t>
  </si>
  <si>
    <t>RPRO-260203-0504</t>
  </si>
  <si>
    <t>RPRO-260203-0505</t>
  </si>
  <si>
    <t>RPRO-260203-0506</t>
  </si>
  <si>
    <t>RPRO-260203-0508</t>
  </si>
  <si>
    <t>DC-015891</t>
  </si>
  <si>
    <t>AEDA PH S WS31P 44" 198G (MLM#40084554)</t>
  </si>
  <si>
    <t>RPRO-260203-0645</t>
  </si>
  <si>
    <t>6LA (PP)LINING KNIT MATTE MICRO (HOOD) REC 44" 250G (PCX#167606)</t>
  </si>
  <si>
    <t>RPRO-260203-0647</t>
  </si>
  <si>
    <t>RPRO-260203-0671</t>
  </si>
  <si>
    <t>3LU (PP)LINING KNIT MATTE MICRO (HOOD) REC 44" 250G (PCX#167606)</t>
  </si>
  <si>
    <t>RPRO-260203-0673</t>
  </si>
  <si>
    <t>4KQ (PP)LINING KNIT MATTE MICRO (HOOD) REC 44" 250G (PCX#167606)</t>
  </si>
  <si>
    <t>RPRO-260203-0675</t>
  </si>
  <si>
    <t>3LV (PP)LINING KNIT MATTE MICRO (HOOD) REC 44" 250G (PCX#167606)</t>
  </si>
  <si>
    <t>RPRO-260203-0701</t>
  </si>
  <si>
    <t>RPRO-260203-0703</t>
  </si>
  <si>
    <t>RPRO-260203-0713</t>
  </si>
  <si>
    <t>RPRO-260203-0372</t>
  </si>
  <si>
    <t>RPRO-260203-0374</t>
  </si>
  <si>
    <t>RPRO-260203-0376</t>
  </si>
  <si>
    <t>RPRO-260203-0378</t>
  </si>
  <si>
    <t>RPRO-260203-0380</t>
  </si>
  <si>
    <t>RPRO-260203-0382</t>
  </si>
  <si>
    <t>RPRO-260203-0384</t>
  </si>
  <si>
    <t>DC-018110</t>
  </si>
  <si>
    <t>6EW (PP)LINING KNIT MATTE MICRO (HOOD) REC 44" 250G (PCX#167606)</t>
  </si>
  <si>
    <t>RPRO-260203-0386</t>
  </si>
  <si>
    <t>DC-018111</t>
  </si>
  <si>
    <t>58V (PP)LINING KNIT MATTE MICRO (HOOD) REC 44" 250G (PCX#167606)</t>
  </si>
  <si>
    <t>RPRO-260203-0388</t>
  </si>
  <si>
    <t>DC-018117</t>
  </si>
  <si>
    <t>14A (PP)LINING KNIT MATTE MICRO (HOOD) REC 44" 250G (PCX#167606)</t>
  </si>
  <si>
    <t>RPRO-260203-0390</t>
  </si>
  <si>
    <t>DC-018122</t>
  </si>
  <si>
    <t>10J (PP)LINING KNIT MATTE MICRO (HOOD) REC 44" 250G (PCX#167606)</t>
  </si>
  <si>
    <t>RPRO-260203-0392</t>
  </si>
  <si>
    <t>DC-018114</t>
  </si>
  <si>
    <t>RPRO-260203-0394</t>
  </si>
  <si>
    <t>DC-018115</t>
  </si>
  <si>
    <t>20M (PP)LINING KNIT MATTE MICRO (HOOD) REC 44" 250G (PCX#167606)</t>
  </si>
  <si>
    <t>DC-017999</t>
  </si>
  <si>
    <t>DC-014933</t>
  </si>
  <si>
    <t>DC-018019</t>
  </si>
  <si>
    <t>RPRO-260131-0519</t>
  </si>
  <si>
    <t>RPRO-260131-0523</t>
  </si>
  <si>
    <t>RPRO-260204-0046</t>
  </si>
  <si>
    <t>DC-018028</t>
  </si>
  <si>
    <t>RPRO-260204-0047</t>
  </si>
  <si>
    <t>RPRO-260204-0048</t>
  </si>
  <si>
    <t>RPRO-260204-0049</t>
  </si>
  <si>
    <t>RPRO-260204-0050</t>
  </si>
  <si>
    <t>RPRO-260204-0051</t>
  </si>
  <si>
    <t>RPRO-260204-0052</t>
  </si>
  <si>
    <t>RPRO-260204-0053</t>
  </si>
  <si>
    <t>RPRO-260204-0054</t>
  </si>
  <si>
    <t>RPRO-260204-0055</t>
  </si>
  <si>
    <t>RPRO-260204-0056</t>
  </si>
  <si>
    <t>RPRO-260204-0057</t>
  </si>
  <si>
    <t>RPRO-260204-0058</t>
  </si>
  <si>
    <t>RPRO-260204-0059</t>
  </si>
  <si>
    <t>RPRO-260204-0075</t>
  </si>
  <si>
    <t>DC-018053</t>
  </si>
  <si>
    <t>00A DURAPLUSH 44" 250G (PCX #65338)</t>
  </si>
  <si>
    <t>RPRO-260204-0076</t>
  </si>
  <si>
    <t>RPRO-260204-0077</t>
  </si>
  <si>
    <t>RPRO-260204-0078</t>
  </si>
  <si>
    <t>RPRO-260204-0079</t>
  </si>
  <si>
    <t>RPRO-260204-0080</t>
  </si>
  <si>
    <t>RPRO-260204-0081</t>
  </si>
  <si>
    <t>RPRO-260204-0082</t>
  </si>
  <si>
    <t>RPRO-260204-0083</t>
  </si>
  <si>
    <t>RPRO-260204-0084</t>
  </si>
  <si>
    <t>RPRO-260204-0085</t>
  </si>
  <si>
    <t>RPRO-260204-0086</t>
  </si>
  <si>
    <t>RPRO-260204-0087</t>
  </si>
  <si>
    <t>RPRO-260204-0088</t>
  </si>
  <si>
    <t>RPRO-260204-0089</t>
  </si>
  <si>
    <t>RPRO-260204-0090</t>
  </si>
  <si>
    <t>RPRO-260204-0091</t>
  </si>
  <si>
    <t>RPRO-260204-0092</t>
  </si>
  <si>
    <t>RPRO-260204-0093</t>
  </si>
  <si>
    <t>RPRO-260204-0094</t>
  </si>
  <si>
    <t>RPRO-260204-0095</t>
  </si>
  <si>
    <t>RPRO-260204-0096</t>
  </si>
  <si>
    <t>RPRO-260204-0097</t>
  </si>
  <si>
    <t>RPRO-260204-0098</t>
  </si>
  <si>
    <t>RPRO-260204-0099</t>
  </si>
  <si>
    <t>RPRO-260204-0100</t>
  </si>
  <si>
    <t>RPRO-260204-0126</t>
  </si>
  <si>
    <t>DC-018140</t>
  </si>
  <si>
    <t>11K (PP)LINING KNIT MATTE MICRO (HOOD) REC 44" 250G (PCX#167606)</t>
  </si>
  <si>
    <t>RPRO-260204-0177</t>
  </si>
  <si>
    <t>RPRO-260204-0178</t>
  </si>
  <si>
    <t>RPRO-260204-0179</t>
  </si>
  <si>
    <t>RPRO-260204-0180</t>
  </si>
  <si>
    <t>RPRO-260204-0234</t>
  </si>
  <si>
    <t>DC-018158</t>
  </si>
  <si>
    <t>RPRO-260204-0235</t>
  </si>
  <si>
    <t>RPRO-260204-0246</t>
  </si>
  <si>
    <t>RPRO-260204-0247</t>
  </si>
  <si>
    <t>RPRO-260204-0248</t>
  </si>
  <si>
    <t>RPRO-260204-0249</t>
  </si>
  <si>
    <t>RPRO-260204-0250</t>
  </si>
  <si>
    <t>RPRO-260204-0251</t>
  </si>
  <si>
    <t>RPRO-260204-0252</t>
  </si>
  <si>
    <t>RPRO-260204-0253</t>
  </si>
  <si>
    <t>RPRO-260204-0254</t>
  </si>
  <si>
    <t>RPRO-260204-0255</t>
  </si>
  <si>
    <t>RPRO-260204-0256</t>
  </si>
  <si>
    <t>RPRO-260204-0257</t>
  </si>
  <si>
    <t>RPRO-260204-0258</t>
  </si>
  <si>
    <t>RPRO-260204-0259</t>
  </si>
  <si>
    <t>RPRO-260204-0261</t>
  </si>
  <si>
    <t>RPRO-260204-0262</t>
  </si>
  <si>
    <t>DC-017881</t>
  </si>
  <si>
    <t>RPRO-260204-0293</t>
  </si>
  <si>
    <t>7AX (PP)LINING KNIT MATTE MICRO (HOOD) REC 44" 250G (PCX#167606)</t>
  </si>
  <si>
    <t>RPRO-260204-0294</t>
  </si>
  <si>
    <t>RPRO-260204-0295</t>
  </si>
  <si>
    <t>RPRO-260204-0296</t>
  </si>
  <si>
    <t>RPRO-260204-0308</t>
  </si>
  <si>
    <t>DC-017477</t>
  </si>
  <si>
    <t>26B (PP)LINING KNIT MATTE MICRO (HOOD) REC 44" 250G (PCX#167606) (A)</t>
  </si>
  <si>
    <t>RPRO-260206-0478</t>
  </si>
  <si>
    <t>DC-018009</t>
  </si>
  <si>
    <t>OrthoLite Regular-Nike AIR BLUE/16-4134TPX 0.11D 25+/-4 Asker C 1.1M 2M 4mm</t>
  </si>
  <si>
    <t>RPRO-260206-0482</t>
  </si>
  <si>
    <t>RPRO-260206-0479</t>
  </si>
  <si>
    <t>RPRO-260205-0150</t>
  </si>
  <si>
    <t>DC-017674</t>
  </si>
  <si>
    <t>RPRO-260210-0793</t>
  </si>
  <si>
    <t>RPRO-260225-0072</t>
  </si>
  <si>
    <t>DC-018273</t>
  </si>
  <si>
    <t>RPRO-260205-0541</t>
  </si>
  <si>
    <t>RPRO-260225-0539</t>
  </si>
  <si>
    <t>DC-018149</t>
  </si>
  <si>
    <t>TV-067-DAO GHÉP QUAY ĐẦU (D-0493)</t>
  </si>
  <si>
    <t>RPRO-260225-0540</t>
  </si>
  <si>
    <t>RPRO-260225-0541</t>
  </si>
  <si>
    <t>RPRO-260225-0542</t>
  </si>
  <si>
    <t>DC-018152</t>
  </si>
  <si>
    <t>RPRO-260225-0543</t>
  </si>
  <si>
    <t>DC-018150</t>
  </si>
  <si>
    <t>RPRO-260210-0653</t>
  </si>
  <si>
    <t>00A MERRY MESH 44" 250G (PCX #67725)</t>
  </si>
  <si>
    <t>RPRO-260210-0654</t>
  </si>
  <si>
    <t>RPRO-260210-0655</t>
  </si>
  <si>
    <t>RPRO-260210-0656</t>
  </si>
  <si>
    <t>RPRO-260210-0657</t>
  </si>
  <si>
    <t>RPRO-260210-0658</t>
  </si>
  <si>
    <t>4AI MERRY MESH 44" 250G (PCX #67725)</t>
  </si>
  <si>
    <t>RPRO-260210-0659</t>
  </si>
  <si>
    <t>RPRO-260210-0661</t>
  </si>
  <si>
    <t>RPRO-260210-0663</t>
  </si>
  <si>
    <t>RPRO-260210-0665</t>
  </si>
  <si>
    <t>RPRO-260210-0667</t>
  </si>
  <si>
    <t>RPRO-260210-0670</t>
  </si>
  <si>
    <t>RPRO-260210-0673</t>
  </si>
  <si>
    <t>RPRO-260210-0676</t>
  </si>
  <si>
    <t>RPRO-260210-0679</t>
  </si>
  <si>
    <t>RPRO-260210-0682</t>
  </si>
  <si>
    <t>RPRO-260210-0685</t>
  </si>
  <si>
    <t>RPRO-260210-0688</t>
  </si>
  <si>
    <t>RPRO-260210-0691</t>
  </si>
  <si>
    <t>RPRO-260210-0694</t>
  </si>
  <si>
    <t>RPRO-260210-0697</t>
  </si>
  <si>
    <t>RPRO-260210-0700</t>
  </si>
  <si>
    <t>RPRO-260210-0703</t>
  </si>
  <si>
    <t>RPRO-260210-0706</t>
  </si>
  <si>
    <t>RPRO-260210-0709</t>
  </si>
  <si>
    <t>RPRO-260210-0712</t>
  </si>
  <si>
    <t>RPRO-260210-0715</t>
  </si>
  <si>
    <t>RPRO-260210-0718</t>
  </si>
  <si>
    <t>RPRO-260210-0721</t>
  </si>
  <si>
    <t>RPRO-260210-0724</t>
  </si>
  <si>
    <t>RPRO-260210-0727</t>
  </si>
  <si>
    <t>RPRO-260210-0731</t>
  </si>
  <si>
    <t>RPRO-260210-0734</t>
  </si>
  <si>
    <t>RPRO-260210-0737</t>
  </si>
  <si>
    <t>RPRO-260210-0740</t>
  </si>
  <si>
    <t>RPRO-260210-0743</t>
  </si>
  <si>
    <t>2HI (PP)LINING KNIT MATTE MICRO (HOOD) REC 44" 250G (PCX#167606)</t>
  </si>
  <si>
    <t>RPRO-260210-0746</t>
  </si>
  <si>
    <t>RPRO-260210-0749</t>
  </si>
  <si>
    <t>RPRO-260210-0752</t>
  </si>
  <si>
    <t>RPRO-260210-0755</t>
  </si>
  <si>
    <t>RPRO-260210-0758</t>
  </si>
  <si>
    <t>RPRO-260210-0761</t>
  </si>
  <si>
    <t>RPRO-260210-0764</t>
  </si>
  <si>
    <t>DC-010870</t>
  </si>
  <si>
    <t>RPRO-260210-0767</t>
  </si>
  <si>
    <t>RPRO-260210-0770</t>
  </si>
  <si>
    <t>RPRO-260210-0773</t>
  </si>
  <si>
    <t>RPRO-260210-0776</t>
  </si>
  <si>
    <t>RPRO-260225-0544</t>
  </si>
  <si>
    <t>RPRO-260225-0545</t>
  </si>
  <si>
    <t>RPRO-260225-0546</t>
  </si>
  <si>
    <t>RPRO-260225-0548</t>
  </si>
  <si>
    <t>RPRO-260225-0550</t>
  </si>
  <si>
    <t>RPRO-260225-0552</t>
  </si>
  <si>
    <t>RPRO-260225-0554</t>
  </si>
  <si>
    <t>RPRO-260225-0556</t>
  </si>
  <si>
    <t>RPRO-260225-0558</t>
  </si>
  <si>
    <t>RPRO-260225-0560</t>
  </si>
  <si>
    <t>RPRO-260225-0562</t>
  </si>
  <si>
    <t>RPRO-260225-0564</t>
  </si>
  <si>
    <t>RPRO-260225-0566</t>
  </si>
  <si>
    <t>RPRO-260225-0568</t>
  </si>
  <si>
    <t>RPRO-260225-0570</t>
  </si>
  <si>
    <t>RPRO-260225-0572</t>
  </si>
  <si>
    <t>RPRO-260225-0574</t>
  </si>
  <si>
    <t>RPRO-260225-0576</t>
  </si>
  <si>
    <t>RPRO-260225-0578</t>
  </si>
  <si>
    <t>RPRO-260225-0580</t>
  </si>
  <si>
    <t>RPRO-260225-0582</t>
  </si>
  <si>
    <t>RPRO-260225-0584</t>
  </si>
  <si>
    <t>RPRO-260225-0586</t>
  </si>
  <si>
    <t>RPRO-260225-0588</t>
  </si>
  <si>
    <t>RPRO-260225-0590</t>
  </si>
  <si>
    <t>RPRO-260225-0592</t>
  </si>
  <si>
    <t>RPRO-260225-0547</t>
  </si>
  <si>
    <t>RPRO-260225-0549</t>
  </si>
  <si>
    <t>RPRO-260225-0551</t>
  </si>
  <si>
    <t>RPRO-260225-0553</t>
  </si>
  <si>
    <t>RPRO-260225-0555</t>
  </si>
  <si>
    <t>RPRO-260225-0557</t>
  </si>
  <si>
    <t>RPRO-260225-0559</t>
  </si>
  <si>
    <t>RPRO-260225-0561</t>
  </si>
  <si>
    <t>RPRO-260225-0563</t>
  </si>
  <si>
    <t>RPRO-260225-0565</t>
  </si>
  <si>
    <t>RPRO-260225-0567</t>
  </si>
  <si>
    <t>RPRO-260225-0569</t>
  </si>
  <si>
    <t>RPRO-260225-0571</t>
  </si>
  <si>
    <t>RPRO-260225-0573</t>
  </si>
  <si>
    <t>RPRO-260225-0575</t>
  </si>
  <si>
    <t>RPRO-260225-0577</t>
  </si>
  <si>
    <t>RPRO-260225-0579</t>
  </si>
  <si>
    <t>RPRO-260225-0581</t>
  </si>
  <si>
    <t>RPRO-260225-0583</t>
  </si>
  <si>
    <t>RPRO-260225-0585</t>
  </si>
  <si>
    <t>RPRO-260225-0587</t>
  </si>
  <si>
    <t>RPRO-260225-0589</t>
  </si>
  <si>
    <t>RPRO-260225-0591</t>
  </si>
  <si>
    <t>RPRO-260225-0593</t>
  </si>
  <si>
    <t>RPRO-260225-0595</t>
  </si>
  <si>
    <t>RPRO-260225-0597</t>
  </si>
  <si>
    <t>RPRO-260225-0599</t>
  </si>
  <si>
    <t>RPRO-260225-0601</t>
  </si>
  <si>
    <t>RPRO-260225-0602</t>
  </si>
  <si>
    <t>RPRO-260225-0603</t>
  </si>
  <si>
    <t>RPRO-260225-0604</t>
  </si>
  <si>
    <t>RPRO-260225-0605</t>
  </si>
  <si>
    <t>RPRO-260225-0606</t>
  </si>
  <si>
    <t>RPRO-260225-0607</t>
  </si>
  <si>
    <t>RPRO-260225-0608</t>
  </si>
  <si>
    <t>RPRO-260225-0609</t>
  </si>
  <si>
    <t>RPRO-260225-0610</t>
  </si>
  <si>
    <t>RPRO-260225-0611</t>
  </si>
  <si>
    <t>RPRO-260225-0612</t>
  </si>
  <si>
    <t>RPRO-260225-0613</t>
  </si>
  <si>
    <t>RPRO-260225-0614</t>
  </si>
  <si>
    <t>RPRO-260225-0615</t>
  </si>
  <si>
    <t>RPRO-260225-0616</t>
  </si>
  <si>
    <t>RPRO-260225-0617</t>
  </si>
  <si>
    <t>RPRO-260225-0618</t>
  </si>
  <si>
    <t>RPRO-260225-0619</t>
  </si>
  <si>
    <t>RPRO-260225-0620</t>
  </si>
  <si>
    <t>RPRO-260225-0621</t>
  </si>
  <si>
    <t>RPRO-260225-0622</t>
  </si>
  <si>
    <t>RPRO-260225-0623</t>
  </si>
  <si>
    <t>RPRO-260225-0624</t>
  </si>
  <si>
    <t>RPRO-260225-0625</t>
  </si>
  <si>
    <t>RPRO-260225-0626</t>
  </si>
  <si>
    <t>RPRO-260225-0627</t>
  </si>
  <si>
    <t>RPRO-260225-0628</t>
  </si>
  <si>
    <t>RPRO-260225-0629</t>
  </si>
  <si>
    <t>RPRO-260225-0630</t>
  </si>
  <si>
    <t>RPRO-260225-0631</t>
  </si>
  <si>
    <t>RPRO-260225-0632</t>
  </si>
  <si>
    <t>RPRO-260225-0633</t>
  </si>
  <si>
    <t>RPRO-260225-0634</t>
  </si>
  <si>
    <t>RPRO-260225-0635</t>
  </si>
  <si>
    <t>RPRO-260225-0636</t>
  </si>
  <si>
    <t>RPRO-260225-0637</t>
  </si>
  <si>
    <t>RPRO-260225-0638</t>
  </si>
  <si>
    <t>RPRO-260225-0639</t>
  </si>
  <si>
    <t>RPRO-260225-0640</t>
  </si>
  <si>
    <t>RPRO-260225-0641</t>
  </si>
  <si>
    <t>RPRO-260225-0642</t>
  </si>
  <si>
    <t>RPRO-260225-0643</t>
  </si>
  <si>
    <t>RPRO-260225-0644</t>
  </si>
  <si>
    <t>RPRO-260225-0645</t>
  </si>
  <si>
    <t>RPRO-260225-0646</t>
  </si>
  <si>
    <t>RPRO-260225-0647</t>
  </si>
  <si>
    <t>RPRO-260225-0648</t>
  </si>
  <si>
    <t>RPRO-260225-0649</t>
  </si>
  <si>
    <t>RPRO-260225-0650</t>
  </si>
  <si>
    <t>RPRO-260225-0651</t>
  </si>
  <si>
    <t>RPRO-260225-0652</t>
  </si>
  <si>
    <t>RPRO-260225-0653</t>
  </si>
  <si>
    <t>RPRO-260225-0654</t>
  </si>
  <si>
    <t>RPRO-260225-0655</t>
  </si>
  <si>
    <t>RPRO-260225-0656</t>
  </si>
  <si>
    <t>RPRO-260225-0657</t>
  </si>
  <si>
    <t>RPRO-260225-0658</t>
  </si>
  <si>
    <t>RPRO-260225-0659</t>
  </si>
  <si>
    <t>RPRO-260225-0660</t>
  </si>
  <si>
    <t>RPRO-260225-0661</t>
  </si>
  <si>
    <t>RPRO-260225-0662</t>
  </si>
  <si>
    <t>RPRO-260225-0663</t>
  </si>
  <si>
    <t>RPRO-260225-0664</t>
  </si>
  <si>
    <t>RPRO-260225-0665</t>
  </si>
  <si>
    <t>RPRO-260225-0666</t>
  </si>
  <si>
    <t>RPRO-260225-0667</t>
  </si>
  <si>
    <t>RPRO-260225-0668</t>
  </si>
  <si>
    <t>RPRO-260225-0669</t>
  </si>
  <si>
    <t>RPRO-260225-0670</t>
  </si>
  <si>
    <t>RPRO-260225-0671</t>
  </si>
  <si>
    <t>RPRO-260225-0672</t>
  </si>
  <si>
    <t>RPRO-260225-0673</t>
  </si>
  <si>
    <t>RPRO-260225-0674</t>
  </si>
  <si>
    <t>RPRO-260225-0675</t>
  </si>
  <si>
    <t>RPRO-260225-0676</t>
  </si>
  <si>
    <t>RPRO-260225-0677</t>
  </si>
  <si>
    <t>RPRO-260225-0678</t>
  </si>
  <si>
    <t>RPRO-260225-0679</t>
  </si>
  <si>
    <t>RPRO-260225-0680</t>
  </si>
  <si>
    <t>RPRO-260225-0681</t>
  </si>
  <si>
    <t>RPRO-260225-0682</t>
  </si>
  <si>
    <t>RPRO-260225-0683</t>
  </si>
  <si>
    <t>RPRO-260225-0684</t>
  </si>
  <si>
    <t>RPRO-260225-0685</t>
  </si>
  <si>
    <t>RPRO-260225-0686</t>
  </si>
  <si>
    <t>RPRO-260225-0687</t>
  </si>
  <si>
    <t>RPRO-260225-0688</t>
  </si>
  <si>
    <t>RPRO-260225-0690</t>
  </si>
  <si>
    <t>RPRO-260225-0692</t>
  </si>
  <si>
    <t>RPRO-260225-0694</t>
  </si>
  <si>
    <t>RPRO-260225-0696</t>
  </si>
  <si>
    <t>RPRO-260225-0698</t>
  </si>
  <si>
    <t>RPRO-260225-0700</t>
  </si>
  <si>
    <t>RPRO-260225-0703</t>
  </si>
  <si>
    <t>RPRO-260225-0706</t>
  </si>
  <si>
    <t>RPRO-260225-0708</t>
  </si>
  <si>
    <t>RPRO-260225-0710</t>
  </si>
  <si>
    <t>RPRO-260225-0711</t>
  </si>
  <si>
    <t>RPRO-260225-0712</t>
  </si>
  <si>
    <t>RPRO-260225-0713</t>
  </si>
  <si>
    <t>RPRO-260225-0714</t>
  </si>
  <si>
    <t>RPRO-260225-0715</t>
  </si>
  <si>
    <t>RPRO-260225-0716</t>
  </si>
  <si>
    <t>RPRO-260225-0717</t>
  </si>
  <si>
    <t>RPRO-260225-0718</t>
  </si>
  <si>
    <t>RPRO-260225-0719</t>
  </si>
  <si>
    <t>RPRO-260225-0720</t>
  </si>
  <si>
    <t>RPRO-260225-0721</t>
  </si>
  <si>
    <t>RPRO-260225-0722</t>
  </si>
  <si>
    <t>RPRO-260225-0723</t>
  </si>
  <si>
    <t>RPRO-260225-0724</t>
  </si>
  <si>
    <t>RPRO-260225-0725</t>
  </si>
  <si>
    <t>RPRO-260225-0726</t>
  </si>
  <si>
    <t>RPRO-260225-0727</t>
  </si>
  <si>
    <t>RPRO-260225-0728</t>
  </si>
  <si>
    <t>RPRO-260225-0729</t>
  </si>
  <si>
    <t>RPRO-260225-0730</t>
  </si>
  <si>
    <t>RPRO-260225-0731</t>
  </si>
  <si>
    <t>RPRO-260225-0732</t>
  </si>
  <si>
    <t>RPRO-260225-0733</t>
  </si>
  <si>
    <t>RPRO-260225-0734</t>
  </si>
  <si>
    <t>RPRO-260225-0735</t>
  </si>
  <si>
    <t>RPRO-260225-0736</t>
  </si>
  <si>
    <t>RPRO-260225-0737</t>
  </si>
  <si>
    <t>RPRO-260225-0738</t>
  </si>
  <si>
    <t>RPRO-260225-0739</t>
  </si>
  <si>
    <t>RPRO-260225-0740</t>
  </si>
  <si>
    <t>RPRO-260225-0741</t>
  </si>
  <si>
    <t>RPRO-260225-0742</t>
  </si>
  <si>
    <t>RPRO-260225-0743</t>
  </si>
  <si>
    <t>RPRO-260225-0598</t>
  </si>
  <si>
    <t>RPRO-260225-0600</t>
  </si>
  <si>
    <t>RPRO-260210-0599</t>
  </si>
  <si>
    <t>DC-001328</t>
  </si>
  <si>
    <t>0AE DURAPLUSH 44" 250G (PCX #65338)</t>
  </si>
  <si>
    <t>RPRO-260205-0147</t>
  </si>
  <si>
    <t>RPRO-260205-0149</t>
  </si>
  <si>
    <t>RPRO-260205-0151</t>
  </si>
  <si>
    <t>RPRO-260205-0153</t>
  </si>
  <si>
    <t>RPRO-260205-0155</t>
  </si>
  <si>
    <t>RPRO-260205-0157</t>
  </si>
  <si>
    <t>RPRO-260205-0159</t>
  </si>
  <si>
    <t>RPRO-260205-0161</t>
  </si>
  <si>
    <t>RPRO-260206-0483</t>
  </si>
  <si>
    <t>DC-018167</t>
  </si>
  <si>
    <t>0BB (PP)LINING KNIT MATTE MICRO (HOOD) REC 44" 250G (PCX#167606)</t>
  </si>
  <si>
    <t>RPRO-260206-0484</t>
  </si>
  <si>
    <t>RPRO-260205-0144</t>
  </si>
  <si>
    <t>RPRO-260205-0146</t>
  </si>
  <si>
    <t>RPRO-260205-0156</t>
  </si>
  <si>
    <t>RPRO-260205-0158</t>
  </si>
  <si>
    <t>RPRO-260205-0160</t>
  </si>
  <si>
    <t>RPRO-260205-0162</t>
  </si>
  <si>
    <t>RPRO-260205-0164</t>
  </si>
  <si>
    <t>RPRO-260205-0166</t>
  </si>
  <si>
    <t>RPRO-260205-0168</t>
  </si>
  <si>
    <t>RPRO-260205-0170</t>
  </si>
  <si>
    <t>RPRO-260205-0172</t>
  </si>
  <si>
    <t>RPRO-260205-0174</t>
  </si>
  <si>
    <t>RPRO-260205-0167</t>
  </si>
  <si>
    <t>DC-016933</t>
  </si>
  <si>
    <t>RPRO-260205-0169</t>
  </si>
  <si>
    <t>RPRO-260205-0171</t>
  </si>
  <si>
    <t>RPRO-260205-0173</t>
  </si>
  <si>
    <t>RPRO-260205-0175</t>
  </si>
  <si>
    <t>RPRO-260205-0177</t>
  </si>
  <si>
    <t>RPRO-260205-0179</t>
  </si>
  <si>
    <t>RPRO-260205-0181</t>
  </si>
  <si>
    <t>DC-012203</t>
  </si>
  <si>
    <t>RPRO-260205-0183</t>
  </si>
  <si>
    <t>RPRO-260205-0206</t>
  </si>
  <si>
    <t>RPRO-260205-0208</t>
  </si>
  <si>
    <t>RPRO-260205-0210</t>
  </si>
  <si>
    <t>RPRO-260205-0212</t>
  </si>
  <si>
    <t>RPRO-260205-0214</t>
  </si>
  <si>
    <t>RPRO-260205-0216</t>
  </si>
  <si>
    <t>DC-018173</t>
  </si>
  <si>
    <t>28C (PP)LINING KNIT MATTE MICRO (HOOD) REC 44" 250G (PCX#167606)</t>
  </si>
  <si>
    <t>RPRO-260205-0218</t>
  </si>
  <si>
    <t>DC-018174</t>
  </si>
  <si>
    <t>20H (PP)LINING KNIT MATTE MICRO (HOOD) REC 44" 250G (PCX#167606)</t>
  </si>
  <si>
    <t>RPRO-260205-0220</t>
  </si>
  <si>
    <t>RPRO-260205-0222</t>
  </si>
  <si>
    <t>DC-017444</t>
  </si>
  <si>
    <t>6JB (PP)LINING KNIT MATTE MICRO (HOOD) REC 44" 250G (PCX#167606) (B)</t>
  </si>
  <si>
    <t>RPRO-260205-0226</t>
  </si>
  <si>
    <t>DC-015768</t>
  </si>
  <si>
    <t>10A (PP)LINING KNIT BRUSHED RIO REC 44" 230G (PCX #100073)</t>
  </si>
  <si>
    <t>RPRO-260205-0228</t>
  </si>
  <si>
    <t>RPRO-260211-0709</t>
  </si>
  <si>
    <t>RPRO-260206-0350</t>
  </si>
  <si>
    <t>RPRO-260206-0351</t>
  </si>
  <si>
    <t>RPRO-260206-0352</t>
  </si>
  <si>
    <t>RPRO-260206-0353</t>
  </si>
  <si>
    <t>RPRO-260206-0358</t>
  </si>
  <si>
    <t>RPRO-260205-0244</t>
  </si>
  <si>
    <t>RPRO-260206-0363</t>
  </si>
  <si>
    <t>RPRO-260205-0236</t>
  </si>
  <si>
    <t>RPRO-260205-0242</t>
  </si>
  <si>
    <t>RPRO-260206-0364</t>
  </si>
  <si>
    <t>RPRO-260206-0365</t>
  </si>
  <si>
    <t>RPRO-260206-0366</t>
  </si>
  <si>
    <t>RPRO-260206-0367</t>
  </si>
  <si>
    <t>RPRO-260205-0231</t>
  </si>
  <si>
    <t>RPRO-260205-0525</t>
  </si>
  <si>
    <t>RPRO-260205-0529</t>
  </si>
  <si>
    <t>RPRO-260205-0537</t>
  </si>
  <si>
    <t>RPRO-260210-0612</t>
  </si>
  <si>
    <t>DC-018177</t>
  </si>
  <si>
    <t>OrthoLite Float NEUTRAL GRAY/17-4402TPX Flat Sheet 0.12D 21+/-4 Asker C 1.1M 1.47M 5mm</t>
  </si>
  <si>
    <t>137-95-00 (PUMA WHITE) HILINER DE-7 0.7MM 54'' 235G</t>
  </si>
  <si>
    <t>RPRO-260210-0613</t>
  </si>
  <si>
    <t>RPRO-260210-0614</t>
  </si>
  <si>
    <t>RPRO-260210-0615</t>
  </si>
  <si>
    <t>RPRO-260206-0001</t>
  </si>
  <si>
    <t>DC-018185</t>
  </si>
  <si>
    <t>53U (PP)LINING KNIT MATTE MICRO (HOOD) REC 44" 250G (PCX#167606)</t>
  </si>
  <si>
    <t>RPRO-260206-0002</t>
  </si>
  <si>
    <t>RPRO-260206-0003</t>
  </si>
  <si>
    <t>DC-017473</t>
  </si>
  <si>
    <t>67J (PP)LINING KNIT MATTE MICRO (HOOD) REC 44" 250G (PCX#167606) (A)</t>
  </si>
  <si>
    <t>RPRO-260206-0004</t>
  </si>
  <si>
    <t>RPRO-260206-0005</t>
  </si>
  <si>
    <t>DC-013227</t>
  </si>
  <si>
    <t>71R (PP)LINING KNIT MATTE MICRO (HOOD) REC 44" 250G (PCX#167606)</t>
  </si>
  <si>
    <t>RPRO-260206-0006</t>
  </si>
  <si>
    <t>RPRO-260206-0007</t>
  </si>
  <si>
    <t>RPRO-260206-0008</t>
  </si>
  <si>
    <t>RPRO-260206-0009</t>
  </si>
  <si>
    <t>DC-017742</t>
  </si>
  <si>
    <t>65N (PP)LINING KNIT MATTE MICRO (HOOD) REC 44" 250G (PCX#167606) (A)</t>
  </si>
  <si>
    <t>RPRO-260206-0010</t>
  </si>
  <si>
    <t>DC-001949</t>
  </si>
  <si>
    <t>OrthoLite Ultra-Hybrid-Nike SEEDPEARL/12-0703TPX Hybrid Flat Sheet 0.085D 25+/-4 Asker C 1.1M 2M 3mm</t>
  </si>
  <si>
    <t>RPRO-260206-0011</t>
  </si>
  <si>
    <t>RPRO-260206-0012</t>
  </si>
  <si>
    <t>RPRO-260206-0013</t>
  </si>
  <si>
    <t>DC-018186</t>
  </si>
  <si>
    <t>89L (PP)LINING KNIT MATTE MICRO (HOOD) REC 44" 250G (PCX#167606)</t>
  </si>
  <si>
    <t>RPRO-260206-0014</t>
  </si>
  <si>
    <t>RPRO-260206-0017</t>
  </si>
  <si>
    <t>DC-017419</t>
  </si>
  <si>
    <t>66T (PP)LINING KNIT MATTE MICRO (HOOD) REC 44" 250G (PCX#167606) (A)</t>
  </si>
  <si>
    <t>RPRO-260206-0018</t>
  </si>
  <si>
    <t>RPRO-260206-0020</t>
  </si>
  <si>
    <t>RPRO-260206-0063</t>
  </si>
  <si>
    <t>DC-016645</t>
  </si>
  <si>
    <t>6FW (PP)LINING KNIT MATTE MICRO (HOOD) REC 44" 250G (PCX#167606)</t>
  </si>
  <si>
    <t>RPRO-260206-0064</t>
  </si>
  <si>
    <t>RPRO-260206-0069</t>
  </si>
  <si>
    <t>RPRO-260206-0070</t>
  </si>
  <si>
    <t>RPRO-260206-0071</t>
  </si>
  <si>
    <t>RPRO-260206-0130</t>
  </si>
  <si>
    <t>DC-018190</t>
  </si>
  <si>
    <t>11-0604TPG DJT-10157 ARI TEX-REPF 44" 235G</t>
  </si>
  <si>
    <t>RPRO-260206-0131</t>
  </si>
  <si>
    <t>DC-018192</t>
  </si>
  <si>
    <t>13-3804TPG DJT-10157 ARI TEX-REPF 44" 235G</t>
  </si>
  <si>
    <t>RPRO-260206-0132</t>
  </si>
  <si>
    <t>DC-017657</t>
  </si>
  <si>
    <t>GR19-24SS(CLOUD GREY) CY101-REPF 44" 210G</t>
  </si>
  <si>
    <t>RPRO-260206-0135</t>
  </si>
  <si>
    <t>DC-018189</t>
  </si>
  <si>
    <t>GR07-19AW DJT-10157 ARI TEX-REPF 44" 235G</t>
  </si>
  <si>
    <t>RPRO-260206-0145</t>
  </si>
  <si>
    <t>DC-018191</t>
  </si>
  <si>
    <t>1200248 (CREAM) DJT-10157 ARI TEX-REPF 44" 235G</t>
  </si>
  <si>
    <t>RPRO-260206-0146</t>
  </si>
  <si>
    <t>DC-018193</t>
  </si>
  <si>
    <t>RPRO-260206-0147</t>
  </si>
  <si>
    <t>DC-018194</t>
  </si>
  <si>
    <t>RPRO-260206-0169</t>
  </si>
  <si>
    <t>RPRO-260206-0170</t>
  </si>
  <si>
    <t>RPRO-260206-0171</t>
  </si>
  <si>
    <t>RPRO-260206-0174</t>
  </si>
  <si>
    <t>RPRO-260206-0184</t>
  </si>
  <si>
    <t>RPRO-260206-0185</t>
  </si>
  <si>
    <t>RPRO-260206-0186</t>
  </si>
  <si>
    <t>RPRO-260209-0035</t>
  </si>
  <si>
    <t>RPRO-260209-0037</t>
  </si>
  <si>
    <t>RPRO-260209-0038</t>
  </si>
  <si>
    <t>RPRO-260209-0039</t>
  </si>
  <si>
    <t>RPRO-260209-0042</t>
  </si>
  <si>
    <t>RPRO-260209-0043</t>
  </si>
  <si>
    <t>RPRO-260209-0044</t>
  </si>
  <si>
    <t>RPRO-260209-0103</t>
  </si>
  <si>
    <t>RPRO-260209-0106</t>
  </si>
  <si>
    <t>RPRO-260209-0109</t>
  </si>
  <si>
    <t>RPRO-260209-0111</t>
  </si>
  <si>
    <t>RPRO-260209-0114</t>
  </si>
  <si>
    <t>RPRO-260209-0045</t>
  </si>
  <si>
    <t>DC-018199</t>
  </si>
  <si>
    <t>PK34-22S(BARELY ROSE) CY101-REPF 44" 210G</t>
  </si>
  <si>
    <t>RPRO-260209-0047</t>
  </si>
  <si>
    <t>RPRO-260209-0279</t>
  </si>
  <si>
    <t>RPRO-260209-0287</t>
  </si>
  <si>
    <t>DC-016079</t>
  </si>
  <si>
    <t>RPRO-260209-0289</t>
  </si>
  <si>
    <t>RPRO-260209-0291</t>
  </si>
  <si>
    <t>RPRO-260209-0293</t>
  </si>
  <si>
    <t>RPRO-260209-0295</t>
  </si>
  <si>
    <t>RPRO-260209-0297</t>
  </si>
  <si>
    <t>RPRO-260209-0299</t>
  </si>
  <si>
    <t>RPRO-260209-0301</t>
  </si>
  <si>
    <t>RPRO-260209-0303</t>
  </si>
  <si>
    <t>RPRO-260209-0305</t>
  </si>
  <si>
    <t>RPRO-260209-0307</t>
  </si>
  <si>
    <t>RPRO-260209-0309</t>
  </si>
  <si>
    <t>RPRO-260209-0311</t>
  </si>
  <si>
    <t>RPRO-260209-0313</t>
  </si>
  <si>
    <t>RPRO-260209-0315</t>
  </si>
  <si>
    <t>RPRO-260209-0317</t>
  </si>
  <si>
    <t>RPRO-260209-0319</t>
  </si>
  <si>
    <t>RPRO-260209-0321</t>
  </si>
  <si>
    <t>RPRO-260209-0323</t>
  </si>
  <si>
    <t>RPRO-260209-0325</t>
  </si>
  <si>
    <t>RPRO-260209-0327</t>
  </si>
  <si>
    <t>RPRO-260209-0329</t>
  </si>
  <si>
    <t>RPRO-260209-0331</t>
  </si>
  <si>
    <t>RPRO-260209-0333</t>
  </si>
  <si>
    <t>RPRO-260209-0335</t>
  </si>
  <si>
    <t>RPRO-260209-0337</t>
  </si>
  <si>
    <t>RPRO-260209-0339</t>
  </si>
  <si>
    <t>RPRO-260209-0341</t>
  </si>
  <si>
    <t>RPRO-260209-0343</t>
  </si>
  <si>
    <t>RPRO-260209-0345</t>
  </si>
  <si>
    <t>RPRO-260209-0347</t>
  </si>
  <si>
    <t>RPRO-260209-0349</t>
  </si>
  <si>
    <t>RPRO-260209-0351</t>
  </si>
  <si>
    <t>RPRO-260209-0353</t>
  </si>
  <si>
    <t>RPRO-260209-0355</t>
  </si>
  <si>
    <t>RPRO-260209-0357</t>
  </si>
  <si>
    <t>RPRO-260209-0359</t>
  </si>
  <si>
    <t>RPRO-260209-0361</t>
  </si>
  <si>
    <t>RPRO-260209-0363</t>
  </si>
  <si>
    <t>RPRO-260209-0365</t>
  </si>
  <si>
    <t>RPRO-260209-0367</t>
  </si>
  <si>
    <t>RPRO-260209-0369</t>
  </si>
  <si>
    <t>RPRO-260209-0371</t>
  </si>
  <si>
    <t>RPRO-260209-0373</t>
  </si>
  <si>
    <t>RPRO-260209-0375</t>
  </si>
  <si>
    <t>RPRO-260209-0377</t>
  </si>
  <si>
    <t>RPRO-260209-0379</t>
  </si>
  <si>
    <t>RPRO-260209-0381</t>
  </si>
  <si>
    <t>RPRO-260209-0383</t>
  </si>
  <si>
    <t>RPRO-260209-0385</t>
  </si>
  <si>
    <t>RPRO-260209-0387</t>
  </si>
  <si>
    <t>RPRO-260209-0389</t>
  </si>
  <si>
    <t>RPRO-260209-0391</t>
  </si>
  <si>
    <t>RPRO-260209-0393</t>
  </si>
  <si>
    <t>RPRO-260209-0395</t>
  </si>
  <si>
    <t>RPRO-260209-0397</t>
  </si>
  <si>
    <t>RPRO-260209-0399</t>
  </si>
  <si>
    <t>RPRO-260209-0401</t>
  </si>
  <si>
    <t>RPRO-260209-0169</t>
  </si>
  <si>
    <t>RPRO-260211-0649</t>
  </si>
  <si>
    <t>RPRO-260209-0174</t>
  </si>
  <si>
    <t>RPRO-260209-0176</t>
  </si>
  <si>
    <t>RPRO-260211-0650</t>
  </si>
  <si>
    <t>RPRO-260209-0181</t>
  </si>
  <si>
    <t>RPRO-260209-0184</t>
  </si>
  <si>
    <t>RPRO-260209-0185</t>
  </si>
  <si>
    <t>RPRO-260209-0187</t>
  </si>
  <si>
    <t>RPRO-260209-0189</t>
  </si>
  <si>
    <t>RPRO-260209-0192</t>
  </si>
  <si>
    <t>RPRO-260209-0195</t>
  </si>
  <si>
    <t>RPRO-260209-0197</t>
  </si>
  <si>
    <t>RPRO-260209-0199</t>
  </si>
  <si>
    <t>RPRO-260209-0202</t>
  </si>
  <si>
    <t>RPRO-260209-0204</t>
  </si>
  <si>
    <t>RPRO-260209-0206</t>
  </si>
  <si>
    <t>RPRO-260209-0208</t>
  </si>
  <si>
    <t>RPRO-260209-0210</t>
  </si>
  <si>
    <t>RPRO-260209-0212</t>
  </si>
  <si>
    <t>RPRO-260209-0214</t>
  </si>
  <si>
    <t>RPRO-260209-0216</t>
  </si>
  <si>
    <t>RPRO-260209-0218</t>
  </si>
  <si>
    <t>RPRO-260209-0220</t>
  </si>
  <si>
    <t>RPRO-260209-0222</t>
  </si>
  <si>
    <t>RPRO-260209-0224</t>
  </si>
  <si>
    <t>RPRO-260209-0226</t>
  </si>
  <si>
    <t>RPRO-260209-0228</t>
  </si>
  <si>
    <t>RPRO-260209-0230</t>
  </si>
  <si>
    <t>RPRO-260209-0232</t>
  </si>
  <si>
    <t>RPRO-260209-0234</t>
  </si>
  <si>
    <t>RPRO-260209-0236</t>
  </si>
  <si>
    <t>RPRO-260209-0238</t>
  </si>
  <si>
    <t>RPRO-260209-0240</t>
  </si>
  <si>
    <t>RPRO-260209-0242</t>
  </si>
  <si>
    <t>RPRO-260209-0244</t>
  </si>
  <si>
    <t>RPRO-260209-0246</t>
  </si>
  <si>
    <t>RPRO-260209-0248</t>
  </si>
  <si>
    <t>RPRO-260209-0250</t>
  </si>
  <si>
    <t>RPRO-260209-0252</t>
  </si>
  <si>
    <t>RPRO-260209-0254</t>
  </si>
  <si>
    <t>RPRO-260209-0256</t>
  </si>
  <si>
    <t>RPRO-260209-0258</t>
  </si>
  <si>
    <t>RPRO-260209-0260</t>
  </si>
  <si>
    <t>RPRO-260209-0262</t>
  </si>
  <si>
    <t>RPRO-260209-0264</t>
  </si>
  <si>
    <t>RPRO-260209-0266</t>
  </si>
  <si>
    <t>RPRO-260209-0268</t>
  </si>
  <si>
    <t>RPRO-260209-0270</t>
  </si>
  <si>
    <t>RPRO-260209-0271</t>
  </si>
  <si>
    <t>RPRO-260209-0272</t>
  </si>
  <si>
    <t>RPRO-260209-0274</t>
  </si>
  <si>
    <t>RPRO-260209-0276</t>
  </si>
  <si>
    <t>RPRO-260209-0278</t>
  </si>
  <si>
    <t>RPRO-260209-0280</t>
  </si>
  <si>
    <t>RPRO-260209-0282</t>
  </si>
  <si>
    <t>RPRO-260209-0284</t>
  </si>
  <si>
    <t>RPRO-260209-0286</t>
  </si>
  <si>
    <t>RPRO-260209-0288</t>
  </si>
  <si>
    <t>RPRO-260209-0290</t>
  </si>
  <si>
    <t>RPRO-260209-0292</t>
  </si>
  <si>
    <t>RPRO-260209-0294</t>
  </si>
  <si>
    <t>RPRO-260209-0296</t>
  </si>
  <si>
    <t>RPRO-260209-0298</t>
  </si>
  <si>
    <t>RPRO-260209-0300</t>
  </si>
  <si>
    <t>RPRO-260209-0302</t>
  </si>
  <si>
    <t>RPRO-260209-0304</t>
  </si>
  <si>
    <t>RPRO-260209-0306</t>
  </si>
  <si>
    <t>RPRO-260209-0308</t>
  </si>
  <si>
    <t>RPRO-260209-0310</t>
  </si>
  <si>
    <t>RPRO-260209-0312</t>
  </si>
  <si>
    <t>RPRO-260209-0314</t>
  </si>
  <si>
    <t>RPRO-260209-0316</t>
  </si>
  <si>
    <t>RPRO-260209-0318</t>
  </si>
  <si>
    <t>RPRO-260209-0320</t>
  </si>
  <si>
    <t>RPRO-260209-0322</t>
  </si>
  <si>
    <t>RPRO-260209-0324</t>
  </si>
  <si>
    <t>RPRO-260209-0326</t>
  </si>
  <si>
    <t>RPRO-260209-0328</t>
  </si>
  <si>
    <t>RPRO-260209-0330</t>
  </si>
  <si>
    <t>RPRO-260209-0332</t>
  </si>
  <si>
    <t>RPRO-260209-0334</t>
  </si>
  <si>
    <t>RPRO-260209-0336</t>
  </si>
  <si>
    <t>RPRO-260209-0338</t>
  </si>
  <si>
    <t>RPRO-260209-0340</t>
  </si>
  <si>
    <t>RPRO-260209-0342</t>
  </si>
  <si>
    <t>RPRO-260209-0344</t>
  </si>
  <si>
    <t>RPRO-260209-0346</t>
  </si>
  <si>
    <t>RPRO-260209-0348</t>
  </si>
  <si>
    <t>RPRO-260209-0350</t>
  </si>
  <si>
    <t>RPRO-260209-0352</t>
  </si>
  <si>
    <t>RPRO-260209-0354</t>
  </si>
  <si>
    <t>RPRO-260209-0356</t>
  </si>
  <si>
    <t>RPRO-260209-0358</t>
  </si>
  <si>
    <t>RPRO-260209-0360</t>
  </si>
  <si>
    <t>RPRO-260209-0362</t>
  </si>
  <si>
    <t>RPRO-260209-0364</t>
  </si>
  <si>
    <t>RPRO-260209-0366</t>
  </si>
  <si>
    <t>RPRO-260209-0368</t>
  </si>
  <si>
    <t>RPRO-260209-0370</t>
  </si>
  <si>
    <t>RPRO-260209-0372</t>
  </si>
  <si>
    <t>RPRO-260209-0374</t>
  </si>
  <si>
    <t>RPRO-260209-0376</t>
  </si>
  <si>
    <t>RPRO-260209-0378</t>
  </si>
  <si>
    <t>RPRO-260209-0380</t>
  </si>
  <si>
    <t>RPRO-260209-0382</t>
  </si>
  <si>
    <t>RPRO-260209-0384</t>
  </si>
  <si>
    <t>RPRO-260209-0386</t>
  </si>
  <si>
    <t>RPRO-260209-0388</t>
  </si>
  <si>
    <t>RPRO-260209-0390</t>
  </si>
  <si>
    <t>RPRO-260209-0392</t>
  </si>
  <si>
    <t>RPRO-260209-0394</t>
  </si>
  <si>
    <t>RPRO-260209-0396</t>
  </si>
  <si>
    <t>RPRO-260209-0398</t>
  </si>
  <si>
    <t>RPRO-260209-0400</t>
  </si>
  <si>
    <t>RPRO-260209-0402</t>
  </si>
  <si>
    <t>RPRO-260209-0404</t>
  </si>
  <si>
    <t>RPRO-260209-0406</t>
  </si>
  <si>
    <t>RPRO-260209-0408</t>
  </si>
  <si>
    <t>RPRO-260209-0410</t>
  </si>
  <si>
    <t>RPRO-260209-0412</t>
  </si>
  <si>
    <t>RPRO-260209-0414</t>
  </si>
  <si>
    <t>RPRO-260209-0416</t>
  </si>
  <si>
    <t>RPRO-260209-0418</t>
  </si>
  <si>
    <t>RPRO-260209-0420</t>
  </si>
  <si>
    <t>RPRO-260209-0422</t>
  </si>
  <si>
    <t>RPRO-260209-0424</t>
  </si>
  <si>
    <t>RPRO-260209-0426</t>
  </si>
  <si>
    <t>RPRO-260209-0428</t>
  </si>
  <si>
    <t>RPRO-260209-0430</t>
  </si>
  <si>
    <t>RPRO-260209-0432</t>
  </si>
  <si>
    <t>RPRO-260209-0434</t>
  </si>
  <si>
    <t>RPRO-260209-0436</t>
  </si>
  <si>
    <t>RPRO-260209-0438</t>
  </si>
  <si>
    <t>RPRO-260209-0440</t>
  </si>
  <si>
    <t>RPRO-260209-0442</t>
  </si>
  <si>
    <t>RPRO-260209-0444</t>
  </si>
  <si>
    <t>RPRO-260209-0446</t>
  </si>
  <si>
    <t>RPRO-260209-0448</t>
  </si>
  <si>
    <t>RPRO-260209-0450</t>
  </si>
  <si>
    <t>RPRO-260209-0452</t>
  </si>
  <si>
    <t>RPRO-260209-0454</t>
  </si>
  <si>
    <t>RPRO-260209-0456</t>
  </si>
  <si>
    <t>RPRO-260209-0458</t>
  </si>
  <si>
    <t>RPRO-260209-0459</t>
  </si>
  <si>
    <t>RPRO-260209-0460</t>
  </si>
  <si>
    <t>RPRO-260209-0461</t>
  </si>
  <si>
    <t>RPRO-260209-0462</t>
  </si>
  <si>
    <t>RPRO-260209-0463</t>
  </si>
  <si>
    <t>RPRO-260209-0464</t>
  </si>
  <si>
    <t>RPRO-260209-0465</t>
  </si>
  <si>
    <t>RPRO-260209-0466</t>
  </si>
  <si>
    <t>RPRO-260209-0467</t>
  </si>
  <si>
    <t>RPRO-260209-0468</t>
  </si>
  <si>
    <t>RPRO-260209-0469</t>
  </si>
  <si>
    <t>RPRO-260209-0470</t>
  </si>
  <si>
    <t>RPRO-260209-0471</t>
  </si>
  <si>
    <t>RPRO-260209-0472</t>
  </si>
  <si>
    <t>RPRO-260209-0473</t>
  </si>
  <si>
    <t>RPRO-260209-0474</t>
  </si>
  <si>
    <t>RPRO-260209-0475</t>
  </si>
  <si>
    <t>RPRO-260209-0476</t>
  </si>
  <si>
    <t>RPRO-260209-0477</t>
  </si>
  <si>
    <t>RPRO-260209-0478</t>
  </si>
  <si>
    <t>RPRO-260209-0479</t>
  </si>
  <si>
    <t>RPRO-260209-0480</t>
  </si>
  <si>
    <t>RPRO-260209-0481</t>
  </si>
  <si>
    <t>RPRO-260209-0482</t>
  </si>
  <si>
    <t>RPRO-260209-0483</t>
  </si>
  <si>
    <t>RPRO-260209-0484</t>
  </si>
  <si>
    <t>RPRO-260209-0485</t>
  </si>
  <si>
    <t>RPRO-260209-0486</t>
  </si>
  <si>
    <t>RPRO-260209-0487</t>
  </si>
  <si>
    <t>RPRO-260211-0651</t>
  </si>
  <si>
    <t>RPRO-260211-0652</t>
  </si>
  <si>
    <t>RPRO-260211-0653</t>
  </si>
  <si>
    <t>RPRO-260211-0654</t>
  </si>
  <si>
    <t>RPRO-260211-0655</t>
  </si>
  <si>
    <t>RPRO-260211-0656</t>
  </si>
  <si>
    <t>RPRO-260211-0657</t>
  </si>
  <si>
    <t>RPRO-260211-0658</t>
  </si>
  <si>
    <t>RPRO-260209-0496</t>
  </si>
  <si>
    <t>RPRO-260209-0443</t>
  </si>
  <si>
    <t>RPRO-260209-0445</t>
  </si>
  <si>
    <t>RPRO-260209-0447</t>
  </si>
  <si>
    <t>RPRO-260209-0449</t>
  </si>
  <si>
    <t>RPRO-260209-0451</t>
  </si>
  <si>
    <t>RPRO-260209-0453</t>
  </si>
  <si>
    <t>RPRO-260209-0455</t>
  </si>
  <si>
    <t>RPRO-260210-0660</t>
  </si>
  <si>
    <t>RPRO-260210-0662</t>
  </si>
  <si>
    <t>RPRO-260210-0664</t>
  </si>
  <si>
    <t>RPRO-260210-0666</t>
  </si>
  <si>
    <t>RPRO-260210-0779</t>
  </si>
  <si>
    <t>RPRO-260210-0782</t>
  </si>
  <si>
    <t>RPRO-260210-0726</t>
  </si>
  <si>
    <t>RPRO-260210-0729</t>
  </si>
  <si>
    <t>29B (PP)LINING KNIT MATTE MICRO (HOOD) REC 44" 250G (PCX#167606)</t>
  </si>
  <si>
    <t>RPRO-260210-0732</t>
  </si>
  <si>
    <t>RPRO-260210-0735</t>
  </si>
  <si>
    <t>RPRO-260210-0738</t>
  </si>
  <si>
    <t>RPRO-260210-0741</t>
  </si>
  <si>
    <t>RPRO-260210-0744</t>
  </si>
  <si>
    <t>RPRO-260210-0747</t>
  </si>
  <si>
    <t>RPRO-260210-0750</t>
  </si>
  <si>
    <t>RPRO-260210-0753</t>
  </si>
  <si>
    <t>RPRO-260210-0756</t>
  </si>
  <si>
    <t>RPRO-260210-0759</t>
  </si>
  <si>
    <t>RPRO-260210-0762</t>
  </si>
  <si>
    <t>RPRO-260210-0765</t>
  </si>
  <si>
    <t>RPRO-260210-0768</t>
  </si>
  <si>
    <t>RPRO-260210-0771</t>
  </si>
  <si>
    <t>RPRO-260210-0774</t>
  </si>
  <si>
    <t>RPRO-260210-0777</t>
  </si>
  <si>
    <t>RPRO-260210-0780</t>
  </si>
  <si>
    <t>RPRO-260210-0783</t>
  </si>
  <si>
    <t>RPRO-260210-1115</t>
  </si>
  <si>
    <t>RPRO-260210-0786</t>
  </si>
  <si>
    <t>RPRO-260210-0789</t>
  </si>
  <si>
    <t>RPRO-260210-0792</t>
  </si>
  <si>
    <t>RPRO-260210-0794</t>
  </si>
  <si>
    <t>RPRO-260210-0796</t>
  </si>
  <si>
    <t>RPRO-260210-0798</t>
  </si>
  <si>
    <t>RPRO-260210-0800</t>
  </si>
  <si>
    <t>RPRO-260210-0802</t>
  </si>
  <si>
    <t>RPRO-260210-0804</t>
  </si>
  <si>
    <t>RPRO-260210-0806</t>
  </si>
  <si>
    <t>RPRO-260210-0808</t>
  </si>
  <si>
    <t>RPRO-260210-0810</t>
  </si>
  <si>
    <t>RPRO-260210-0812</t>
  </si>
  <si>
    <t>RPRO-260210-0668</t>
  </si>
  <si>
    <t>RPRO-260210-0671</t>
  </si>
  <si>
    <t>RPRO-260210-0674</t>
  </si>
  <si>
    <t>RPRO-260210-0677</t>
  </si>
  <si>
    <t>RPRO-260210-0680</t>
  </si>
  <si>
    <t>RPRO-260210-0683</t>
  </si>
  <si>
    <t>RPRO-260210-0686</t>
  </si>
  <si>
    <t>RPRO-260210-0689</t>
  </si>
  <si>
    <t>RPRO-260210-0692</t>
  </si>
  <si>
    <t>RPRO-260210-0695</t>
  </si>
  <si>
    <t>RPRO-260210-0698</t>
  </si>
  <si>
    <t>RPRO-260210-0701</t>
  </si>
  <si>
    <t>RPRO-260210-0704</t>
  </si>
  <si>
    <t>RPRO-260210-0707</t>
  </si>
  <si>
    <t>RPRO-260210-0710</t>
  </si>
  <si>
    <t>RPRO-260210-0713</t>
  </si>
  <si>
    <t>RPRO-260210-0716</t>
  </si>
  <si>
    <t>RPRO-260210-0719</t>
  </si>
  <si>
    <t>RPRO-260210-0722</t>
  </si>
  <si>
    <t>RPRO-260210-0725</t>
  </si>
  <si>
    <t>RPRO-260210-0728</t>
  </si>
  <si>
    <t>RPRO-260210-0730</t>
  </si>
  <si>
    <t>RPRO-260210-0733</t>
  </si>
  <si>
    <t>RPRO-260210-0736</t>
  </si>
  <si>
    <t>RPRO-260210-0739</t>
  </si>
  <si>
    <t>RPRO-260210-0742</t>
  </si>
  <si>
    <t>RPRO-260210-0745</t>
  </si>
  <si>
    <t>RPRO-260210-0748</t>
  </si>
  <si>
    <t>RPRO-260210-0751</t>
  </si>
  <si>
    <t>RPRO-260210-0754</t>
  </si>
  <si>
    <t>RPRO-260210-0757</t>
  </si>
  <si>
    <t>RPRO-260210-0760</t>
  </si>
  <si>
    <t>RPRO-260210-0763</t>
  </si>
  <si>
    <t>RPRO-260210-0766</t>
  </si>
  <si>
    <t>RPRO-260210-0769</t>
  </si>
  <si>
    <t>RPRO-260210-0772</t>
  </si>
  <si>
    <t>RPRO-260210-0775</t>
  </si>
  <si>
    <t>RPRO-260210-0778</t>
  </si>
  <si>
    <t>RPRO-260210-0781</t>
  </si>
  <si>
    <t>RPRO-260210-0784</t>
  </si>
  <si>
    <t>RPRO-260210-0918</t>
  </si>
  <si>
    <t>RPRO-260210-0787</t>
  </si>
  <si>
    <t>RPRO-260210-0797</t>
  </si>
  <si>
    <t>RPRO-260210-0799</t>
  </si>
  <si>
    <t>RPRO-260210-0816</t>
  </si>
  <si>
    <t>RPRO-260210-0820</t>
  </si>
  <si>
    <t>RPRO-260210-0822</t>
  </si>
  <si>
    <t>RPRO-260210-0824</t>
  </si>
  <si>
    <t>RPRO-260210-0826</t>
  </si>
  <si>
    <t>RPRO-260210-0828</t>
  </si>
  <si>
    <t>RPRO-260210-0830</t>
  </si>
  <si>
    <t>DC-016942</t>
  </si>
  <si>
    <t>64D MERRY MESH LJ-B540-EPM5 1TONE DTY REC (PCX#206190)(MCS#LU1P/PK5929) 44" 250G</t>
  </si>
  <si>
    <t>RPRO-260210-0832</t>
  </si>
  <si>
    <t>RPRO-260210-0834</t>
  </si>
  <si>
    <t>RPRO-260210-0836</t>
  </si>
  <si>
    <t>RPRO-260210-0838</t>
  </si>
  <si>
    <t>RPRO-260210-0840</t>
  </si>
  <si>
    <t>RPRO-260210-0842</t>
  </si>
  <si>
    <t>RPRO-260210-0844</t>
  </si>
  <si>
    <t>RPRO-260210-0846</t>
  </si>
  <si>
    <t>RPRO-260210-0848</t>
  </si>
  <si>
    <t>RPRO-260210-0850</t>
  </si>
  <si>
    <t>RPRO-260210-0852</t>
  </si>
  <si>
    <t>RPRO-260210-0854</t>
  </si>
  <si>
    <t>RPRO-260210-0856</t>
  </si>
  <si>
    <t>RPRO-260210-0858</t>
  </si>
  <si>
    <t>RPRO-260210-0860</t>
  </si>
  <si>
    <t>RPRO-260210-0862</t>
  </si>
  <si>
    <t>RPRO-260210-0864</t>
  </si>
  <si>
    <t>RPRO-260210-0866</t>
  </si>
  <si>
    <t>RPRO-260210-0868</t>
  </si>
  <si>
    <t>RPRO-260210-0870</t>
  </si>
  <si>
    <t>RPRO-260210-0872</t>
  </si>
  <si>
    <t>RPRO-260210-0874</t>
  </si>
  <si>
    <t>DC-016388</t>
  </si>
  <si>
    <t>RPRO-260210-0876</t>
  </si>
  <si>
    <t>RPRO-260210-0878</t>
  </si>
  <si>
    <t>RPRO-260210-0880</t>
  </si>
  <si>
    <t>RPRO-260210-0882</t>
  </si>
  <si>
    <t>RPRO-260210-0884</t>
  </si>
  <si>
    <t>RPRO-260210-0886</t>
  </si>
  <si>
    <t>RPRO-260210-0888</t>
  </si>
  <si>
    <t>RPRO-260210-0890</t>
  </si>
  <si>
    <t>RPRO-260210-0892</t>
  </si>
  <si>
    <t>RPRO-260210-0894</t>
  </si>
  <si>
    <t>RPRO-260210-0896</t>
  </si>
  <si>
    <t>RPRO-260210-0898</t>
  </si>
  <si>
    <t>RPRO-260210-0900</t>
  </si>
  <si>
    <t>RPRO-260210-0902</t>
  </si>
  <si>
    <t>3JJ (PP)LINING KNIT MATTE MICRO (HOOD) REC 44" 250G (PCX#167606)</t>
  </si>
  <si>
    <t>RPRO-260210-0904</t>
  </si>
  <si>
    <t>RPRO-260210-0906</t>
  </si>
  <si>
    <t>RPRO-260210-0908</t>
  </si>
  <si>
    <t>RPRO-260210-0910</t>
  </si>
  <si>
    <t>RPRO-260210-0912</t>
  </si>
  <si>
    <t>RPRO-260210-0914</t>
  </si>
  <si>
    <t>RPRO-260210-0916</t>
  </si>
  <si>
    <t>RPRO-260210-0919</t>
  </si>
  <si>
    <t>RPRO-260210-0921</t>
  </si>
  <si>
    <t>RPRO-260210-0923</t>
  </si>
  <si>
    <t>RPRO-260210-0925</t>
  </si>
  <si>
    <t>RPRO-260210-0927</t>
  </si>
  <si>
    <t>RPRO-260210-0929</t>
  </si>
  <si>
    <t>RPRO-260210-0931</t>
  </si>
  <si>
    <t>RPRO-260210-0933</t>
  </si>
  <si>
    <t>RPRO-260210-0935</t>
  </si>
  <si>
    <t>RPRO-260210-0937</t>
  </si>
  <si>
    <t>RPRO-260210-0939</t>
  </si>
  <si>
    <t>RPRO-260210-0941</t>
  </si>
  <si>
    <t>RPRO-260210-0943</t>
  </si>
  <si>
    <t>RPRO-260210-0945</t>
  </si>
  <si>
    <t>RPRO-260210-0947</t>
  </si>
  <si>
    <t>RPRO-260210-0949</t>
  </si>
  <si>
    <t>RPRO-260210-0951</t>
  </si>
  <si>
    <t>RPRO-260210-0953</t>
  </si>
  <si>
    <t>RPRO-260210-0955</t>
  </si>
  <si>
    <t>RPRO-260210-0957</t>
  </si>
  <si>
    <t>RPRO-260210-0959</t>
  </si>
  <si>
    <t>RPRO-260210-0961</t>
  </si>
  <si>
    <t>RPRO-260210-0963</t>
  </si>
  <si>
    <t>RPRO-260210-0965</t>
  </si>
  <si>
    <t>RPRO-260210-0967</t>
  </si>
  <si>
    <t>RPRO-260210-0969</t>
  </si>
  <si>
    <t>RPRO-260210-0971</t>
  </si>
  <si>
    <t>RPRO-260210-0973</t>
  </si>
  <si>
    <t>RPRO-260210-0975</t>
  </si>
  <si>
    <t>RPRO-260210-0977</t>
  </si>
  <si>
    <t>RPRO-260210-0979</t>
  </si>
  <si>
    <t>RPRO-260210-0981</t>
  </si>
  <si>
    <t>RPRO-260210-0983</t>
  </si>
  <si>
    <t>RPRO-260210-0985</t>
  </si>
  <si>
    <t>RPRO-260210-0987</t>
  </si>
  <si>
    <t>DC-012713</t>
  </si>
  <si>
    <t>RPRO-260210-0989</t>
  </si>
  <si>
    <t>RPRO-260210-0991</t>
  </si>
  <si>
    <t>RPRO-260210-0993</t>
  </si>
  <si>
    <t>RPRO-260210-0995</t>
  </si>
  <si>
    <t>RPRO-260210-0997</t>
  </si>
  <si>
    <t>RPRO-260210-0999</t>
  </si>
  <si>
    <t>RPRO-260210-1001</t>
  </si>
  <si>
    <t>RPRO-260210-1003</t>
  </si>
  <si>
    <t>RPRO-260210-1005</t>
  </si>
  <si>
    <t>RPRO-260210-1007</t>
  </si>
  <si>
    <t>RPRO-260210-1009</t>
  </si>
  <si>
    <t>RPRO-260210-1011</t>
  </si>
  <si>
    <t>RPRO-260210-1013</t>
  </si>
  <si>
    <t>RPRO-260210-1015</t>
  </si>
  <si>
    <t>04Z (PP)LINING KNIT MATTE MICRO (SHASTA) REC 44" 309G (PCX #167605)</t>
  </si>
  <si>
    <t>RPRO-260210-1017</t>
  </si>
  <si>
    <t>4CA (PP)LINING KNIT MATTE MICRO (SHASTA) REC 44" 309G (PCX #167605)</t>
  </si>
  <si>
    <t>RPRO-260210-1019</t>
  </si>
  <si>
    <t>RPRO-260210-1021</t>
  </si>
  <si>
    <t>RPRO-260210-1023</t>
  </si>
  <si>
    <t>45B (PP)LINING KNIT MATTE MICRO (HOOD) REC 44" 250G (PCX#167606) (A)</t>
  </si>
  <si>
    <t>RPRO-260210-0871</t>
  </si>
  <si>
    <t>RPRO-260210-0873</t>
  </si>
  <si>
    <t>RPRO-260210-0875</t>
  </si>
  <si>
    <t>RPRO-260210-0877</t>
  </si>
  <si>
    <t>RPRO-260210-0879</t>
  </si>
  <si>
    <t>RPRO-260210-0881</t>
  </si>
  <si>
    <t>DC-017589</t>
  </si>
  <si>
    <t>31B MERRY MESH 44" 250G (PCX #67725)</t>
  </si>
  <si>
    <t>RPRO-260210-0883</t>
  </si>
  <si>
    <t>RPRO-260210-0885</t>
  </si>
  <si>
    <t>RPRO-260210-0887</t>
  </si>
  <si>
    <t>RPRO-260210-0889</t>
  </si>
  <si>
    <t>RPRO-260210-0891</t>
  </si>
  <si>
    <t>RPRO-260210-0893</t>
  </si>
  <si>
    <t>RPRO-260210-0895</t>
  </si>
  <si>
    <t>RPRO-260210-0897</t>
  </si>
  <si>
    <t>RPRO-260210-0899</t>
  </si>
  <si>
    <t>RPRO-260210-0901</t>
  </si>
  <si>
    <t>RPRO-260210-0903</t>
  </si>
  <si>
    <t>RPRO-260210-0905</t>
  </si>
  <si>
    <t>RPRO-260210-0907</t>
  </si>
  <si>
    <t>RPRO-260210-0909</t>
  </si>
  <si>
    <t>RPRO-260210-0911</t>
  </si>
  <si>
    <t>RPRO-260210-0913</t>
  </si>
  <si>
    <t>RPRO-260210-0915</t>
  </si>
  <si>
    <t>RPRO-260210-0917</t>
  </si>
  <si>
    <t>RPRO-260210-1025</t>
  </si>
  <si>
    <t>RPRO-260210-0920</t>
  </si>
  <si>
    <t>RPRO-260210-0922</t>
  </si>
  <si>
    <t>DC-013658</t>
  </si>
  <si>
    <t>45B MERRY MESH 44" 250G (PCX #67725)</t>
  </si>
  <si>
    <t>RPRO-260210-0924</t>
  </si>
  <si>
    <t>RPRO-260210-0926</t>
  </si>
  <si>
    <t>RPRO-260210-0928</t>
  </si>
  <si>
    <t>RPRO-260210-0930</t>
  </si>
  <si>
    <t>RPRO-260210-0932</t>
  </si>
  <si>
    <t>RPRO-260210-0934</t>
  </si>
  <si>
    <t>RPRO-260210-0936</t>
  </si>
  <si>
    <t>4KY (PP)LINING KNIT MATTE MICRO (HOOD) REC 44" 250G (PCX#167606)</t>
  </si>
  <si>
    <t>RPRO-260210-0938</t>
  </si>
  <si>
    <t>RPRO-260210-0940</t>
  </si>
  <si>
    <t>RPRO-260210-0942</t>
  </si>
  <si>
    <t>RPRO-260210-0944</t>
  </si>
  <si>
    <t>RPRO-260210-1027</t>
  </si>
  <si>
    <t>RPRO-260210-1029</t>
  </si>
  <si>
    <t>RPRO-260210-0946</t>
  </si>
  <si>
    <t>RPRO-260210-1031</t>
  </si>
  <si>
    <t>RPRO-260210-0948</t>
  </si>
  <si>
    <t>RPRO-260210-0950</t>
  </si>
  <si>
    <t>RPRO-260210-0952</t>
  </si>
  <si>
    <t>RPRO-260210-0954</t>
  </si>
  <si>
    <t>RPRO-260210-0956</t>
  </si>
  <si>
    <t>RPRO-260210-1033</t>
  </si>
  <si>
    <t>RPRO-260210-0958</t>
  </si>
  <si>
    <t>RPRO-260210-1035</t>
  </si>
  <si>
    <t>RPRO-260210-1037</t>
  </si>
  <si>
    <t>RPRO-260210-0960</t>
  </si>
  <si>
    <t>RPRO-260210-0962</t>
  </si>
  <si>
    <t>RPRO-260210-0964</t>
  </si>
  <si>
    <t>RPRO-260210-0966</t>
  </si>
  <si>
    <t>RPRO-260210-0968</t>
  </si>
  <si>
    <t>RPRO-260210-0970</t>
  </si>
  <si>
    <t>RPRO-260210-0972</t>
  </si>
  <si>
    <t>RPRO-260210-0974</t>
  </si>
  <si>
    <t>RPRO-260210-0976</t>
  </si>
  <si>
    <t>RPRO-260210-0978</t>
  </si>
  <si>
    <t>RPRO-260210-0980</t>
  </si>
  <si>
    <t>RPRO-260210-0982</t>
  </si>
  <si>
    <t>RPRO-260210-0984</t>
  </si>
  <si>
    <t>RPRO-260210-0986</t>
  </si>
  <si>
    <t>RPRO-260210-0988</t>
  </si>
  <si>
    <t>RPRO-260210-0990</t>
  </si>
  <si>
    <t>RPRO-260210-0992</t>
  </si>
  <si>
    <t>RPRO-260210-0994</t>
  </si>
  <si>
    <t>RPRO-260210-0996</t>
  </si>
  <si>
    <t>RPRO-260210-0998</t>
  </si>
  <si>
    <t>RPRO-260210-1000</t>
  </si>
  <si>
    <t>DC-013660</t>
  </si>
  <si>
    <t>RPRO-260210-1002</t>
  </si>
  <si>
    <t>RPRO-260210-1004</t>
  </si>
  <si>
    <t>RPRO-260210-1006</t>
  </si>
  <si>
    <t>RPRO-260210-1039</t>
  </si>
  <si>
    <t>13B (PP)LINING KNIT MATTE MICRO (HOOD) REC 44" 250G (PCX#167606)</t>
  </si>
  <si>
    <t>RPRO-260210-1008</t>
  </si>
  <si>
    <t>RPRO-260210-1010</t>
  </si>
  <si>
    <t>RPRO-260210-1012</t>
  </si>
  <si>
    <t>DC-013873</t>
  </si>
  <si>
    <t>43Z (PP)LINING KNIT MATTE MICRO (HOOD) REC 44" 250G (PCX#167606)</t>
  </si>
  <si>
    <t>RPRO-260210-1014</t>
  </si>
  <si>
    <t>RPRO-260210-1016</t>
  </si>
  <si>
    <t>RPRO-260210-1018</t>
  </si>
  <si>
    <t>RPRO-260210-1020</t>
  </si>
  <si>
    <t>RPRO-260210-1022</t>
  </si>
  <si>
    <t>RPRO-260210-1024</t>
  </si>
  <si>
    <t>DC-013874</t>
  </si>
  <si>
    <t>RPRO-260210-1026</t>
  </si>
  <si>
    <t>RPRO-260210-1028</t>
  </si>
  <si>
    <t>RPRO-260210-1030</t>
  </si>
  <si>
    <t>RPRO-260210-1032</t>
  </si>
  <si>
    <t>RPRO-260210-1034</t>
  </si>
  <si>
    <t>RPRO-260210-1036</t>
  </si>
  <si>
    <t>DC-017548</t>
  </si>
  <si>
    <t>45B (PP)LINING KNIT MATTE MICRO (HOOD) REC 44" 250G (PCX#167606) (B)</t>
  </si>
  <si>
    <t>RPRO-260210-1038</t>
  </si>
  <si>
    <t>RPRO-260210-1040</t>
  </si>
  <si>
    <t>RPRO-260210-1042</t>
  </si>
  <si>
    <t>RPRO-260210-1044</t>
  </si>
  <si>
    <t>DC-018227</t>
  </si>
  <si>
    <t>4PB (PP)LINING KNIT MATTE MICRO (HOOD) REC 44" 250G (PCX#167606) (B)</t>
  </si>
  <si>
    <t>RPRO-260210-1046</t>
  </si>
  <si>
    <t>RPRO-260210-1048</t>
  </si>
  <si>
    <t>RPRO-260210-1050</t>
  </si>
  <si>
    <t>RPRO-260210-1041</t>
  </si>
  <si>
    <t>RPRO-260210-1043</t>
  </si>
  <si>
    <t>RPRO-260210-1045</t>
  </si>
  <si>
    <t>RPRO-260210-1047</t>
  </si>
  <si>
    <t>RPRO-260210-1052</t>
  </si>
  <si>
    <t>DC-016183</t>
  </si>
  <si>
    <t>RPRO-260210-1054</t>
  </si>
  <si>
    <t>RPRO-260210-1056</t>
  </si>
  <si>
    <t>RPRO-260210-1049</t>
  </si>
  <si>
    <t>RPRO-260210-1051</t>
  </si>
  <si>
    <t>RPRO-260210-1053</t>
  </si>
  <si>
    <t>RPRO-260210-1055</t>
  </si>
  <si>
    <t>RPRO-260210-1057</t>
  </si>
  <si>
    <t>RPRO-260210-1059</t>
  </si>
  <si>
    <t>RPRO-260210-1061</t>
  </si>
  <si>
    <t>RPRO-260210-1063</t>
  </si>
  <si>
    <t>RPRO-260210-1065</t>
  </si>
  <si>
    <t>RPRO-260210-1067</t>
  </si>
  <si>
    <t>RPRO-260210-1069</t>
  </si>
  <si>
    <t>RPRO-260210-1058</t>
  </si>
  <si>
    <t>RPRO-260210-1071</t>
  </si>
  <si>
    <t>RPRO-260210-1073</t>
  </si>
  <si>
    <t>RPRO-260210-1060</t>
  </si>
  <si>
    <t>RPRO-260210-1075</t>
  </si>
  <si>
    <t>RPRO-260210-1077</t>
  </si>
  <si>
    <t>RPRO-260210-1079</t>
  </si>
  <si>
    <t>RPRO-260210-1081</t>
  </si>
  <si>
    <t>RPRO-260210-1083</t>
  </si>
  <si>
    <t>DC-017398</t>
  </si>
  <si>
    <t>6LG (PP)LINING KNIT MATTE MICRO (HOOD) REC 44" 250G (PCX#167606) (B)</t>
  </si>
  <si>
    <t>RPRO-260210-1085</t>
  </si>
  <si>
    <t>RPRO-260210-1087</t>
  </si>
  <si>
    <t>RPRO-260210-0790</t>
  </si>
  <si>
    <t>RPRO-260210-1089</t>
  </si>
  <si>
    <t>RPRO-260210-1062</t>
  </si>
  <si>
    <t>6BU (PP)LINING KNIT MATTE MICRO (HOOD) REC 44" 250G (PCX#167606)</t>
  </si>
  <si>
    <t>RPRO-260210-1064</t>
  </si>
  <si>
    <t>RPRO-260210-1066</t>
  </si>
  <si>
    <t>RPRO-260210-1068</t>
  </si>
  <si>
    <t>RPRO-260210-1070</t>
  </si>
  <si>
    <t>RPRO-260210-1093</t>
  </si>
  <si>
    <t>RPRO-260210-1094</t>
  </si>
  <si>
    <t>RPRO-260210-1095</t>
  </si>
  <si>
    <t>RPRO-260210-1096</t>
  </si>
  <si>
    <t>RPRO-260210-1097</t>
  </si>
  <si>
    <t>RPRO-260211-0193</t>
  </si>
  <si>
    <t>DC-017596</t>
  </si>
  <si>
    <t>RPRO-260211-0195</t>
  </si>
  <si>
    <t>RPRO-260211-0197</t>
  </si>
  <si>
    <t>RPRO-260211-0199</t>
  </si>
  <si>
    <t>RPRO-260211-0201</t>
  </si>
  <si>
    <t>RPRO-260211-0203</t>
  </si>
  <si>
    <t>RPRO-260211-0205</t>
  </si>
  <si>
    <t>RPRO-260211-0207</t>
  </si>
  <si>
    <t>44B (PP)LINING KNIT MATTE MICRO (HOOD) REC 44" 250G (PCX#167606) (B)</t>
  </si>
  <si>
    <t>RPRO-260211-0209</t>
  </si>
  <si>
    <t>RPRO-260211-0211</t>
  </si>
  <si>
    <t>RPRO-260211-0213</t>
  </si>
  <si>
    <t>RPRO-260211-0215</t>
  </si>
  <si>
    <t>RPRO-260211-0217</t>
  </si>
  <si>
    <t>RPRO-260211-0219</t>
  </si>
  <si>
    <t>RPRO-260211-0221</t>
  </si>
  <si>
    <t>RPRO-260211-0223</t>
  </si>
  <si>
    <t>RPRO-260211-0225</t>
  </si>
  <si>
    <t>RPRO-260211-0227</t>
  </si>
  <si>
    <t>62Z (PP)LINING KNIT MATTE MICRO (HOOD) REC 44" 250G (PCX#167606)</t>
  </si>
  <si>
    <t>RPRO-260211-0229</t>
  </si>
  <si>
    <t>RPRO-260211-0231</t>
  </si>
  <si>
    <t>RPRO-260211-0233</t>
  </si>
  <si>
    <t>12B (PP)LINING KNIT MATTE MICRO (HOOD) REC 44" 250G (PCX#167606)</t>
  </si>
  <si>
    <t>RPRO-260211-0235</t>
  </si>
  <si>
    <t>RPRO-260211-0237</t>
  </si>
  <si>
    <t>RPRO-260211-0239</t>
  </si>
  <si>
    <t>RPRO-260211-0241</t>
  </si>
  <si>
    <t>RPRO-260211-0243</t>
  </si>
  <si>
    <t>RPRO-260211-0245</t>
  </si>
  <si>
    <t>RPRO-260211-0247</t>
  </si>
  <si>
    <t>RPRO-260211-0249</t>
  </si>
  <si>
    <t>RPRO-260211-0251</t>
  </si>
  <si>
    <t>RPRO-260211-0253</t>
  </si>
  <si>
    <t>RPRO-260211-0255</t>
  </si>
  <si>
    <t>RPRO-260211-0257</t>
  </si>
  <si>
    <t>RPRO-260211-0259</t>
  </si>
  <si>
    <t>RPRO-260211-0261</t>
  </si>
  <si>
    <t>RPRO-260211-0263</t>
  </si>
  <si>
    <t>RPRO-260211-0265</t>
  </si>
  <si>
    <t>RPRO-260211-0267</t>
  </si>
  <si>
    <t>RPRO-260211-0269</t>
  </si>
  <si>
    <t>RPRO-260211-0271</t>
  </si>
  <si>
    <t>RPRO-260211-0273</t>
  </si>
  <si>
    <t>RPRO-260211-0275</t>
  </si>
  <si>
    <t>RPRO-260211-0187</t>
  </si>
  <si>
    <t>DC-018233</t>
  </si>
  <si>
    <t>RPRO-260211-0188</t>
  </si>
  <si>
    <t>RPRO-260211-0189</t>
  </si>
  <si>
    <t>DC-018235</t>
  </si>
  <si>
    <t>RPRO-260211-0190</t>
  </si>
  <si>
    <t>RPRO-260211-0192</t>
  </si>
  <si>
    <t>RPRO-260211-0194</t>
  </si>
  <si>
    <t>RPRO-260211-0196</t>
  </si>
  <si>
    <t>RPRO-260211-0198</t>
  </si>
  <si>
    <t>RPRO-260211-0277</t>
  </si>
  <si>
    <t>DC-018234</t>
  </si>
  <si>
    <t>RPRO-260211-0279</t>
  </si>
  <si>
    <t>RPRO-260211-0281</t>
  </si>
  <si>
    <t>DC-014238</t>
  </si>
  <si>
    <t>RPRO-260211-0283</t>
  </si>
  <si>
    <t>DC-018236</t>
  </si>
  <si>
    <t>RPRO-260211-0285</t>
  </si>
  <si>
    <t>RPRO-260211-0287</t>
  </si>
  <si>
    <t>DC-018237</t>
  </si>
  <si>
    <t>RPRO-260211-0289</t>
  </si>
  <si>
    <t>RPRO-260211-0291</t>
  </si>
  <si>
    <t>RPRO-260211-0293</t>
  </si>
  <si>
    <t>DC-018231</t>
  </si>
  <si>
    <t>RPRO-260211-0295</t>
  </si>
  <si>
    <t>RPRO-260211-0297</t>
  </si>
  <si>
    <t>RPRO-260211-0202</t>
  </si>
  <si>
    <t>DC-017520</t>
  </si>
  <si>
    <t>11K MERRY MESH LJ-B540-EPM5 1TONE DTY REC (PCX#206190)(MCS#LU1P/PK5929) 44" 250G</t>
  </si>
  <si>
    <t>RPRO-260211-0305</t>
  </si>
  <si>
    <t>RPRO-260211-0307</t>
  </si>
  <si>
    <t>RPRO-260211-0309</t>
  </si>
  <si>
    <t>0AE (PP)LINING KNIT MATTE MICRO (HOOD) REC 44" 250G (PCX#167606)</t>
  </si>
  <si>
    <t>RPRO-260211-0311</t>
  </si>
  <si>
    <t>RPRO-260211-0313</t>
  </si>
  <si>
    <t>RPRO-260211-0315</t>
  </si>
  <si>
    <t>RPRO-260211-0317</t>
  </si>
  <si>
    <t>RPRO-260211-0222</t>
  </si>
  <si>
    <t>RPRO-260211-0228</t>
  </si>
  <si>
    <t>RPRO-260211-0274</t>
  </si>
  <si>
    <t>RPRO-260211-0294</t>
  </si>
  <si>
    <t>DC-016644</t>
  </si>
  <si>
    <t>RPRO-260211-0296</t>
  </si>
  <si>
    <t>RPRO-260211-0300</t>
  </si>
  <si>
    <t>RPRO-260211-0321</t>
  </si>
  <si>
    <t>RPRO-260211-0323</t>
  </si>
  <si>
    <t>RPRO-260211-0325</t>
  </si>
  <si>
    <t>DC-017464</t>
  </si>
  <si>
    <t>6JB (PP)LINING KNIT MATTE MICRO (HOOD) REC 44" 250G (PCX#167606) (C)</t>
  </si>
  <si>
    <t>DC-017554</t>
  </si>
  <si>
    <t>RPRO-260211-0329</t>
  </si>
  <si>
    <t>RPRO-260211-0351</t>
  </si>
  <si>
    <t>RPRO-260211-0353</t>
  </si>
  <si>
    <t>DC-017362</t>
  </si>
  <si>
    <t>04J (PP)LINING KNIT MATTE MICRO (HOOD) REC 44" 250G (PCX#167606)</t>
  </si>
  <si>
    <t>RPRO-260211-0312</t>
  </si>
  <si>
    <t>DC-018243</t>
  </si>
  <si>
    <t>RPRO-260211-0314</t>
  </si>
  <si>
    <t>RPRO-260211-0316</t>
  </si>
  <si>
    <t>RPRO-260211-0318</t>
  </si>
  <si>
    <t>RPRO-260211-0320</t>
  </si>
  <si>
    <t>RPRO-260211-0322</t>
  </si>
  <si>
    <t>RPRO-260211-0324</t>
  </si>
  <si>
    <t>RPRO-260211-0326</t>
  </si>
  <si>
    <t>RPRO-260211-0328</t>
  </si>
  <si>
    <t>RPRO-260211-0330</t>
  </si>
  <si>
    <t>RPRO-260211-0332</t>
  </si>
  <si>
    <t>RPRO-260211-0334</t>
  </si>
  <si>
    <t>RPRO-260211-0336</t>
  </si>
  <si>
    <t>RPRO-260211-0338</t>
  </si>
  <si>
    <t>RPRO-260211-0340</t>
  </si>
  <si>
    <t>RPRO-260211-0342</t>
  </si>
  <si>
    <t>RPRO-260211-0344</t>
  </si>
  <si>
    <t>RPRO-260211-0346</t>
  </si>
  <si>
    <t>RPRO-260211-0348</t>
  </si>
  <si>
    <t>RPRO-260211-0350</t>
  </si>
  <si>
    <t>RPRO-260211-0352</t>
  </si>
  <si>
    <t>RPRO-260211-0354</t>
  </si>
  <si>
    <t>RPRO-260211-0356</t>
  </si>
  <si>
    <t>RPRO-260211-0369</t>
  </si>
  <si>
    <t>RPRO-260211-0371</t>
  </si>
  <si>
    <t>RPRO-260211-0373</t>
  </si>
  <si>
    <t>RPRO-260211-0375</t>
  </si>
  <si>
    <t>RPRO-260211-0377</t>
  </si>
  <si>
    <t>RPRO-260211-0379</t>
  </si>
  <si>
    <t>RPRO-260211-0358</t>
  </si>
  <si>
    <t>RPRO-260211-0360</t>
  </si>
  <si>
    <t>RPRO-260211-0381</t>
  </si>
  <si>
    <t>RPRO-260211-0383</t>
  </si>
  <si>
    <t>RPRO-260211-0562</t>
  </si>
  <si>
    <t>RPRO-260211-0385</t>
  </si>
  <si>
    <t>RPRO-260211-0387</t>
  </si>
  <si>
    <t>RPRO-260211-0389</t>
  </si>
  <si>
    <t>RPRO-260211-0391</t>
  </si>
  <si>
    <t>RPRO-260211-0393</t>
  </si>
  <si>
    <t>RPRO-260211-0395</t>
  </si>
  <si>
    <t>RPRO-260211-0397</t>
  </si>
  <si>
    <t>RPRO-260211-0399</t>
  </si>
  <si>
    <t>DC-017605</t>
  </si>
  <si>
    <t>RPRO-260211-0401</t>
  </si>
  <si>
    <t>RPRO-260211-0403</t>
  </si>
  <si>
    <t>RPRO-260211-0405</t>
  </si>
  <si>
    <t>RPRO-260211-0407</t>
  </si>
  <si>
    <t>DC-017539</t>
  </si>
  <si>
    <t>07G (PP)LINING KNIT MATTE MICRO (HOOD) REC 44" 250G (PCX#167606)</t>
  </si>
  <si>
    <t>RPRO-260211-0409</t>
  </si>
  <si>
    <t>DC-018279</t>
  </si>
  <si>
    <t>RPRO-260211-0411</t>
  </si>
  <si>
    <t>RPRO-260211-0413</t>
  </si>
  <si>
    <t>DC-018280</t>
  </si>
  <si>
    <t>4LZ (PP)LINING KNIT MATTE MICRO (HOOD) REC 44" 250G (PCX#167606)</t>
  </si>
  <si>
    <t>RPRO-260211-0415</t>
  </si>
  <si>
    <t>RPRO-260211-0417</t>
  </si>
  <si>
    <t>DC-018278</t>
  </si>
  <si>
    <t>RPRO-260211-0419</t>
  </si>
  <si>
    <t>RPRO-260211-0421</t>
  </si>
  <si>
    <t>DC-018277</t>
  </si>
  <si>
    <t>RPRO-260211-0423</t>
  </si>
  <si>
    <t>RPRO-260211-0425</t>
  </si>
  <si>
    <t>RPRO-260211-0427</t>
  </si>
  <si>
    <t>RPRO-260211-0429</t>
  </si>
  <si>
    <t>RPRO-260211-0431</t>
  </si>
  <si>
    <t>RPRO-260211-0433</t>
  </si>
  <si>
    <t>RPRO-260211-0435</t>
  </si>
  <si>
    <t>RPRO-260211-0437</t>
  </si>
  <si>
    <t>RPRO-260211-0439</t>
  </si>
  <si>
    <t>RPRO-260211-0441</t>
  </si>
  <si>
    <t>DC-017098</t>
  </si>
  <si>
    <t>RPRO-260211-0443</t>
  </si>
  <si>
    <t>RPRO-260211-0445</t>
  </si>
  <si>
    <t>RPRO-260211-0447</t>
  </si>
  <si>
    <t>RPRO-260211-0449</t>
  </si>
  <si>
    <t>RPRO-260211-0451</t>
  </si>
  <si>
    <t>RPRO-260211-0453</t>
  </si>
  <si>
    <t>RPRO-260211-0455</t>
  </si>
  <si>
    <t>RPRO-260211-0459</t>
  </si>
  <si>
    <t>RPRO-260211-0461</t>
  </si>
  <si>
    <t>RPRO-260211-0463</t>
  </si>
  <si>
    <t>RPRO-260211-0465</t>
  </si>
  <si>
    <t>RPRO-260211-0467</t>
  </si>
  <si>
    <t>RPRO-260211-0469</t>
  </si>
  <si>
    <t>RPRO-260211-0471</t>
  </si>
  <si>
    <t>RPRO-260211-0473</t>
  </si>
  <si>
    <t>RPRO-260211-0475</t>
  </si>
  <si>
    <t>RPRO-260211-0477</t>
  </si>
  <si>
    <t>RPRO-260211-0479</t>
  </si>
  <si>
    <t>RPRO-260211-0481</t>
  </si>
  <si>
    <t>RPRO-260211-0483</t>
  </si>
  <si>
    <t>DC-012645</t>
  </si>
  <si>
    <t>RPRO-260211-0485</t>
  </si>
  <si>
    <t>RPRO-260211-0487</t>
  </si>
  <si>
    <t>RPRO-260211-0488</t>
  </si>
  <si>
    <t>RPRO-260211-0490</t>
  </si>
  <si>
    <t>RPRO-260211-0492</t>
  </si>
  <si>
    <t>RPRO-260211-0494</t>
  </si>
  <si>
    <t>RPRO-260211-0496</t>
  </si>
  <si>
    <t>RPRO-260211-0498</t>
  </si>
  <si>
    <t>DC-012942</t>
  </si>
  <si>
    <t>RPRO-260211-0500</t>
  </si>
  <si>
    <t>DC-018266</t>
  </si>
  <si>
    <t>RPRO-260211-0502</t>
  </si>
  <si>
    <t>RPRO-260211-0504</t>
  </si>
  <si>
    <t>RPRO-260211-0506</t>
  </si>
  <si>
    <t>RPRO-260211-0508</t>
  </si>
  <si>
    <t>DC-011197</t>
  </si>
  <si>
    <t>RPRO-260211-0510</t>
  </si>
  <si>
    <t>RPRO-260211-0512</t>
  </si>
  <si>
    <t>RPRO-260211-0514</t>
  </si>
  <si>
    <t>DC-004396</t>
  </si>
  <si>
    <t>RPRO-260211-0516</t>
  </si>
  <si>
    <t>RPRO-260211-0518</t>
  </si>
  <si>
    <t>RPRO-260211-0520</t>
  </si>
  <si>
    <t>DC-016194</t>
  </si>
  <si>
    <t>RPRO-260211-0522</t>
  </si>
  <si>
    <t>RPRO-260211-0524</t>
  </si>
  <si>
    <t>RPRO-260211-0526</t>
  </si>
  <si>
    <t>RPRO-260211-0362</t>
  </si>
  <si>
    <t>RPRO-260211-0364</t>
  </si>
  <si>
    <t>RPRO-260211-0370</t>
  </si>
  <si>
    <t>RPRO-260211-0374</t>
  </si>
  <si>
    <t>RPRO-260211-0376</t>
  </si>
  <si>
    <t>RPRO-260211-0378</t>
  </si>
  <si>
    <t>RPRO-260211-0380</t>
  </si>
  <si>
    <t>RPRO-260211-0382</t>
  </si>
  <si>
    <t>RPRO-260211-0384</t>
  </si>
  <si>
    <t>RPRO-260211-0386</t>
  </si>
  <si>
    <t>4MT (PP)LINING KNIT MATTE MICRO (HOOD) REC 44" 250G (PCX#167606) (A)</t>
  </si>
  <si>
    <t>RPRO-260211-0388</t>
  </si>
  <si>
    <t>RPRO-260211-0442</t>
  </si>
  <si>
    <t>RPRO-260211-0448</t>
  </si>
  <si>
    <t>RPRO-260211-0450</t>
  </si>
  <si>
    <t>RPRO-260211-0452</t>
  </si>
  <si>
    <t>RPRO-260211-0454</t>
  </si>
  <si>
    <t>RPRO-260211-0456</t>
  </si>
  <si>
    <t>RPRO-260211-0458</t>
  </si>
  <si>
    <t>RPRO-260211-0460</t>
  </si>
  <si>
    <t>RPRO-260211-0462</t>
  </si>
  <si>
    <t>RPRO-260211-0464</t>
  </si>
  <si>
    <t>RPRO-260211-0466</t>
  </si>
  <si>
    <t>RPRO-260211-0468</t>
  </si>
  <si>
    <t>RPRO-260211-0470</t>
  </si>
  <si>
    <t>RPRO-260211-0472</t>
  </si>
  <si>
    <t>RPRO-260211-0474</t>
  </si>
  <si>
    <t>RPRO-260211-0528</t>
  </si>
  <si>
    <t>RPRO-260211-0530</t>
  </si>
  <si>
    <t>RPRO-260211-0532</t>
  </si>
  <si>
    <t>RPRO-260211-0534</t>
  </si>
  <si>
    <t>RPRO-260211-0536</t>
  </si>
  <si>
    <t>RPRO-260211-0476</t>
  </si>
  <si>
    <t>RPRO-260211-0478</t>
  </si>
  <si>
    <t>RPRO-260211-0480</t>
  </si>
  <si>
    <t>RPRO-260211-0484</t>
  </si>
  <si>
    <t>RPRO-260211-0486</t>
  </si>
  <si>
    <t>RPRO-260211-0489</t>
  </si>
  <si>
    <t>RPRO-260211-0491</t>
  </si>
  <si>
    <t>RPRO-260211-0493</t>
  </si>
  <si>
    <t>RPRO-260211-0495</t>
  </si>
  <si>
    <t>RPRO-260211-0497</t>
  </si>
  <si>
    <t>RPRO-260211-0499</t>
  </si>
  <si>
    <t>RPRO-260211-0501</t>
  </si>
  <si>
    <t>RPRO-260211-0503</t>
  </si>
  <si>
    <t>RPRO-260211-0505</t>
  </si>
  <si>
    <t>RPRO-260211-0507</t>
  </si>
  <si>
    <t>DC-009190</t>
  </si>
  <si>
    <t>RPRO-260211-0509</t>
  </si>
  <si>
    <t>RPRO-260211-0511</t>
  </si>
  <si>
    <t>RPRO-260211-0513</t>
  </si>
  <si>
    <t>RPRO-260211-0515</t>
  </si>
  <si>
    <t>RPRO-260211-0517</t>
  </si>
  <si>
    <t>RPRO-260211-0519</t>
  </si>
  <si>
    <t>DC-009126</t>
  </si>
  <si>
    <t>RPRO-260225-0744</t>
  </si>
  <si>
    <t>RPRO-260225-0745</t>
  </si>
  <si>
    <t>RPRO-260225-0746</t>
  </si>
  <si>
    <t>RPRO-260211-0521</t>
  </si>
  <si>
    <t>RPRO-260211-0523</t>
  </si>
  <si>
    <t>RPRO-260211-0525</t>
  </si>
  <si>
    <t>RPRO-260211-0527</t>
  </si>
  <si>
    <t>RPRO-260211-0529</t>
  </si>
  <si>
    <t>RPRO-260211-0531</t>
  </si>
  <si>
    <t>RPRO-260211-0533</t>
  </si>
  <si>
    <t>RPRO-260211-0535</t>
  </si>
  <si>
    <t>RPRO-260211-0537</t>
  </si>
  <si>
    <t>RPRO-260211-0538</t>
  </si>
  <si>
    <t>RPRO-260211-0539</t>
  </si>
  <si>
    <t>RPRO-260211-0540</t>
  </si>
  <si>
    <t>RPRO-260211-0541</t>
  </si>
  <si>
    <t>RPRO-260211-0542</t>
  </si>
  <si>
    <t>RPRO-260211-0543</t>
  </si>
  <si>
    <t>RPRO-260211-0544</t>
  </si>
  <si>
    <t>RPRO-260211-0545</t>
  </si>
  <si>
    <t>RPRO-260211-0546</t>
  </si>
  <si>
    <t>RPRO-260211-0547</t>
  </si>
  <si>
    <t>RPRO-260211-0548</t>
  </si>
  <si>
    <t>RPRO-260211-0549</t>
  </si>
  <si>
    <t>RPRO-260211-0550</t>
  </si>
  <si>
    <t>RPRO-260211-0551</t>
  </si>
  <si>
    <t>RPRO-260211-0552</t>
  </si>
  <si>
    <t>RPRO-260211-0553</t>
  </si>
  <si>
    <t>RPRO-260211-0554</t>
  </si>
  <si>
    <t>RPRO-260211-0555</t>
  </si>
  <si>
    <t>RPRO-260211-0556</t>
  </si>
  <si>
    <t>RPRO-260211-0557</t>
  </si>
  <si>
    <t>RPRO-260211-0558</t>
  </si>
  <si>
    <t>RPRO-260211-0559</t>
  </si>
  <si>
    <t>RPRO-260225-0019</t>
  </si>
  <si>
    <t>DC-018288</t>
  </si>
  <si>
    <t>OrthoLite Ultra-Hybrid-Nike SEEDPEARL/12-0703TPX Hybrid 0.085D 25+/-4 Asker C 1.1M 2M 2mm</t>
  </si>
  <si>
    <t>RPRO-260225-0020</t>
  </si>
  <si>
    <t>RPRO-260225-0021</t>
  </si>
  <si>
    <t>RPRO-260225-0022</t>
  </si>
  <si>
    <t>RPRO-260225-0023</t>
  </si>
  <si>
    <t>RPRO-260225-0024</t>
  </si>
  <si>
    <t>RPRO-260225-0026</t>
  </si>
  <si>
    <t>RPRO-260225-0029</t>
  </si>
  <si>
    <t>RPRO-260225-0032</t>
  </si>
  <si>
    <t>RPRO-260225-0035</t>
  </si>
  <si>
    <t>RPRO-260225-0038</t>
  </si>
  <si>
    <t>RPRO-260225-0059</t>
  </si>
  <si>
    <t>DC-018270</t>
  </si>
  <si>
    <t>3AX (PP)LINING KNIT MATTE MICRO (HOOD) REC 44" 250G (PCX#167606)</t>
  </si>
  <si>
    <t>RPRO-260225-0062</t>
  </si>
  <si>
    <t>RPRO-260225-0069</t>
  </si>
  <si>
    <t>RPRO-260225-0075</t>
  </si>
  <si>
    <t>RPRO-260225-0078</t>
  </si>
  <si>
    <t>DC-018289</t>
  </si>
  <si>
    <t>RPRO-260225-0081</t>
  </si>
  <si>
    <t>RPRO-260225-0084</t>
  </si>
  <si>
    <t>RPRO-260225-0087</t>
  </si>
  <si>
    <t>RPRO-260225-0089</t>
  </si>
  <si>
    <t>RPRO-260225-0091</t>
  </si>
  <si>
    <t>RPRO-260225-0093</t>
  </si>
  <si>
    <t>RPRO-260225-0095</t>
  </si>
  <si>
    <t>RPRO-260225-0097</t>
  </si>
  <si>
    <t>RPRO-260225-0099</t>
  </si>
  <si>
    <t>RPRO-260225-0101</t>
  </si>
  <si>
    <t>RPRO-260225-0103</t>
  </si>
  <si>
    <t>RPRO-260225-0105</t>
  </si>
  <si>
    <t>RPRO-260225-0107</t>
  </si>
  <si>
    <t>RPRO-260225-0109</t>
  </si>
  <si>
    <t>RPRO-260225-0111</t>
  </si>
  <si>
    <t>RPRO-260225-0113</t>
  </si>
  <si>
    <t>RPRO-260225-0115</t>
  </si>
  <si>
    <t>RPRO-260225-0885</t>
  </si>
  <si>
    <t>RPRO-260225-0190</t>
  </si>
  <si>
    <t>RPRO-260225-0192</t>
  </si>
  <si>
    <t>RPRO-260225-0194</t>
  </si>
  <si>
    <t>09R (PP)LINING KNIT MATTE MICRO (HOOD) REC 44" 250G (PCX#167606)</t>
  </si>
  <si>
    <t>RPRO-260225-0196</t>
  </si>
  <si>
    <t>DC-018304</t>
  </si>
  <si>
    <t>66L (PP)LINING KNIT MATTE MICRO (HOOD) REC 44" 250G (PCX#167606)</t>
  </si>
  <si>
    <t>RPRO-260225-0198</t>
  </si>
  <si>
    <t>RPRO-260225-0200</t>
  </si>
  <si>
    <t>RPRO-260225-0202</t>
  </si>
  <si>
    <t>RPRO-260225-0204</t>
  </si>
  <si>
    <t>RPRO-260225-0206</t>
  </si>
  <si>
    <t>RPRO-260225-0208</t>
  </si>
  <si>
    <t>RPRO-260225-0210</t>
  </si>
  <si>
    <t>RPRO-260225-0212</t>
  </si>
  <si>
    <t>RPRO-260225-0214</t>
  </si>
  <si>
    <t>RPRO-260225-0216</t>
  </si>
  <si>
    <t>DC-016876</t>
  </si>
  <si>
    <t>RPRO-260225-0218</t>
  </si>
  <si>
    <t>RPRO-260225-0220</t>
  </si>
  <si>
    <t>RPRO-260225-0222</t>
  </si>
  <si>
    <t>RPRO-260225-0224</t>
  </si>
  <si>
    <t>DC-016226</t>
  </si>
  <si>
    <t>RPRO-260225-0226</t>
  </si>
  <si>
    <t>RPRO-260225-0228</t>
  </si>
  <si>
    <t>RPRO-260225-0230</t>
  </si>
  <si>
    <t>RPRO-260225-0232</t>
  </si>
  <si>
    <t>RPRO-260225-0234</t>
  </si>
  <si>
    <t>RPRO-260225-0236</t>
  </si>
  <si>
    <t>RPRO-260225-0238</t>
  </si>
  <si>
    <t>RPRO-260225-0240</t>
  </si>
  <si>
    <t>RPRO-260225-0242</t>
  </si>
  <si>
    <t>RPRO-260225-0244</t>
  </si>
  <si>
    <t>RPRO-260225-0246</t>
  </si>
  <si>
    <t>RPRO-260225-0248</t>
  </si>
  <si>
    <t>RPRO-260225-0250</t>
  </si>
  <si>
    <t>RPRO-260225-0252</t>
  </si>
  <si>
    <t>RPRO-260225-0254</t>
  </si>
  <si>
    <t>RPRO-260225-0256</t>
  </si>
  <si>
    <t>RPRO-260225-0258</t>
  </si>
  <si>
    <t>RPRO-260225-0260</t>
  </si>
  <si>
    <t>RPRO-260225-0262</t>
  </si>
  <si>
    <t>RPRO-260225-0264</t>
  </si>
  <si>
    <t>RPRO-260225-0266</t>
  </si>
  <si>
    <t>RPRO-260225-0268</t>
  </si>
  <si>
    <t>RPRO-260225-0270</t>
  </si>
  <si>
    <t>RPRO-260225-0272</t>
  </si>
  <si>
    <t>RPRO-260225-0274</t>
  </si>
  <si>
    <t>RPRO-260225-0276</t>
  </si>
  <si>
    <t>RPRO-260225-0278</t>
  </si>
  <si>
    <t>RPRO-260225-0280</t>
  </si>
  <si>
    <t>RPRO-260225-0282</t>
  </si>
  <si>
    <t>RPRO-260225-0284</t>
  </si>
  <si>
    <t>RPRO-260225-0286</t>
  </si>
  <si>
    <t>RPRO-260225-0288</t>
  </si>
  <si>
    <t>RPRO-260225-0290</t>
  </si>
  <si>
    <t>RPRO-260225-0292</t>
  </si>
  <si>
    <t>RPRO-260225-0294</t>
  </si>
  <si>
    <t>RPRO-260225-0296</t>
  </si>
  <si>
    <t>RPRO-260225-0298</t>
  </si>
  <si>
    <t>RPRO-260225-0300</t>
  </si>
  <si>
    <t>RPRO-260225-0302</t>
  </si>
  <si>
    <t>RPRO-260225-0304</t>
  </si>
  <si>
    <t>RPRO-260225-0306</t>
  </si>
  <si>
    <t>RPRO-260225-0308</t>
  </si>
  <si>
    <t>RPRO-260225-0310</t>
  </si>
  <si>
    <t>RPRO-260225-0312</t>
  </si>
  <si>
    <t>RPRO-260225-0314</t>
  </si>
  <si>
    <t>RPRO-260225-0316</t>
  </si>
  <si>
    <t>RPRO-260225-0318</t>
  </si>
  <si>
    <t>RPRO-260225-0320</t>
  </si>
  <si>
    <t>RPRO-260225-0322</t>
  </si>
  <si>
    <t>RPRO-260225-0324</t>
  </si>
  <si>
    <t>RPRO-260225-0326</t>
  </si>
  <si>
    <t>RPRO-260225-0328</t>
  </si>
  <si>
    <t>RPRO-260225-0330</t>
  </si>
  <si>
    <t>RPRO-260225-0332</t>
  </si>
  <si>
    <t>RPRO-260225-0334</t>
  </si>
  <si>
    <t>RPRO-260225-0336</t>
  </si>
  <si>
    <t>RPRO-260225-0338</t>
  </si>
  <si>
    <t>RPRO-260225-0340</t>
  </si>
  <si>
    <t>RPRO-260225-0342</t>
  </si>
  <si>
    <t>RPRO-260225-0344</t>
  </si>
  <si>
    <t>RPRO-260225-0346</t>
  </si>
  <si>
    <t>RPRO-260225-0348</t>
  </si>
  <si>
    <t>RPRO-260225-0350</t>
  </si>
  <si>
    <t>RPRO-260225-0352</t>
  </si>
  <si>
    <t>RPRO-260225-0354</t>
  </si>
  <si>
    <t>RPRO-260225-0356</t>
  </si>
  <si>
    <t>RPRO-260225-0358</t>
  </si>
  <si>
    <t>RPRO-260225-0360</t>
  </si>
  <si>
    <t>RPRO-260225-0362</t>
  </si>
  <si>
    <t>RPRO-260225-0364</t>
  </si>
  <si>
    <t>RPRO-260225-0366</t>
  </si>
  <si>
    <t>RPRO-260225-0368</t>
  </si>
  <si>
    <t>RPRO-260225-0370</t>
  </si>
  <si>
    <t>RPRO-260225-0372</t>
  </si>
  <si>
    <t>RPRO-260225-0374</t>
  </si>
  <si>
    <t>RPRO-260225-0376</t>
  </si>
  <si>
    <t>RPRO-260225-0378</t>
  </si>
  <si>
    <t>RPRO-260225-0380</t>
  </si>
  <si>
    <t>RPRO-260225-0382</t>
  </si>
  <si>
    <t>RPRO-260225-0384</t>
  </si>
  <si>
    <t>RPRO-260225-0386</t>
  </si>
  <si>
    <t>RPRO-260225-0388</t>
  </si>
  <si>
    <t>RPRO-260225-0390</t>
  </si>
  <si>
    <t>RPRO-260225-0392</t>
  </si>
  <si>
    <t>RPRO-260225-0394</t>
  </si>
  <si>
    <t>RPRO-260225-0396</t>
  </si>
  <si>
    <t>RPRO-260225-0398</t>
  </si>
  <si>
    <t>RPRO-260225-0400</t>
  </si>
  <si>
    <t>RPRO-260225-0402</t>
  </si>
  <si>
    <t>RPRO-260225-0025</t>
  </si>
  <si>
    <t>RPRO-260225-0027</t>
  </si>
  <si>
    <t>RPRO-260225-0030</t>
  </si>
  <si>
    <t>RPRO-260225-0033</t>
  </si>
  <si>
    <t>RPRO-260225-0036</t>
  </si>
  <si>
    <t>RPRO-260225-0039</t>
  </si>
  <si>
    <t>RPRO-260225-0042</t>
  </si>
  <si>
    <t>RPRO-260225-0045</t>
  </si>
  <si>
    <t>RPRO-260225-0048</t>
  </si>
  <si>
    <t>RPRO-260225-0051</t>
  </si>
  <si>
    <t>RPRO-260225-0054</t>
  </si>
  <si>
    <t>RPRO-260225-0057</t>
  </si>
  <si>
    <t>RPRO-260225-0060</t>
  </si>
  <si>
    <t>RPRO-260225-0063</t>
  </si>
  <si>
    <t>RPRO-260225-0065</t>
  </si>
  <si>
    <t>RPRO-260225-0067</t>
  </si>
  <si>
    <t>RPRO-260225-0070</t>
  </si>
  <si>
    <t>RPRO-260225-0073</t>
  </si>
  <si>
    <t>RPRO-260225-0076</t>
  </si>
  <si>
    <t>RPRO-260225-0079</t>
  </si>
  <si>
    <t>RPRO-260225-0082</t>
  </si>
  <si>
    <t>RPRO-260225-0085</t>
  </si>
  <si>
    <t>RPRO-260225-0088</t>
  </si>
  <si>
    <t>RPRO-260225-0090</t>
  </si>
  <si>
    <t>RPRO-260225-0092</t>
  </si>
  <si>
    <t>RPRO-260225-0094</t>
  </si>
  <si>
    <t>RPRO-260225-0096</t>
  </si>
  <si>
    <t>RPRO-260225-0098</t>
  </si>
  <si>
    <t>RPRO-260225-0100</t>
  </si>
  <si>
    <t>RPRO-260225-0102</t>
  </si>
  <si>
    <t>RPRO-260225-0104</t>
  </si>
  <si>
    <t>RPRO-260225-0106</t>
  </si>
  <si>
    <t>RPRO-260225-0108</t>
  </si>
  <si>
    <t>RPRO-260225-0110</t>
  </si>
  <si>
    <t>RPRO-260225-0112</t>
  </si>
  <si>
    <t>RPRO-260225-0114</t>
  </si>
  <si>
    <t>RPRO-260225-0116</t>
  </si>
  <si>
    <t>RPRO-260225-0118</t>
  </si>
  <si>
    <t>RPRO-260225-0120</t>
  </si>
  <si>
    <t>RPRO-260225-0122</t>
  </si>
  <si>
    <t>RPRO-260225-0124</t>
  </si>
  <si>
    <t>RPRO-260225-0126</t>
  </si>
  <si>
    <t>RPRO-260225-0128</t>
  </si>
  <si>
    <t>RPRO-260225-0130</t>
  </si>
  <si>
    <t>RPRO-260225-0132</t>
  </si>
  <si>
    <t>RPRO-260225-0134</t>
  </si>
  <si>
    <t>RPRO-260225-0136</t>
  </si>
  <si>
    <t>RPRO-260225-0138</t>
  </si>
  <si>
    <t>RPRO-260225-0140</t>
  </si>
  <si>
    <t>RPRO-260225-0142</t>
  </si>
  <si>
    <t>RPRO-260225-0144</t>
  </si>
  <si>
    <t>RPRO-260225-0146</t>
  </si>
  <si>
    <t>RPRO-260225-0147</t>
  </si>
  <si>
    <t>RPRO-260225-0149</t>
  </si>
  <si>
    <t>RPRO-260225-0169</t>
  </si>
  <si>
    <t>RPRO-260225-0171</t>
  </si>
  <si>
    <t>RPRO-260225-0173</t>
  </si>
  <si>
    <t>RPRO-260225-0175</t>
  </si>
  <si>
    <t>RPRO-260225-0177</t>
  </si>
  <si>
    <t>00A (PP)LINING,KNIT,MATTE,FLAT (FRESNO),REC-RYP 44" 210G (PCX #100075)</t>
  </si>
  <si>
    <t>RPRO-260225-0179</t>
  </si>
  <si>
    <t>DC-017485</t>
  </si>
  <si>
    <t>RPRO-260225-0181</t>
  </si>
  <si>
    <t>RPRO-260225-0183</t>
  </si>
  <si>
    <t>RPRO-260225-0185</t>
  </si>
  <si>
    <t>RPRO-260225-0187</t>
  </si>
  <si>
    <t>RPRO-260225-0193</t>
  </si>
  <si>
    <t>RPRO-260225-0195</t>
  </si>
  <si>
    <t>RPRO-260225-0406</t>
  </si>
  <si>
    <t>RPRO-260225-0408</t>
  </si>
  <si>
    <t>RPRO-260225-0410</t>
  </si>
  <si>
    <t>RPRO-260225-0411</t>
  </si>
  <si>
    <t>RPRO-260225-0412</t>
  </si>
  <si>
    <t>RPRO-260225-0413</t>
  </si>
  <si>
    <t>RPRO-260225-0414</t>
  </si>
  <si>
    <t>RPRO-260225-0415</t>
  </si>
  <si>
    <t>RPRO-260225-0416</t>
  </si>
  <si>
    <t>RPRO-260225-0417</t>
  </si>
  <si>
    <t>RPRO-260225-0201</t>
  </si>
  <si>
    <t>RPRO-260225-0203</t>
  </si>
  <si>
    <t>RPRO-260225-0205</t>
  </si>
  <si>
    <t>RPRO-260225-0207</t>
  </si>
  <si>
    <t>RPRO-260225-0209</t>
  </si>
  <si>
    <t>RPRO-260225-0211</t>
  </si>
  <si>
    <t>RPRO-260225-0213</t>
  </si>
  <si>
    <t>RPRO-260225-0215</t>
  </si>
  <si>
    <t>RPRO-260225-0217</t>
  </si>
  <si>
    <t>RPRO-260225-0219</t>
  </si>
  <si>
    <t>RPRO-260225-0221</t>
  </si>
  <si>
    <t>RPRO-260225-0223</t>
  </si>
  <si>
    <t>RPRO-260225-0225</t>
  </si>
  <si>
    <t>RPRO-260225-0227</t>
  </si>
  <si>
    <t>RPRO-260225-0229</t>
  </si>
  <si>
    <t>RPRO-260225-0231</t>
  </si>
  <si>
    <t>RPRO-260225-0233</t>
  </si>
  <si>
    <t>RPRO-260225-0235</t>
  </si>
  <si>
    <t>RPRO-260225-0237</t>
  </si>
  <si>
    <t>RPRO-260225-0239</t>
  </si>
  <si>
    <t>RPRO-260225-0241</t>
  </si>
  <si>
    <t>RPRO-260225-0243</t>
  </si>
  <si>
    <t>RPRO-260225-0245</t>
  </si>
  <si>
    <t>RPRO-260225-0247</t>
  </si>
  <si>
    <t>RPRO-260225-0249</t>
  </si>
  <si>
    <t>RPRO-260225-0251</t>
  </si>
  <si>
    <t>RPRO-260225-0253</t>
  </si>
  <si>
    <t>RPRO-260225-0255</t>
  </si>
  <si>
    <t>RPRO-260225-0257</t>
  </si>
  <si>
    <t>RPRO-260225-0259</t>
  </si>
  <si>
    <t>RPRO-260225-0261</t>
  </si>
  <si>
    <t>RPRO-260225-0263</t>
  </si>
  <si>
    <t>RPRO-260225-0265</t>
  </si>
  <si>
    <t>RPRO-260225-0267</t>
  </si>
  <si>
    <t>RPRO-260225-0269</t>
  </si>
  <si>
    <t>RPRO-260225-0271</t>
  </si>
  <si>
    <t>RPRO-260225-0273</t>
  </si>
  <si>
    <t>RPRO-260225-0275</t>
  </si>
  <si>
    <t>RPRO-260225-0277</t>
  </si>
  <si>
    <t>RPRO-260225-0279</t>
  </si>
  <si>
    <t>RPRO-260225-0281</t>
  </si>
  <si>
    <t>RPRO-260225-0283</t>
  </si>
  <si>
    <t>RPRO-260225-0285</t>
  </si>
  <si>
    <t>RPRO-260225-0287</t>
  </si>
  <si>
    <t>RPRO-260225-0289</t>
  </si>
  <si>
    <t>RPRO-260225-0291</t>
  </si>
  <si>
    <t>RPRO-260225-0293</t>
  </si>
  <si>
    <t>RPRO-260225-0295</t>
  </si>
  <si>
    <t>RPRO-260225-0409</t>
  </si>
  <si>
    <t>62F (PP)LINING KNIT BRUSHED RIO REC 44" 230G (PCX #100073)</t>
  </si>
  <si>
    <t>RPRO-260226-0008</t>
  </si>
  <si>
    <t>RPRO-260226-0020</t>
  </si>
  <si>
    <t>RPRO-260226-0021</t>
  </si>
  <si>
    <t>DC-018360</t>
  </si>
  <si>
    <t>70Q (PP)LINING KNIT MATTE MICRO (HOOD) REC 44" 250G (PCX#167606)</t>
  </si>
  <si>
    <t>RPRO-260226-0084</t>
  </si>
  <si>
    <t>RPRO-260226-0085</t>
  </si>
  <si>
    <t>RPRO-260226-0118</t>
  </si>
  <si>
    <t>DC-017194</t>
  </si>
  <si>
    <t>RPRO-260226-0119</t>
  </si>
  <si>
    <t>RPRO-260226-0120</t>
  </si>
  <si>
    <t>RPRO-260226-0121</t>
  </si>
  <si>
    <t>RPRO-260226-0122</t>
  </si>
  <si>
    <t>RPRO-260226-0123</t>
  </si>
  <si>
    <t>RPRO-260226-0133</t>
  </si>
  <si>
    <t>RPRO-260226-0134</t>
  </si>
  <si>
    <t>RPRO-260226-0135</t>
  </si>
  <si>
    <t>RPRO-260226-0136</t>
  </si>
  <si>
    <t>RPRO-260226-0137</t>
  </si>
  <si>
    <t>RPRO-260226-0138</t>
  </si>
  <si>
    <t>RPRO-260226-0139</t>
  </si>
  <si>
    <t>RPRO-260226-0140</t>
  </si>
  <si>
    <t>RPRO-260226-0141</t>
  </si>
  <si>
    <t>RPRO-260226-0142</t>
  </si>
  <si>
    <t>RPRO-260226-0143</t>
  </si>
  <si>
    <t>RPRO-260226-0144</t>
  </si>
  <si>
    <t>RPRO-260226-0145</t>
  </si>
  <si>
    <t>RPRO-260226-0146</t>
  </si>
  <si>
    <t>RPRO-260226-0147</t>
  </si>
  <si>
    <t>RPRO-260226-0148</t>
  </si>
  <si>
    <t>RPRO-260226-0149</t>
  </si>
  <si>
    <t>RPRO-260226-0150</t>
  </si>
  <si>
    <t>RPRO-260226-0168</t>
  </si>
  <si>
    <t>RPRO-260226-0171</t>
  </si>
  <si>
    <t>RPRO-260226-0179</t>
  </si>
  <si>
    <t>RPRO-260226-0180</t>
  </si>
  <si>
    <t>RPRO-260226-0183</t>
  </si>
  <si>
    <t>RPRO-260226-0188</t>
  </si>
  <si>
    <t>RPRO-260225-0892</t>
  </si>
  <si>
    <t>RPRO-260205-0152</t>
  </si>
  <si>
    <t>RPRO-260205-0154</t>
  </si>
  <si>
    <t>RPRO-260205-0165</t>
  </si>
  <si>
    <t>RPRO-260205-0224</t>
  </si>
  <si>
    <t>RPRO-260206-0015</t>
  </si>
  <si>
    <t>DC-014366</t>
  </si>
  <si>
    <t>RPRO-260206-0016</t>
  </si>
  <si>
    <t>RPRO-260206-0019</t>
  </si>
  <si>
    <t>RPRO-260206-0021</t>
  </si>
  <si>
    <t>RPRO-260206-0022</t>
  </si>
  <si>
    <t>RPRO-260209-0040</t>
  </si>
  <si>
    <t>RPRO-260209-0041</t>
  </si>
  <si>
    <t>RPRO-260302-0002</t>
  </si>
  <si>
    <t>DC-017207</t>
  </si>
  <si>
    <t>G-50-L (D-0514) (SKIVING FROM MEDIAL LATERAL TO HEEL)</t>
  </si>
  <si>
    <t>OrthoLite X-35-Hybrid-Nike SEEDPEARL/12-0703TPX Hybrid Flat Sheet 0.145D 25+/-4 Asker C 1.1M 2M 4mm</t>
  </si>
  <si>
    <t>RPRO-260302-0003</t>
  </si>
  <si>
    <t>RPRO-260302-0998</t>
  </si>
  <si>
    <t>RPRO-260302-0999</t>
  </si>
  <si>
    <t>DC-016940</t>
  </si>
  <si>
    <t>RPRO-260302-1022</t>
  </si>
  <si>
    <t>DC-017708</t>
  </si>
  <si>
    <t>G-50-L (D-0514) (SKIVING FROM MEDIAL/LATERAL TO HEEL)</t>
  </si>
  <si>
    <t>RPRO-260302-1023</t>
  </si>
  <si>
    <t>RPRO-260302-1025</t>
  </si>
  <si>
    <t>RPRO-260302-1026</t>
  </si>
  <si>
    <t>RPRO-260302-1027</t>
  </si>
  <si>
    <t>RPRO-260302-1029</t>
  </si>
  <si>
    <t>RPRO-260302-1031</t>
  </si>
  <si>
    <t>RPRO-260302-1033</t>
  </si>
  <si>
    <t>RPRO-260302-1036</t>
  </si>
  <si>
    <t>RPRO-260302-1039</t>
  </si>
  <si>
    <t>RPRO-260302-1041</t>
  </si>
  <si>
    <t>RPRO-260302-1125</t>
  </si>
  <si>
    <t>DC-016701</t>
  </si>
  <si>
    <t>RPRO-260302-1043</t>
  </si>
  <si>
    <t>RPRO-260302-1045</t>
  </si>
  <si>
    <t>RPRO-260302-1047</t>
  </si>
  <si>
    <t>RPRO-260302-1052</t>
  </si>
  <si>
    <t>RPRO-260302-1056</t>
  </si>
  <si>
    <t>RPRO-260227-0363</t>
  </si>
  <si>
    <t>RPRO-260302-1058</t>
  </si>
  <si>
    <t>RPRO-260302-1059</t>
  </si>
  <si>
    <t>RPRO-260302-1060</t>
  </si>
  <si>
    <t>RPRO-260302-1062</t>
  </si>
  <si>
    <t>DC-011263</t>
  </si>
  <si>
    <t>RPRO-260227-0365</t>
  </si>
  <si>
    <t>RPRO-260227-0393</t>
  </si>
  <si>
    <t>RPRO-260227-0394</t>
  </si>
  <si>
    <t>RPRO-260227-0395</t>
  </si>
  <si>
    <t>RPRO-260227-0396</t>
  </si>
  <si>
    <t>RPRO-260227-0397</t>
  </si>
  <si>
    <t>RPRO-260227-0398</t>
  </si>
  <si>
    <t>RPRO-260227-0399</t>
  </si>
  <si>
    <t>RPRO-260227-0400</t>
  </si>
  <si>
    <t>RPRO-260227-0401</t>
  </si>
  <si>
    <t>RPRO-260227-0402</t>
  </si>
  <si>
    <t>RPRO-260227-0403</t>
  </si>
  <si>
    <t>RPRO-260227-0404</t>
  </si>
  <si>
    <t>RPRO-260227-0405</t>
  </si>
  <si>
    <t>RPRO-260227-0406</t>
  </si>
  <si>
    <t>RPRO-260227-0407</t>
  </si>
  <si>
    <t>RPRO-260227-0408</t>
  </si>
  <si>
    <t>DC-018366</t>
  </si>
  <si>
    <t>RPRO-260227-0409</t>
  </si>
  <si>
    <t>DC-018368</t>
  </si>
  <si>
    <t>6CV (PP)LINING,KNIT,MATTE,FLAT (FRESNO),REC-RYP 44" 210G (PCX #100075)</t>
  </si>
  <si>
    <t>RPRO-260227-0470</t>
  </si>
  <si>
    <t>DC-014103</t>
  </si>
  <si>
    <t>RPRO-260227-0471</t>
  </si>
  <si>
    <t>RPRO-260227-0472</t>
  </si>
  <si>
    <t>RPRO-260227-0473</t>
  </si>
  <si>
    <t>RPRO-260227-0474</t>
  </si>
  <si>
    <t>RPRO-260227-0475</t>
  </si>
  <si>
    <t>DC-012632</t>
  </si>
  <si>
    <t>RPRO-260227-0476</t>
  </si>
  <si>
    <t>RPRO-260227-0477</t>
  </si>
  <si>
    <t>RPRO-260227-0478</t>
  </si>
  <si>
    <t>RPRO-260227-0479</t>
  </si>
  <si>
    <t>RPRO-260227-0480</t>
  </si>
  <si>
    <t>RPRO-260227-0481</t>
  </si>
  <si>
    <t>RPRO-260227-0482</t>
  </si>
  <si>
    <t>DC-014606</t>
  </si>
  <si>
    <t>145-17-00 LJ-B1-1-EPM1 44" 180G</t>
  </si>
  <si>
    <t>RPRO-260227-0483</t>
  </si>
  <si>
    <t>RPRO-260227-0484</t>
  </si>
  <si>
    <t>RPRO-260227-0485</t>
  </si>
  <si>
    <t>RPRO-260227-0486</t>
  </si>
  <si>
    <t>RPRO-260227-0487</t>
  </si>
  <si>
    <t>RPRO-260227-0488</t>
  </si>
  <si>
    <t>RPRO-260227-0489</t>
  </si>
  <si>
    <t>RPRO-260227-0490</t>
  </si>
  <si>
    <t>DC-008165</t>
  </si>
  <si>
    <t>RPRO-260227-0491</t>
  </si>
  <si>
    <t>RPRO-260227-0492</t>
  </si>
  <si>
    <t>RPRO-260227-0493</t>
  </si>
  <si>
    <t>RPRO-260227-0494</t>
  </si>
  <si>
    <t>RPRO-260227-0495</t>
  </si>
  <si>
    <t>RPRO-260227-0496</t>
  </si>
  <si>
    <t>RPRO-260227-0497</t>
  </si>
  <si>
    <t>RPRO-260227-0498</t>
  </si>
  <si>
    <t>RPRO-260227-0499</t>
  </si>
  <si>
    <t>RPRO-260227-0500</t>
  </si>
  <si>
    <t>RPRO-260227-0501</t>
  </si>
  <si>
    <t>RPRO-260227-0502</t>
  </si>
  <si>
    <t>RPRO-260227-0503</t>
  </si>
  <si>
    <t>RPRO-260227-0504</t>
  </si>
  <si>
    <t>RPRO-260227-0505</t>
  </si>
  <si>
    <t>RPRO-260227-0506</t>
  </si>
  <si>
    <t>RPRO-260227-0507</t>
  </si>
  <si>
    <t>RPRO-260227-0508</t>
  </si>
  <si>
    <t>RPRO-260227-0509</t>
  </si>
  <si>
    <t>RPRO-260227-0510</t>
  </si>
  <si>
    <t>RPRO-260227-0511</t>
  </si>
  <si>
    <t>RPRO-260227-0512</t>
  </si>
  <si>
    <t>RPRO-260227-0513</t>
  </si>
  <si>
    <t>RPRO-260227-0514</t>
  </si>
  <si>
    <t>RPRO-260227-0515</t>
  </si>
  <si>
    <t>RPRO-260227-0516</t>
  </si>
  <si>
    <t>RPRO-260227-0552</t>
  </si>
  <si>
    <t>RPRO-260227-0553</t>
  </si>
  <si>
    <t>RPRO-260227-0565</t>
  </si>
  <si>
    <t>RPRO-260227-0566</t>
  </si>
  <si>
    <t>RPRO-260227-0567</t>
  </si>
  <si>
    <t>RPRO-260227-0568</t>
  </si>
  <si>
    <t>RPRO-260302-0304</t>
  </si>
  <si>
    <t>RPRO-260302-0307</t>
  </si>
  <si>
    <t>RPRO-260302-0310</t>
  </si>
  <si>
    <t>RPRO-260302-0313</t>
  </si>
  <si>
    <t>RPRO-260302-0316</t>
  </si>
  <si>
    <t>RPRO-260302-0319</t>
  </si>
  <si>
    <t>RPRO-260302-0322</t>
  </si>
  <si>
    <t>RPRO-260302-0325</t>
  </si>
  <si>
    <t>RPRO-260302-0328</t>
  </si>
  <si>
    <t>RPRO-260302-0331</t>
  </si>
  <si>
    <t>RPRO-260302-0334</t>
  </si>
  <si>
    <t>RPRO-260228-0053</t>
  </si>
  <si>
    <t>RPRO-260302-0337</t>
  </si>
  <si>
    <t>RPRO-260302-0340</t>
  </si>
  <si>
    <t>RPRO-260302-0343</t>
  </si>
  <si>
    <t>RPRO-260302-0346</t>
  </si>
  <si>
    <t>RPRO-260302-0349</t>
  </si>
  <si>
    <t>RPRO-260302-0354</t>
  </si>
  <si>
    <t>DC-018446</t>
  </si>
  <si>
    <t>RPRO-260302-0357</t>
  </si>
  <si>
    <t>RPRO-260302-0360</t>
  </si>
  <si>
    <t>DC-018447</t>
  </si>
  <si>
    <t>RPRO-260302-0363</t>
  </si>
  <si>
    <t>DC-018448</t>
  </si>
  <si>
    <t>RPRO-260302-0366</t>
  </si>
  <si>
    <t>RPRO-260302-0369</t>
  </si>
  <si>
    <t>RPRO-260302-0372</t>
  </si>
  <si>
    <t>RPRO-260302-0375</t>
  </si>
  <si>
    <t>RPRO-260302-0378</t>
  </si>
  <si>
    <t>RPRO-260302-0381</t>
  </si>
  <si>
    <t>RPRO-260302-0384</t>
  </si>
  <si>
    <t>RPRO-260302-0387</t>
  </si>
  <si>
    <t>RPRO-260302-0390</t>
  </si>
  <si>
    <t>RPRO-260302-0393</t>
  </si>
  <si>
    <t>RPRO-260302-0396</t>
  </si>
  <si>
    <t>RPRO-260302-0399</t>
  </si>
  <si>
    <t>RPRO-260302-0447</t>
  </si>
  <si>
    <t>RPRO-260302-0450</t>
  </si>
  <si>
    <t>RPRO-260302-0480</t>
  </si>
  <si>
    <t>RPRO-260302-0483</t>
  </si>
  <si>
    <t>RPRO-260302-0486</t>
  </si>
  <si>
    <t>RPRO-260302-0570</t>
  </si>
  <si>
    <t>RPRO-260302-0573</t>
  </si>
  <si>
    <t>RPRO-260302-0576</t>
  </si>
  <si>
    <t>RPRO-260302-0591</t>
  </si>
  <si>
    <t>RPRO-260302-0594</t>
  </si>
  <si>
    <t>RPRO-260302-0597</t>
  </si>
  <si>
    <t>RPRO-260302-0600</t>
  </si>
  <si>
    <t>RPRO-260302-0603</t>
  </si>
  <si>
    <t>RPRO-260302-0606</t>
  </si>
  <si>
    <t>RPRO-260302-0609</t>
  </si>
  <si>
    <t>RPRO-260302-0612</t>
  </si>
  <si>
    <t>RPRO-260302-0615</t>
  </si>
  <si>
    <t>RPRO-260302-0618</t>
  </si>
  <si>
    <t>RPRO-260302-0621</t>
  </si>
  <si>
    <t>RPRO-260302-0624</t>
  </si>
  <si>
    <t>RPRO-260302-0627</t>
  </si>
  <si>
    <t>RPRO-260302-0630</t>
  </si>
  <si>
    <t>RPRO-260302-0633</t>
  </si>
  <si>
    <t>RPRO-260302-0636</t>
  </si>
  <si>
    <t>RPRO-260302-0639</t>
  </si>
  <si>
    <t>RPRO-260302-0642</t>
  </si>
  <si>
    <t>RPRO-260302-0645</t>
  </si>
  <si>
    <t>RPRO-260302-0648</t>
  </si>
  <si>
    <t>RPRO-260302-0652</t>
  </si>
  <si>
    <t>RPRO-260302-0656</t>
  </si>
  <si>
    <t>RPRO-260302-0660</t>
  </si>
  <si>
    <t>RPRO-260302-0664</t>
  </si>
  <si>
    <t>RPRO-260302-0669</t>
  </si>
  <si>
    <t>RPRO-260302-0673</t>
  </si>
  <si>
    <t>RPRO-260302-0678</t>
  </si>
  <si>
    <t>RPRO-260302-0682</t>
  </si>
  <si>
    <t>RPRO-260302-0687</t>
  </si>
  <si>
    <t>RPRO-260302-0691</t>
  </si>
  <si>
    <t>RPRO-260302-0696</t>
  </si>
  <si>
    <t>RPRO-260302-0700</t>
  </si>
  <si>
    <t>RPRO-260302-0704</t>
  </si>
  <si>
    <t>RPRO-260302-0707</t>
  </si>
  <si>
    <t>RPRO-260302-0710</t>
  </si>
  <si>
    <t>RPRO-260302-0713</t>
  </si>
  <si>
    <t>RPRO-260302-0716</t>
  </si>
  <si>
    <t>RPRO-260302-0719</t>
  </si>
  <si>
    <t>RPRO-260302-0722</t>
  </si>
  <si>
    <t>RPRO-260302-0725</t>
  </si>
  <si>
    <t>RPRO-260302-0728</t>
  </si>
  <si>
    <t>RPRO-260302-0731</t>
  </si>
  <si>
    <t>RPRO-260302-0734</t>
  </si>
  <si>
    <t>RPRO-260302-0737</t>
  </si>
  <si>
    <t>RPRO-260302-0740</t>
  </si>
  <si>
    <t>RPRO-260302-0743</t>
  </si>
  <si>
    <t>RPRO-260302-0746</t>
  </si>
  <si>
    <t>RPRO-260302-0749</t>
  </si>
  <si>
    <t>RPRO-260302-0752</t>
  </si>
  <si>
    <t>RPRO-260302-0755</t>
  </si>
  <si>
    <t>RPRO-260302-0758</t>
  </si>
  <si>
    <t>RPRO-260302-0761</t>
  </si>
  <si>
    <t>RPRO-260302-0764</t>
  </si>
  <si>
    <t>RPRO-260302-0767</t>
  </si>
  <si>
    <t>RPRO-260302-0770</t>
  </si>
  <si>
    <t>RPRO-260302-0773</t>
  </si>
  <si>
    <t>RPRO-260302-0776</t>
  </si>
  <si>
    <t>RPRO-260302-0779</t>
  </si>
  <si>
    <t>RPRO-260302-0782</t>
  </si>
  <si>
    <t>RPRO-260302-0785</t>
  </si>
  <si>
    <t>RPRO-260302-0788</t>
  </si>
  <si>
    <t>RPRO-260302-0791</t>
  </si>
  <si>
    <t>RPRO-260302-0794</t>
  </si>
  <si>
    <t>RPRO-260302-0797</t>
  </si>
  <si>
    <t>RPRO-260302-0800</t>
  </si>
  <si>
    <t>RPRO-260302-0803</t>
  </si>
  <si>
    <t>RPRO-260302-0806</t>
  </si>
  <si>
    <t>RPRO-260302-0809</t>
  </si>
  <si>
    <t>RPRO-260302-0812</t>
  </si>
  <si>
    <t>RPRO-260302-0815</t>
  </si>
  <si>
    <t>RPRO-260302-0818</t>
  </si>
  <si>
    <t>RPRO-260302-0821</t>
  </si>
  <si>
    <t>RPRO-260302-0824</t>
  </si>
  <si>
    <t>RPRO-260302-0827</t>
  </si>
  <si>
    <t>RPRO-260302-0830</t>
  </si>
  <si>
    <t>RPRO-260302-0833</t>
  </si>
  <si>
    <t>RPRO-260302-0836</t>
  </si>
  <si>
    <t>RPRO-260302-0839</t>
  </si>
  <si>
    <t>RPRO-260302-0842</t>
  </si>
  <si>
    <t>RPRO-260302-0845</t>
  </si>
  <si>
    <t>RPRO-260302-0848</t>
  </si>
  <si>
    <t>RPRO-260302-0851</t>
  </si>
  <si>
    <t>DC-010922</t>
  </si>
  <si>
    <t>0AI (PP)LINING KNIT MATTE MICRO (HOOD) REC 44" 250G (PCX#167606)</t>
  </si>
  <si>
    <t>RPRO-260302-0854</t>
  </si>
  <si>
    <t>RPRO-260302-0857</t>
  </si>
  <si>
    <t>RPRO-260302-0860</t>
  </si>
  <si>
    <t>RPRO-260302-0863</t>
  </si>
  <si>
    <t>RPRO-260302-0866</t>
  </si>
  <si>
    <t>RPRO-260302-0869</t>
  </si>
  <si>
    <t>RPRO-260302-0872</t>
  </si>
  <si>
    <t>RPRO-260302-0875</t>
  </si>
  <si>
    <t>RPRO-260302-0878</t>
  </si>
  <si>
    <t>RPRO-260302-0881</t>
  </si>
  <si>
    <t>RPRO-260302-0884</t>
  </si>
  <si>
    <t>RPRO-260302-0887</t>
  </si>
  <si>
    <t>RPRO-260302-0890</t>
  </si>
  <si>
    <t>RPRO-260302-0893</t>
  </si>
  <si>
    <t>RPRO-260302-0896</t>
  </si>
  <si>
    <t>RPRO-260303-0227</t>
  </si>
  <si>
    <t>RPRO-260303-0229</t>
  </si>
  <si>
    <t>RPRO-260303-0231</t>
  </si>
  <si>
    <t>RPRO-260303-0233</t>
  </si>
  <si>
    <t>RPRO-260303-0235</t>
  </si>
  <si>
    <t>RPRO-260303-0238</t>
  </si>
  <si>
    <t>RPRO-260303-0241</t>
  </si>
  <si>
    <t>RPRO-260303-0244</t>
  </si>
  <si>
    <t>RPRO-260303-0247</t>
  </si>
  <si>
    <t>RPRO-260303-0250</t>
  </si>
  <si>
    <t>RPRO-260303-0253</t>
  </si>
  <si>
    <t>RPRO-260303-0256</t>
  </si>
  <si>
    <t>RPRO-260303-0259</t>
  </si>
  <si>
    <t>RPRO-260303-0262</t>
  </si>
  <si>
    <t>RPRO-260303-0265</t>
  </si>
  <si>
    <t>RPRO-260303-0268</t>
  </si>
  <si>
    <t>RPRO-260303-0271</t>
  </si>
  <si>
    <t>RPRO-260303-0274</t>
  </si>
  <si>
    <t>RPRO-260303-0277</t>
  </si>
  <si>
    <t>RPRO-260303-0280</t>
  </si>
  <si>
    <t>RPRO-260303-0283</t>
  </si>
  <si>
    <t>RPRO-260303-0286</t>
  </si>
  <si>
    <t>RPRO-260303-0312</t>
  </si>
  <si>
    <t>RPRO-260303-0314</t>
  </si>
  <si>
    <t>RPRO-260303-0316</t>
  </si>
  <si>
    <t>RPRO-260303-0318</t>
  </si>
  <si>
    <t>RPRO-260303-0320</t>
  </si>
  <si>
    <t>RPRO-260303-0322</t>
  </si>
  <si>
    <t>RPRO-260303-0324</t>
  </si>
  <si>
    <t>RPRO-260303-0326</t>
  </si>
  <si>
    <t>RPRO-260303-0328</t>
  </si>
  <si>
    <t>RPRO-260303-0330</t>
  </si>
  <si>
    <t>RPRO-260303-0333</t>
  </si>
  <si>
    <t>RPRO-260303-0336</t>
  </si>
  <si>
    <t>DC-015099</t>
  </si>
  <si>
    <t>RPRO-260303-0339</t>
  </si>
  <si>
    <t>RPRO-260303-0342</t>
  </si>
  <si>
    <t>RPRO-260303-0345</t>
  </si>
  <si>
    <t>RPRO-260303-0348</t>
  </si>
  <si>
    <t>RPRO-260303-0351</t>
  </si>
  <si>
    <t>RPRO-260303-0354</t>
  </si>
  <si>
    <t>RPRO-260303-0357</t>
  </si>
  <si>
    <t>RPRO-260303-0360</t>
  </si>
  <si>
    <t>RPRO-260303-0363</t>
  </si>
  <si>
    <t>RPRO-260303-0219</t>
  </si>
  <si>
    <t>RPRO-260303-0220</t>
  </si>
  <si>
    <t>RPRO-260303-0378</t>
  </si>
  <si>
    <t>RPRO-260303-0381</t>
  </si>
  <si>
    <t>DC-009672</t>
  </si>
  <si>
    <t>RPRO-260303-0384</t>
  </si>
  <si>
    <t>RPRO-260303-0387</t>
  </si>
  <si>
    <t>RPRO-260303-0390</t>
  </si>
  <si>
    <t>DC-014819</t>
  </si>
  <si>
    <t>RPRO-260303-0237</t>
  </si>
  <si>
    <t>RPRO-260303-0393</t>
  </si>
  <si>
    <t>RPRO-260303-0396</t>
  </si>
  <si>
    <t>RPRO-260303-0399</t>
  </si>
  <si>
    <t>RPRO-260303-0402</t>
  </si>
  <si>
    <t>RPRO-260303-0405</t>
  </si>
  <si>
    <t>RPRO-260303-0408</t>
  </si>
  <si>
    <t>RPRO-260303-0411</t>
  </si>
  <si>
    <t>RPRO-260303-0414</t>
  </si>
  <si>
    <t>6CV (PP)LINING KNIT MATTE MICRO (HOOD) REC 44" 250G (PCX#167606) (A)</t>
  </si>
  <si>
    <t>RPRO-260303-0417</t>
  </si>
  <si>
    <t>RPRO-260303-0420</t>
  </si>
  <si>
    <t>RPRO-260303-0423</t>
  </si>
  <si>
    <t>RPRO-260303-0426</t>
  </si>
  <si>
    <t>RPRO-260303-0440</t>
  </si>
  <si>
    <t>RPRO-260303-0442</t>
  </si>
  <si>
    <t>RPRO-260303-0444</t>
  </si>
  <si>
    <t>RPRO-260303-0454</t>
  </si>
  <si>
    <t>RPRO-260303-0249</t>
  </si>
  <si>
    <t>RPRO-260303-0258</t>
  </si>
  <si>
    <t>RPRO-260303-0261</t>
  </si>
  <si>
    <t>RPRO-260303-0264</t>
  </si>
  <si>
    <t>RPRO-260303-0267</t>
  </si>
  <si>
    <t>RPRO-260303-0288</t>
  </si>
  <si>
    <t>RPRO-260303-0289</t>
  </si>
  <si>
    <t>RPRO-260303-0290</t>
  </si>
  <si>
    <t>RPRO-260303-0291</t>
  </si>
  <si>
    <t>RPRO-260303-0292</t>
  </si>
  <si>
    <t>RPRO-260303-0293</t>
  </si>
  <si>
    <t>RPRO-260303-0294</t>
  </si>
  <si>
    <t>RPRO-260303-0295</t>
  </si>
  <si>
    <t>RPRO-260303-0296</t>
  </si>
  <si>
    <t>RPRO-260303-0297</t>
  </si>
  <si>
    <t>RPRO-260303-0298</t>
  </si>
  <si>
    <t>RPRO-260303-0273</t>
  </si>
  <si>
    <t>RPRO-260303-0276</t>
  </si>
  <si>
    <t>RPRO-260303-0299</t>
  </si>
  <si>
    <t>RPRO-260303-0300</t>
  </si>
  <si>
    <t>RPRO-260303-0279</t>
  </si>
  <si>
    <t>RPRO-260303-0282</t>
  </si>
  <si>
    <t>RPRO-260303-0285</t>
  </si>
  <si>
    <t>RPRO-260303-0331</t>
  </si>
  <si>
    <t>RPRO-260303-0334</t>
  </si>
  <si>
    <t>RPRO-260303-0337</t>
  </si>
  <si>
    <t>RPRO-260303-0340</t>
  </si>
  <si>
    <t>DC-015903</t>
  </si>
  <si>
    <t>RPRO-260303-0343</t>
  </si>
  <si>
    <t>RPRO-260303-0346</t>
  </si>
  <si>
    <t>RPRO-260303-0349</t>
  </si>
  <si>
    <t>RPRO-260303-0352</t>
  </si>
  <si>
    <t>RPRO-260303-0355</t>
  </si>
  <si>
    <t>RPRO-260303-0358</t>
  </si>
  <si>
    <t>RPRO-260303-0361</t>
  </si>
  <si>
    <t>RPRO-260303-0364</t>
  </si>
  <si>
    <t>RPRO-260303-0367</t>
  </si>
  <si>
    <t>RPRO-260303-0370</t>
  </si>
  <si>
    <t>RPRO-260303-0373</t>
  </si>
  <si>
    <t>RPRO-260303-0376</t>
  </si>
  <si>
    <t>RPRO-260303-0493</t>
  </si>
  <si>
    <t>RPRO-260303-0476</t>
  </si>
  <si>
    <t>DC-015106</t>
  </si>
  <si>
    <t>RPRO-260303-0478</t>
  </si>
  <si>
    <t>RPRO-260303-0503</t>
  </si>
  <si>
    <t>RPRO-260303-0505</t>
  </si>
  <si>
    <t>RPRO-260303-0506</t>
  </si>
  <si>
    <t>RPRO-260303-0507</t>
  </si>
  <si>
    <t>RPRO-260303-0509</t>
  </si>
  <si>
    <t>RPRO-260303-0510</t>
  </si>
  <si>
    <t>RPRO-260303-0512</t>
  </si>
  <si>
    <t>RPRO-260303-0514</t>
  </si>
  <si>
    <t>RPRO-260303-0516</t>
  </si>
  <si>
    <t>RPRO-260303-0518</t>
  </si>
  <si>
    <t>RPRO-260303-0520</t>
  </si>
  <si>
    <t>RPRO-260303-0522</t>
  </si>
  <si>
    <t>RPRO-260303-0524</t>
  </si>
  <si>
    <t>RPRO-260303-0526</t>
  </si>
  <si>
    <t>RPRO-260303-0528</t>
  </si>
  <si>
    <t>RPRO-260303-0530</t>
  </si>
  <si>
    <t>RPRO-260303-0532</t>
  </si>
  <si>
    <t>RPRO-260303-0534</t>
  </si>
  <si>
    <t>RPRO-260303-0536</t>
  </si>
  <si>
    <t>RPRO-260303-0538</t>
  </si>
  <si>
    <t>RPRO-260303-0540</t>
  </si>
  <si>
    <t>RPRO-260303-0542</t>
  </si>
  <si>
    <t>RPRO-260303-0382</t>
  </si>
  <si>
    <t>00A GIGA 44" 265G (PCX #67730)</t>
  </si>
  <si>
    <t>RPRO-260303-0488</t>
  </si>
  <si>
    <t>RPRO-260303-0385</t>
  </si>
  <si>
    <t>RPRO-260303-0388</t>
  </si>
  <si>
    <t>RPRO-260303-0490</t>
  </si>
  <si>
    <t>RPRO-260303-0492</t>
  </si>
  <si>
    <t>RPRO-260303-0494</t>
  </si>
  <si>
    <t>RPRO-260303-0496</t>
  </si>
  <si>
    <t>RPRO-260303-0498</t>
  </si>
  <si>
    <t>RPRO-260303-0500</t>
  </si>
  <si>
    <t>RPRO-260303-0502</t>
  </si>
  <si>
    <t>DC-013135</t>
  </si>
  <si>
    <t>RPRO-260303-0504</t>
  </si>
  <si>
    <t>DC-013136</t>
  </si>
  <si>
    <t>RPRO-260303-0508</t>
  </si>
  <si>
    <t>RPRO-260303-0511</t>
  </si>
  <si>
    <t>RPRO-260303-0513</t>
  </si>
  <si>
    <t>RPRO-260303-0391</t>
  </si>
  <si>
    <t>RPRO-260303-0394</t>
  </si>
  <si>
    <t>DC-013653</t>
  </si>
  <si>
    <t>RPRO-260303-0397</t>
  </si>
  <si>
    <t>RPRO-260303-0400</t>
  </si>
  <si>
    <t>RPRO-260303-0403</t>
  </si>
  <si>
    <t>RPRO-260303-0406</t>
  </si>
  <si>
    <t>RPRO-260303-0409</t>
  </si>
  <si>
    <t>RPRO-260303-0412</t>
  </si>
  <si>
    <t>RPRO-260303-0415</t>
  </si>
  <si>
    <t>RPRO-260303-0418</t>
  </si>
  <si>
    <t>RPRO-260303-0421</t>
  </si>
  <si>
    <t>DC-016389</t>
  </si>
  <si>
    <t>RPRO-260303-0424</t>
  </si>
  <si>
    <t>DC-016396</t>
  </si>
  <si>
    <t>RPRO-260303-0665</t>
  </si>
  <si>
    <t>RPRO-260303-0666</t>
  </si>
  <si>
    <t>RPRO-260302-1000</t>
  </si>
  <si>
    <t>RPRO-260302-0001</t>
  </si>
  <si>
    <t>RPRO-260302-1001</t>
  </si>
  <si>
    <t>RPRO-260302-1002</t>
  </si>
  <si>
    <t>RPRO-260302-1003</t>
  </si>
  <si>
    <t>RPRO-260302-1004</t>
  </si>
  <si>
    <t>RPRO-260302-1005</t>
  </si>
  <si>
    <t>RPRO-260302-1006</t>
  </si>
  <si>
    <t>RPRO-260302-1007</t>
  </si>
  <si>
    <t>RPRO-260302-1008</t>
  </si>
  <si>
    <t>RPRO-260302-1009</t>
  </si>
  <si>
    <t>RPRO-260302-1010</t>
  </si>
  <si>
    <t>RPRO-260302-1011</t>
  </si>
  <si>
    <t>RPRO-260302-1012</t>
  </si>
  <si>
    <t>RPRO-260302-1013</t>
  </si>
  <si>
    <t>RPRO-260302-1014</t>
  </si>
  <si>
    <t>RPRO-260302-1015</t>
  </si>
  <si>
    <t>RPRO-260302-1016</t>
  </si>
  <si>
    <t>RPRO-260302-1017</t>
  </si>
  <si>
    <t>RPRO-260302-1018</t>
  </si>
  <si>
    <t>RPRO-260302-1019</t>
  </si>
  <si>
    <t>RPRO-260302-1020</t>
  </si>
  <si>
    <t>RPRO-260302-1021</t>
  </si>
  <si>
    <t>RPRO-260227-0312</t>
  </si>
  <si>
    <t>RPRO-260302-1024</t>
  </si>
  <si>
    <t>RPRO-260302-1127</t>
  </si>
  <si>
    <t>RPRO-260302-0158</t>
  </si>
  <si>
    <t>RPRO-260302-0160</t>
  </si>
  <si>
    <t>RPRO-260302-0162</t>
  </si>
  <si>
    <t>RPRO-260302-0165</t>
  </si>
  <si>
    <t>RPRO-260302-0168</t>
  </si>
  <si>
    <t>RPRO-260302-0171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</si>
</sst>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"/>
    <numFmt numFmtId="165" formatCode="m/d;@"/>
  </numFmts>
  <fonts count="23"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ＭＳ Ｐゴシック"/>
      <family val="2"/>
    </font>
    <font>
      <sz val="11"/>
      <name val="ＭＳ Ｐゴシック"/>
      <family val="3"/>
      <charset val="128"/>
    </font>
    <font>
      <b/>
      <sz val="18"/>
      <color theme="1"/>
      <name val="Times New Roman"/>
      <family val="1"/>
    </font>
    <font>
      <sz val="16"/>
      <color theme="0"/>
      <name val="Times New Roman"/>
      <family val="1"/>
    </font>
    <font>
      <sz val="16"/>
      <color theme="1"/>
      <name val="Times New Roman"/>
      <family val="1"/>
    </font>
    <font>
      <b/>
      <u/>
      <sz val="16"/>
      <color theme="1"/>
      <name val="Times New Roman"/>
      <family val="1"/>
    </font>
    <font>
      <b/>
      <sz val="16"/>
      <color theme="1"/>
      <name val="Times New Roman"/>
      <family val="1"/>
    </font>
    <font>
      <b/>
      <sz val="16"/>
      <color rgb="FFFF0000"/>
      <name val="Times New Roman"/>
      <family val="1"/>
    </font>
    <font>
      <b/>
      <sz val="16"/>
      <color theme="0"/>
      <name val="Times New Roman"/>
      <family val="1"/>
    </font>
    <font>
      <b/>
      <u/>
      <sz val="16"/>
      <color theme="0"/>
      <name val="Times New Roman"/>
      <family val="1"/>
    </font>
    <font>
      <b/>
      <sz val="18"/>
      <color rgb="FF000000"/>
      <name val="Times New Roman"/>
      <family val="1"/>
    </font>
    <font>
      <b/>
      <sz val="16"/>
      <name val="Times New Roman"/>
      <family val="1"/>
    </font>
    <font>
      <sz val="11"/>
      <color theme="1"/>
      <name val="Times New Roman"/>
      <family val="1"/>
    </font>
    <font>
      <sz val="16"/>
      <color rgb="FFFF0000"/>
      <name val="Times New Roman"/>
      <family val="1"/>
    </font>
    <font>
      <b/>
      <sz val="16"/>
      <color theme="8" tint="0.39997558519241921"/>
      <name val="Times New Roman"/>
      <family val="1"/>
    </font>
    <font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7" tint="0.79998168889431442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 diagonalDown="1"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 style="thin">
        <color auto="1"/>
      </diagonal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indexed="64"/>
      </top>
      <bottom/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</borders>
  <cellStyleXfs count="6">
    <xf numFmtId="0" fontId="0" fillId="0" borderId="0"/>
    <xf numFmtId="0" fontId="1" fillId="0" borderId="0"/>
    <xf numFmtId="0" fontId="7" fillId="0" borderId="0"/>
    <xf numFmtId="0" fontId="8" fillId="0" borderId="0"/>
    <xf numFmtId="0" fontId="6" fillId="0" borderId="0"/>
    <xf numFmtId="0" fontId="22" fillId="0" borderId="0"/>
  </cellStyleXfs>
  <cellXfs count="80">
    <xf numFmtId="0" fontId="0" fillId="0" borderId="0" xfId="0"/>
    <xf numFmtId="165" fontId="2" fillId="3" borderId="16" xfId="0" applyNumberFormat="1" applyFont="1" applyFill="1" applyBorder="1" applyAlignment="1">
      <alignment horizontal="center" vertical="top" wrapText="1"/>
    </xf>
    <xf numFmtId="0" fontId="3" fillId="0" borderId="0" xfId="0" applyFont="1"/>
    <xf numFmtId="0" fontId="4" fillId="5" borderId="0" xfId="0" applyFont="1" applyFill="1" applyAlignment="1">
      <alignment horizontal="center" vertical="center"/>
    </xf>
    <xf numFmtId="3" fontId="0" fillId="0" borderId="0" xfId="0" applyNumberFormat="1"/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13" fillId="6" borderId="4" xfId="0" applyFont="1" applyFill="1" applyBorder="1" applyAlignment="1">
      <alignment vertical="top" wrapText="1"/>
    </xf>
    <xf numFmtId="0" fontId="13" fillId="2" borderId="1" xfId="0" applyFont="1" applyFill="1" applyBorder="1" applyAlignment="1">
      <alignment horizontal="center" vertical="center" wrapText="1"/>
    </xf>
    <xf numFmtId="164" fontId="13" fillId="2" borderId="2" xfId="0" applyNumberFormat="1" applyFont="1" applyFill="1" applyBorder="1" applyAlignment="1">
      <alignment horizontal="center" vertical="center"/>
    </xf>
    <xf numFmtId="164" fontId="13" fillId="2" borderId="3" xfId="0" applyNumberFormat="1" applyFont="1" applyFill="1" applyBorder="1" applyAlignment="1">
      <alignment horizontal="center" vertical="center"/>
    </xf>
    <xf numFmtId="164" fontId="13" fillId="2" borderId="1" xfId="0" applyNumberFormat="1" applyFont="1" applyFill="1" applyBorder="1" applyAlignment="1">
      <alignment horizontal="center" vertical="center"/>
    </xf>
    <xf numFmtId="0" fontId="10" fillId="0" borderId="0" xfId="0" applyFont="1"/>
    <xf numFmtId="0" fontId="11" fillId="0" borderId="0" xfId="0" applyFont="1"/>
    <xf numFmtId="1" fontId="13" fillId="0" borderId="11" xfId="0" applyNumberFormat="1" applyFont="1" applyBorder="1" applyAlignment="1">
      <alignment horizontal="center" vertical="center"/>
    </xf>
    <xf numFmtId="1" fontId="13" fillId="0" borderId="17" xfId="0" applyNumberFormat="1" applyFont="1" applyBorder="1" applyAlignment="1">
      <alignment horizontal="center" vertical="center"/>
    </xf>
    <xf numFmtId="1" fontId="18" fillId="0" borderId="40" xfId="0" applyNumberFormat="1" applyFont="1" applyBorder="1" applyAlignment="1">
      <alignment horizontal="center" vertical="center"/>
    </xf>
    <xf numFmtId="1" fontId="18" fillId="0" borderId="12" xfId="0" applyNumberFormat="1" applyFont="1" applyBorder="1" applyAlignment="1">
      <alignment horizontal="center" vertical="center"/>
    </xf>
    <xf numFmtId="1" fontId="18" fillId="0" borderId="17" xfId="0" applyNumberFormat="1" applyFont="1" applyBorder="1" applyAlignment="1">
      <alignment horizontal="center" vertical="center"/>
    </xf>
    <xf numFmtId="1" fontId="18" fillId="0" borderId="41" xfId="0" applyNumberFormat="1" applyFont="1" applyBorder="1" applyAlignment="1">
      <alignment horizontal="center" vertical="center"/>
    </xf>
    <xf numFmtId="1" fontId="18" fillId="0" borderId="42" xfId="0" applyNumberFormat="1" applyFont="1" applyBorder="1" applyAlignment="1">
      <alignment horizontal="center" vertical="center"/>
    </xf>
    <xf numFmtId="1" fontId="18" fillId="0" borderId="23" xfId="0" applyNumberFormat="1" applyFont="1" applyBorder="1" applyAlignment="1">
      <alignment horizontal="center" vertical="center"/>
    </xf>
    <xf numFmtId="1" fontId="18" fillId="0" borderId="29" xfId="0" applyNumberFormat="1" applyFont="1" applyBorder="1" applyAlignment="1">
      <alignment horizontal="center" vertical="center"/>
    </xf>
    <xf numFmtId="1" fontId="18" fillId="0" borderId="13" xfId="0" applyNumberFormat="1" applyFont="1" applyBorder="1" applyAlignment="1">
      <alignment horizontal="center" vertical="center"/>
    </xf>
    <xf numFmtId="1" fontId="18" fillId="0" borderId="5" xfId="0" applyNumberFormat="1" applyFont="1" applyBorder="1" applyAlignment="1">
      <alignment horizontal="center" vertical="center"/>
    </xf>
    <xf numFmtId="1" fontId="18" fillId="0" borderId="6" xfId="0" applyNumberFormat="1" applyFont="1" applyBorder="1" applyAlignment="1">
      <alignment horizontal="center" vertical="center"/>
    </xf>
    <xf numFmtId="1" fontId="13" fillId="0" borderId="9" xfId="0" applyNumberFormat="1" applyFont="1" applyBorder="1" applyAlignment="1">
      <alignment horizontal="center" vertical="center"/>
    </xf>
    <xf numFmtId="1" fontId="18" fillId="0" borderId="14" xfId="0" applyNumberFormat="1" applyFont="1" applyBorder="1" applyAlignment="1">
      <alignment horizontal="center" vertical="center"/>
    </xf>
    <xf numFmtId="1" fontId="18" fillId="0" borderId="16" xfId="0" applyNumberFormat="1" applyFont="1" applyBorder="1" applyAlignment="1">
      <alignment horizontal="center" vertical="center"/>
    </xf>
    <xf numFmtId="1" fontId="18" fillId="0" borderId="37" xfId="0" applyNumberFormat="1" applyFont="1" applyBorder="1" applyAlignment="1">
      <alignment horizontal="center" vertical="center"/>
    </xf>
    <xf numFmtId="1" fontId="13" fillId="0" borderId="38" xfId="0" applyNumberFormat="1" applyFont="1" applyBorder="1" applyAlignment="1">
      <alignment horizontal="center" vertical="center"/>
    </xf>
    <xf numFmtId="1" fontId="13" fillId="0" borderId="14" xfId="0" applyNumberFormat="1" applyFont="1" applyBorder="1" applyAlignment="1">
      <alignment horizontal="center" vertical="center"/>
    </xf>
    <xf numFmtId="1" fontId="13" fillId="0" borderId="16" xfId="0" applyNumberFormat="1" applyFont="1" applyBorder="1" applyAlignment="1">
      <alignment horizontal="center" vertical="center"/>
    </xf>
    <xf numFmtId="1" fontId="13" fillId="0" borderId="37" xfId="0" applyNumberFormat="1" applyFont="1" applyBorder="1" applyAlignment="1">
      <alignment horizontal="center" vertical="center"/>
    </xf>
    <xf numFmtId="1" fontId="13" fillId="0" borderId="15" xfId="0" applyNumberFormat="1" applyFont="1" applyBorder="1" applyAlignment="1">
      <alignment horizontal="center" vertical="center"/>
    </xf>
    <xf numFmtId="1" fontId="13" fillId="0" borderId="20" xfId="0" applyNumberFormat="1" applyFont="1" applyBorder="1" applyAlignment="1">
      <alignment horizontal="center" vertical="center"/>
    </xf>
    <xf numFmtId="1" fontId="13" fillId="0" borderId="21" xfId="0" applyNumberFormat="1" applyFont="1" applyBorder="1" applyAlignment="1">
      <alignment horizontal="center" vertical="center"/>
    </xf>
    <xf numFmtId="1" fontId="13" fillId="0" borderId="24" xfId="0" applyNumberFormat="1" applyFont="1" applyBorder="1" applyAlignment="1">
      <alignment horizontal="center" vertical="center"/>
    </xf>
    <xf numFmtId="1" fontId="13" fillId="0" borderId="22" xfId="0" applyNumberFormat="1" applyFont="1" applyBorder="1" applyAlignment="1">
      <alignment horizontal="center" vertical="center"/>
    </xf>
    <xf numFmtId="1" fontId="13" fillId="0" borderId="5" xfId="0" applyNumberFormat="1" applyFont="1" applyBorder="1" applyAlignment="1">
      <alignment horizontal="center" vertical="center"/>
    </xf>
    <xf numFmtId="1" fontId="13" fillId="0" borderId="33" xfId="0" applyNumberFormat="1" applyFont="1" applyBorder="1" applyAlignment="1">
      <alignment horizontal="center" vertical="center"/>
    </xf>
    <xf numFmtId="1" fontId="13" fillId="0" borderId="18" xfId="0" applyNumberFormat="1" applyFont="1" applyBorder="1" applyAlignment="1">
      <alignment horizontal="center" vertical="center"/>
    </xf>
    <xf numFmtId="1" fontId="13" fillId="0" borderId="7" xfId="0" applyNumberFormat="1" applyFont="1" applyBorder="1" applyAlignment="1">
      <alignment horizontal="center" vertical="center"/>
    </xf>
    <xf numFmtId="1" fontId="13" fillId="0" borderId="34" xfId="0" applyNumberFormat="1" applyFont="1" applyBorder="1" applyAlignment="1">
      <alignment horizontal="center" vertical="center"/>
    </xf>
    <xf numFmtId="1" fontId="13" fillId="0" borderId="19" xfId="0" applyNumberFormat="1" applyFont="1" applyBorder="1" applyAlignment="1">
      <alignment horizontal="center" vertical="center"/>
    </xf>
    <xf numFmtId="0" fontId="19" fillId="0" borderId="0" xfId="0" applyFont="1"/>
    <xf numFmtId="0" fontId="14" fillId="0" borderId="0" xfId="0" applyFont="1"/>
    <xf numFmtId="0" fontId="20" fillId="0" borderId="0" xfId="0" applyFont="1"/>
    <xf numFmtId="0" fontId="21" fillId="0" borderId="0" xfId="0" applyFont="1" applyAlignment="1">
      <alignment vertical="center"/>
    </xf>
    <xf numFmtId="0" fontId="13" fillId="0" borderId="0" xfId="0" applyFont="1"/>
    <xf numFmtId="0" fontId="13" fillId="0" borderId="1" xfId="0" applyFont="1" applyBorder="1" applyAlignment="1" applyProtection="1">
      <alignment horizontal="center" vertical="center"/>
      <protection locked="0"/>
    </xf>
    <xf numFmtId="1" fontId="13" fillId="0" borderId="43" xfId="0" applyNumberFormat="1" applyFont="1" applyBorder="1" applyAlignment="1">
      <alignment horizontal="center" vertical="center"/>
    </xf>
    <xf numFmtId="0" fontId="17" fillId="0" borderId="39" xfId="0" applyFont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vertical="center"/>
      <protection locked="0"/>
    </xf>
    <xf numFmtId="0" fontId="0" fillId="0" borderId="16" xfId="0" applyBorder="1"/>
    <xf numFmtId="0" fontId="0" fillId="4" borderId="0" xfId="0" applyFill="1"/>
    <xf numFmtId="0" fontId="13" fillId="0" borderId="8" xfId="0" applyFont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13" fillId="0" borderId="36" xfId="0" applyFont="1" applyBorder="1" applyAlignment="1">
      <alignment horizontal="center" vertical="center"/>
    </xf>
    <xf numFmtId="0" fontId="13" fillId="0" borderId="25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13" fillId="0" borderId="26" xfId="0" applyFont="1" applyBorder="1" applyAlignment="1">
      <alignment horizontal="left" vertical="center"/>
    </xf>
    <xf numFmtId="0" fontId="13" fillId="0" borderId="27" xfId="0" applyFont="1" applyBorder="1" applyAlignment="1">
      <alignment horizontal="left" vertical="center"/>
    </xf>
    <xf numFmtId="0" fontId="13" fillId="0" borderId="28" xfId="0" applyFont="1" applyBorder="1" applyAlignment="1">
      <alignment horizontal="left" vertical="center"/>
    </xf>
    <xf numFmtId="0" fontId="13" fillId="0" borderId="35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3" fillId="0" borderId="15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30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32" xfId="0" applyFont="1" applyBorder="1" applyAlignment="1">
      <alignment horizontal="center" vertical="center"/>
    </xf>
    <xf numFmtId="0" fontId="13" fillId="0" borderId="38" xfId="0" applyFont="1" applyBorder="1" applyAlignment="1">
      <alignment horizontal="center" vertical="center"/>
    </xf>
  </cellXfs>
  <cellStyles count="6">
    <cellStyle name="Normal" xfId="0" builtinId="0"/>
    <cellStyle name="Normal 2" xfId="1" xr:uid="{BE331946-0272-4D9A-BFE3-D9569E613D03}"/>
    <cellStyle name="Normal 2 2 2 2 4 3" xfId="4" xr:uid="{F3EA158F-181E-4093-906E-1089374FB57A}"/>
    <cellStyle name="Normal 3" xfId="5" xr:uid="{2AD722C8-A8D6-4560-BA60-7A8F657A0D33}"/>
    <cellStyle name="常规_作業標準.370994(from customer)_F 2" xfId="2" xr:uid="{81FFEE99-0B5C-4F9F-AC4C-1B4BB6D78677}"/>
    <cellStyle name="標準_Ｋ131ＦＨG指図書" xfId="3" xr:uid="{67E35674-CEB3-4308-91F0-27BF3938A681}"/>
  </cellStyles>
  <dxfs count="6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theme="8" tint="0.39994506668294322"/>
        </patternFill>
      </fill>
    </dxf>
  </dxfs>
  <tableStyles count="1" defaultTableStyle="TableStyleMedium2" defaultPivotStyle="PivotStyleLight16">
    <tableStyle name="Invisible" pivot="0" table="0" count="0" xr9:uid="{FE627D77-D8EB-4BA4-A5EC-771208F7DD11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06/relationships/rdRichValueStructure" Target="richData/rdrichvaluestructure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17/06/relationships/rdRichValue" Target="richData/rdrichvalue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20/07/relationships/rdRichValueWebImage" Target="richData/rdRichValueWebImage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eetMetadata" Target="metadata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17/06/relationships/rdRichValueTypes" Target="richData/rdRichValueTyp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81223</xdr:colOff>
      <xdr:row>1</xdr:row>
      <xdr:rowOff>59227</xdr:rowOff>
    </xdr:from>
    <xdr:to>
      <xdr:col>38</xdr:col>
      <xdr:colOff>1496291</xdr:colOff>
      <xdr:row>2</xdr:row>
      <xdr:rowOff>346364</xdr:rowOff>
    </xdr:to>
    <xdr:sp macro="[0]!HideBlankRowsCol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AEBB629-74B7-4636-A46A-B2221028765B}"/>
            </a:ext>
          </a:extLst>
        </xdr:cNvPr>
        <xdr:cNvSpPr/>
      </xdr:nvSpPr>
      <xdr:spPr>
        <a:xfrm>
          <a:off x="31253950" y="557991"/>
          <a:ext cx="1415068" cy="785900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solidFill>
                <a:sysClr val="windowText" lastClr="000000"/>
              </a:solidFill>
            </a:rPr>
            <a:t>IN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F2024C4-4C08-48E4-B9EB-AB83BE1BD187}" autoFormatId="16" applyNumberFormats="0" applyBorderFormats="0" applyFontFormats="0" applyPatternFormats="0" applyAlignmentFormats="0" applyWidthHeightFormats="0">
  <queryTableRefresh nextId="152" unboundColumnsRight="1">
    <queryTableFields count="86">
      <queryTableField id="64" name="PRO ORDER" tableColumnId="1"/>
      <queryTableField id="65" name="QtyOrder" tableColumnId="2"/>
      <queryTableField id="23" name="BOM" tableColumnId="8"/>
      <queryTableField id="62" name="#Last" tableColumnId="37"/>
      <queryTableField id="26" name="GENDER" tableColumnId="11"/>
      <queryTableField id="66" name="Description PU1" tableColumnId="3"/>
      <queryTableField id="67" name="Description FB" tableColumnId="4"/>
      <queryTableField id="68" name="S1" tableColumnId="5"/>
      <queryTableField id="149" name="S1.5" tableColumnId="6"/>
      <queryTableField id="70" name="S2" tableColumnId="7"/>
      <queryTableField id="71" name="S2.5" tableColumnId="9"/>
      <queryTableField id="72" name="S3" tableColumnId="10"/>
      <queryTableField id="73" name="S3.5" tableColumnId="12"/>
      <queryTableField id="74" name="S4" tableColumnId="13"/>
      <queryTableField id="75" name="S4.5" tableColumnId="14"/>
      <queryTableField id="76" name="S5" tableColumnId="15"/>
      <queryTableField id="77" name="S5.5" tableColumnId="16"/>
      <queryTableField id="78" name="S6" tableColumnId="17"/>
      <queryTableField id="79" name="S6.5" tableColumnId="18"/>
      <queryTableField id="80" name="S7" tableColumnId="19"/>
      <queryTableField id="81" name="S7.5" tableColumnId="20"/>
      <queryTableField id="82" name="S8" tableColumnId="21"/>
      <queryTableField id="83" name="S8.5" tableColumnId="22"/>
      <queryTableField id="84" name="S9" tableColumnId="23"/>
      <queryTableField id="85" name="S9.5" tableColumnId="24"/>
      <queryTableField id="86" name="S10" tableColumnId="25"/>
      <queryTableField id="87" name="S10.5" tableColumnId="26"/>
      <queryTableField id="88" name="S11" tableColumnId="27"/>
      <queryTableField id="89" name="S11.5" tableColumnId="28"/>
      <queryTableField id="90" name="S12" tableColumnId="29"/>
      <queryTableField id="91" name="S12.5" tableColumnId="30"/>
      <queryTableField id="92" name="S13" tableColumnId="31"/>
      <queryTableField id="93" name="S13.5" tableColumnId="32"/>
      <queryTableField id="94" name="S14" tableColumnId="33"/>
      <queryTableField id="95" name="S14.5" tableColumnId="34"/>
      <queryTableField id="96" name="S15" tableColumnId="35"/>
      <queryTableField id="97" name="S15.5" tableColumnId="36"/>
      <queryTableField id="98" name="S16" tableColumnId="38"/>
      <queryTableField id="99" name="S16.5" tableColumnId="39"/>
      <queryTableField id="100" name="S17" tableColumnId="40"/>
      <queryTableField id="101" name="S18" tableColumnId="41"/>
      <queryTableField id="102" name="S19" tableColumnId="42"/>
      <queryTableField id="103" name="S20" tableColumnId="43"/>
      <queryTableField id="104" name="S21" tableColumnId="44"/>
      <queryTableField id="105" name="S22" tableColumnId="45"/>
      <queryTableField id="106" name="S23" tableColumnId="46"/>
      <queryTableField id="107" name="S24" tableColumnId="47"/>
      <queryTableField id="108" name="S25" tableColumnId="48"/>
      <queryTableField id="109" name="S26" tableColumnId="49"/>
      <queryTableField id="110" name="S27" tableColumnId="50"/>
      <queryTableField id="111" name="S28" tableColumnId="51"/>
      <queryTableField id="112" name="S29" tableColumnId="52"/>
      <queryTableField id="113" name="S30" tableColumnId="53"/>
      <queryTableField id="114" name="S31" tableColumnId="54"/>
      <queryTableField id="115" name="S32" tableColumnId="55"/>
      <queryTableField id="116" name="S33" tableColumnId="56"/>
      <queryTableField id="117" name="S34" tableColumnId="57"/>
      <queryTableField id="118" name="S35" tableColumnId="58"/>
      <queryTableField id="119" name="S36" tableColumnId="59"/>
      <queryTableField id="120" name="S37" tableColumnId="60"/>
      <queryTableField id="121" name="S38" tableColumnId="61"/>
      <queryTableField id="122" name="S39" tableColumnId="62"/>
      <queryTableField id="123" name="S40" tableColumnId="63"/>
      <queryTableField id="124" name="S41" tableColumnId="64"/>
      <queryTableField id="125" name="S42" tableColumnId="65"/>
      <queryTableField id="126" name="S43" tableColumnId="66"/>
      <queryTableField id="127" name="S44" tableColumnId="67"/>
      <queryTableField id="128" name="S45" tableColumnId="68"/>
      <queryTableField id="129" name="S46" tableColumnId="69"/>
      <queryTableField id="130" name="S47" tableColumnId="70"/>
      <queryTableField id="131" name="S48" tableColumnId="71"/>
      <queryTableField id="132" name="S49" tableColumnId="72"/>
      <queryTableField id="133" name="S3.5Y" tableColumnId="73"/>
      <queryTableField id="134" name="S4Y" tableColumnId="74"/>
      <queryTableField id="135" name="S4.5Y" tableColumnId="75"/>
      <queryTableField id="136" name="S5Y" tableColumnId="76"/>
      <queryTableField id="137" name="S5.5Y" tableColumnId="77"/>
      <queryTableField id="138" name="S6Y" tableColumnId="78"/>
      <queryTableField id="139" name="S6.5Y" tableColumnId="79"/>
      <queryTableField id="140" name="S7Y" tableColumnId="80"/>
      <queryTableField id="141" name="S10K" tableColumnId="81"/>
      <queryTableField id="142" name="S10.5K" tableColumnId="82"/>
      <queryTableField id="143" name="S11K" tableColumnId="83"/>
      <queryTableField id="144" name="S11.5K" tableColumnId="84"/>
      <queryTableField id="145" name="S12K" tableColumnId="85"/>
      <queryTableField id="151" dataBound="0" tableColumnId="86"/>
    </queryTableFields>
  </queryTableRefresh>
</queryTable>
</file>

<file path=xl/richData/_rels/rdRichValueWebImage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api.qrserver.com/v1/create-qr-code/?size=300x300&amp;data=RPRO-260129-0158%7CRPRO-260129-0212%7CRPRO-260129-0215%7CRPRO-260129-0116%7CRPRO-260129-0173%7CRPRO-260129-0164%7CRPRO-260129-0170" TargetMode="Externa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</webImagesSrd>
</file>

<file path=xl/richData/rdrichvalue.xml><?xml version="1.0" encoding="utf-8"?>
<rvData xmlns="http://schemas.microsoft.com/office/spreadsheetml/2017/richdata" count="1">
  <rv s="0">
    <v>0</v>
    <v>1</v>
    <v>0</v>
    <v>0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Sizing" t="i"/>
  </s>
</rvStructure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7632244-D9C6-4B10-9E26-BFCE6126F4AE}" name="OVN_SCHEDULE" displayName="OVN_SCHEDULE" ref="A1:CH4073" tableType="queryTable" totalsRowShown="0">
  <autoFilter ref="A1:CH4073" xr:uid="{77632244-D9C6-4B10-9E26-BFCE6126F4AE}"/>
  <tableColumns count="86">
    <tableColumn id="1" xr3:uid="{DA0DE3D1-A07B-4AB7-A958-F6BB99EA9C50}" uniqueName="1" name="PRO ORDER" queryTableFieldId="64" dataDxfId="57"/>
    <tableColumn id="2" xr3:uid="{7DB68572-1005-47F8-A715-BFF0E56EFE85}" uniqueName="2" name="QtyOrder" queryTableFieldId="65"/>
    <tableColumn id="8" xr3:uid="{C2C0978C-1494-40CD-B8D5-338353D7FEE4}" uniqueName="8" name="BOM" queryTableFieldId="23" dataDxfId="56"/>
    <tableColumn id="37" xr3:uid="{1CA2415B-F87C-434A-9EA9-7C98346658E3}" uniqueName="37" name="#LAST" queryTableFieldId="62" dataDxfId="55"/>
    <tableColumn id="11" xr3:uid="{A3B09E85-E4D1-41B8-BC0A-40011786B938}" uniqueName="11" name="Gender" queryTableFieldId="26" dataDxfId="54"/>
    <tableColumn id="3" xr3:uid="{63FAC8A5-E72F-49C4-8CAD-D13B0C5F327A}" uniqueName="3" name="Description PU1" queryTableFieldId="66" dataDxfId="53"/>
    <tableColumn id="4" xr3:uid="{B723258F-CD3D-4B18-A1B5-A1D769AE564F}" uniqueName="4" name="Description FB" queryTableFieldId="67" dataDxfId="52"/>
    <tableColumn id="5" xr3:uid="{D744ED8B-B344-43F6-A6C9-FE48F1132C95}" uniqueName="5" name="S1" queryTableFieldId="68" dataDxfId="51"/>
    <tableColumn id="6" xr3:uid="{34B82D1E-2589-49C5-BC60-F271EB29AE42}" uniqueName="6" name="S1.5" queryTableFieldId="149" dataDxfId="50"/>
    <tableColumn id="7" xr3:uid="{46064F31-E9FA-4C8C-A753-96CD8064EF92}" uniqueName="7" name="S2" queryTableFieldId="70" dataDxfId="49"/>
    <tableColumn id="9" xr3:uid="{B4285AF2-5A8D-44DB-AC7B-DACDE4ADE0C9}" uniqueName="9" name="S2.5" queryTableFieldId="71" dataDxfId="48"/>
    <tableColumn id="10" xr3:uid="{96081438-F08B-4D39-BAF0-43D56DE3E122}" uniqueName="10" name="S3" queryTableFieldId="72"/>
    <tableColumn id="12" xr3:uid="{359EBB8E-5B38-4EC6-A3B3-2BCF4BEFD0F7}" uniqueName="12" name="S3.5" queryTableFieldId="73"/>
    <tableColumn id="13" xr3:uid="{A47B8BC6-BB4F-4F86-92E3-FE9383325C3D}" uniqueName="13" name="S4" queryTableFieldId="74"/>
    <tableColumn id="14" xr3:uid="{AA4DBB33-F9E4-4F2C-BCD8-E3C01B00F5A4}" uniqueName="14" name="S4.5" queryTableFieldId="75"/>
    <tableColumn id="15" xr3:uid="{9501EDC2-CF2B-4BE2-8509-0A16D6D920B7}" uniqueName="15" name="S5" queryTableFieldId="76"/>
    <tableColumn id="16" xr3:uid="{B734A7C7-027C-48B3-8B8A-EAD7F34F3E83}" uniqueName="16" name="S5.5" queryTableFieldId="77"/>
    <tableColumn id="17" xr3:uid="{6038AFE1-7FB8-4994-A417-5D650A59988D}" uniqueName="17" name="S6" queryTableFieldId="78"/>
    <tableColumn id="18" xr3:uid="{B3CCBFD2-D8BD-48A9-97E6-6468D6E5D675}" uniqueName="18" name="S6.5" queryTableFieldId="79"/>
    <tableColumn id="19" xr3:uid="{E46374B2-D260-4330-BEF1-8CE423FD0529}" uniqueName="19" name="S7" queryTableFieldId="80"/>
    <tableColumn id="20" xr3:uid="{2255674E-CB25-4ACA-83CF-2417F4CF143C}" uniqueName="20" name="S7.5" queryTableFieldId="81"/>
    <tableColumn id="21" xr3:uid="{3D4E1CA6-3154-4EFD-AB28-83AB586A9982}" uniqueName="21" name="S8" queryTableFieldId="82"/>
    <tableColumn id="22" xr3:uid="{D702C890-11EC-4E51-9867-8562FC055626}" uniqueName="22" name="S8.5" queryTableFieldId="83"/>
    <tableColumn id="23" xr3:uid="{5FF7AF03-8CDD-4AFD-AB71-A73BCAC93367}" uniqueName="23" name="S9" queryTableFieldId="84"/>
    <tableColumn id="24" xr3:uid="{422CC471-7989-46A5-B035-B7A40772FD6B}" uniqueName="24" name="S9.5" queryTableFieldId="85"/>
    <tableColumn id="25" xr3:uid="{991393E4-CE1B-4140-B126-5798E5BDC370}" uniqueName="25" name="S10" queryTableFieldId="86"/>
    <tableColumn id="26" xr3:uid="{AE233D5F-1E41-42E6-89D6-AECE91F6051C}" uniqueName="26" name="S10.5" queryTableFieldId="87"/>
    <tableColumn id="27" xr3:uid="{6ED47180-F9F6-41DF-8FD4-401C512DE76A}" uniqueName="27" name="S11" queryTableFieldId="88"/>
    <tableColumn id="28" xr3:uid="{18733A1B-0BB0-457C-8802-E662DE939C12}" uniqueName="28" name="S11.5" queryTableFieldId="89"/>
    <tableColumn id="29" xr3:uid="{34F7EA0E-534C-4444-B216-1B19A45FB753}" uniqueName="29" name="S12" queryTableFieldId="90"/>
    <tableColumn id="30" xr3:uid="{FDA769C6-0AD7-4E77-99AC-B3F63BB62AA8}" uniqueName="30" name="S12.5" queryTableFieldId="91"/>
    <tableColumn id="31" xr3:uid="{5AC4D150-D3EE-411D-9746-AEE73B16F509}" uniqueName="31" name="S13" queryTableFieldId="92"/>
    <tableColumn id="32" xr3:uid="{A980BA23-55DF-4654-9353-580246A2B721}" uniqueName="32" name="S13.5" queryTableFieldId="93"/>
    <tableColumn id="33" xr3:uid="{40A859C4-14FB-40BA-BAB0-FDACF56DAA5B}" uniqueName="33" name="S14" queryTableFieldId="94"/>
    <tableColumn id="34" xr3:uid="{986AA96C-7A98-47F6-B838-8193319CD315}" uniqueName="34" name="S14.5" queryTableFieldId="95"/>
    <tableColumn id="35" xr3:uid="{9D6B785F-6E32-4B60-B60D-E38F83F740B7}" uniqueName="35" name="S15" queryTableFieldId="96"/>
    <tableColumn id="36" xr3:uid="{DC113B55-FE96-463D-A8C8-1EE39A8A2334}" uniqueName="36" name="S15.5" queryTableFieldId="97" dataDxfId="47"/>
    <tableColumn id="38" xr3:uid="{84789011-2503-448E-991E-8E1E9B1C41A4}" uniqueName="38" name="S16" queryTableFieldId="98" dataDxfId="46"/>
    <tableColumn id="39" xr3:uid="{1CED96DB-8D8B-4AC2-8D86-F1D70E833C66}" uniqueName="39" name="S16.5" queryTableFieldId="99"/>
    <tableColumn id="40" xr3:uid="{3D61EFA4-F63E-43AB-ABCD-F9E5B8FC6051}" uniqueName="40" name="S17" queryTableFieldId="100" dataDxfId="45"/>
    <tableColumn id="41" xr3:uid="{D7998771-3598-4D14-B20E-8E943E74B44A}" uniqueName="41" name="S18" queryTableFieldId="101" dataDxfId="44"/>
    <tableColumn id="42" xr3:uid="{FD48272F-5411-4016-82F7-21074F9E82C2}" uniqueName="42" name="S19" queryTableFieldId="102" dataDxfId="43"/>
    <tableColumn id="43" xr3:uid="{F113D174-C2D5-49C4-8453-AE3F021C9E69}" uniqueName="43" name="S20" queryTableFieldId="103" dataDxfId="42"/>
    <tableColumn id="44" xr3:uid="{368AD50F-8CE0-4A89-B541-A68AC92F7E39}" uniqueName="44" name="S21" queryTableFieldId="104" dataDxfId="41"/>
    <tableColumn id="45" xr3:uid="{E1E954B7-6396-437F-9DE7-87F2D90BBDA2}" uniqueName="45" name="S22" queryTableFieldId="105" dataDxfId="40"/>
    <tableColumn id="46" xr3:uid="{34F0C75B-BA97-492A-9D6D-6333B89DEA45}" uniqueName="46" name="S23" queryTableFieldId="106" dataDxfId="39"/>
    <tableColumn id="47" xr3:uid="{AF64601B-57B3-432E-B8EB-0A477CFA60DB}" uniqueName="47" name="S24" queryTableFieldId="107" dataDxfId="38"/>
    <tableColumn id="48" xr3:uid="{AF92F7B6-24B0-4E13-982E-DEA71F3F9935}" uniqueName="48" name="S25" queryTableFieldId="108" dataDxfId="37"/>
    <tableColumn id="49" xr3:uid="{E1AEFD1D-CF2D-425C-8DCC-B485F7073FEA}" uniqueName="49" name="S26" queryTableFieldId="109" dataDxfId="36"/>
    <tableColumn id="50" xr3:uid="{CB35C356-621F-4519-8143-8555A4890B05}" uniqueName="50" name="S27" queryTableFieldId="110" dataDxfId="35"/>
    <tableColumn id="51" xr3:uid="{820B5643-6887-4ACB-AF36-F9C200637DEE}" uniqueName="51" name="S28" queryTableFieldId="111" dataDxfId="34"/>
    <tableColumn id="52" xr3:uid="{E075D7AE-9B1F-4CF5-B002-8240F6ED90AA}" uniqueName="52" name="S29" queryTableFieldId="112" dataDxfId="33"/>
    <tableColumn id="53" xr3:uid="{EBE33334-259D-4551-98B1-6B58207CDBB7}" uniqueName="53" name="S30" queryTableFieldId="113" dataDxfId="32"/>
    <tableColumn id="54" xr3:uid="{D73F1480-8DBB-45C0-97EF-C283724C08BF}" uniqueName="54" name="S31" queryTableFieldId="114" dataDxfId="31"/>
    <tableColumn id="55" xr3:uid="{A6E5215E-ECB5-4441-8CB7-0C69E34465D6}" uniqueName="55" name="S32" queryTableFieldId="115" dataDxfId="30"/>
    <tableColumn id="56" xr3:uid="{B15182C8-C096-42B2-94E4-4B8F02717C70}" uniqueName="56" name="S33" queryTableFieldId="116" dataDxfId="29"/>
    <tableColumn id="57" xr3:uid="{033CA276-85B4-4E09-91B2-F30BB302637B}" uniqueName="57" name="S34" queryTableFieldId="117" dataDxfId="28"/>
    <tableColumn id="58" xr3:uid="{DD365501-E22D-453C-9027-80A40DFDC7D6}" uniqueName="58" name="S35" queryTableFieldId="118" dataDxfId="27"/>
    <tableColumn id="59" xr3:uid="{6077DF30-C6CF-4E57-A6E1-29C7DC3AE2D1}" uniqueName="59" name="S36" queryTableFieldId="119" dataDxfId="26"/>
    <tableColumn id="60" xr3:uid="{CC4272D3-6E8B-433E-A725-0AD067DA7AF9}" uniqueName="60" name="S37" queryTableFieldId="120" dataDxfId="25"/>
    <tableColumn id="61" xr3:uid="{C9E64BB9-5BB3-4785-9045-33A2977D61F2}" uniqueName="61" name="S38" queryTableFieldId="121" dataDxfId="24"/>
    <tableColumn id="62" xr3:uid="{E6AA7C12-1795-4FB7-B667-DCA741813BEB}" uniqueName="62" name="S39" queryTableFieldId="122" dataDxfId="23"/>
    <tableColumn id="63" xr3:uid="{02EDB620-DB12-4386-8FD9-03EA57238667}" uniqueName="63" name="S40" queryTableFieldId="123" dataDxfId="22"/>
    <tableColumn id="64" xr3:uid="{E53D117B-411E-42A6-89C7-155D88CD9DB4}" uniqueName="64" name="S41" queryTableFieldId="124" dataDxfId="21"/>
    <tableColumn id="65" xr3:uid="{40F98B64-08AB-4450-959F-77614815BF05}" uniqueName="65" name="S42" queryTableFieldId="125"/>
    <tableColumn id="66" xr3:uid="{1C1FC41B-0373-44C7-AD0D-9BCCB4DA82CD}" uniqueName="66" name="S43" queryTableFieldId="126" dataDxfId="20"/>
    <tableColumn id="67" xr3:uid="{2D191B8A-6C6D-4F95-9640-B07C3D78EEF2}" uniqueName="67" name="S44" queryTableFieldId="127" dataDxfId="19"/>
    <tableColumn id="68" xr3:uid="{B2BCA517-4845-4AC3-8C95-C4176C6AB47E}" uniqueName="68" name="S45" queryTableFieldId="128" dataDxfId="18"/>
    <tableColumn id="69" xr3:uid="{A342E3A5-0624-4F89-8EAE-D3582955575B}" uniqueName="69" name="S46" queryTableFieldId="129" dataDxfId="17"/>
    <tableColumn id="70" xr3:uid="{C1EAD903-FC94-4003-964D-FB84AD559018}" uniqueName="70" name="S47" queryTableFieldId="130" dataDxfId="16"/>
    <tableColumn id="71" xr3:uid="{F72F4A0C-49E9-4075-86C3-39B1A355B54A}" uniqueName="71" name="S48" queryTableFieldId="131" dataDxfId="15"/>
    <tableColumn id="72" xr3:uid="{E370806A-6F1F-4434-A9D3-2C7EF0F57D2C}" uniqueName="72" name="S49" queryTableFieldId="132" dataDxfId="14"/>
    <tableColumn id="73" xr3:uid="{859D4584-C051-40AC-AF1F-EB7329D005CF}" uniqueName="73" name="S3.5Y" queryTableFieldId="133" dataDxfId="13"/>
    <tableColumn id="74" xr3:uid="{48532DD1-5BFC-41A7-8EE2-5EF2DD728FDC}" uniqueName="74" name="S4Y" queryTableFieldId="134" dataDxfId="12"/>
    <tableColumn id="75" xr3:uid="{FCBDB018-9C3F-4DE3-99D0-BF419FCF5C1A}" uniqueName="75" name="S4.5Y" queryTableFieldId="135" dataDxfId="11"/>
    <tableColumn id="76" xr3:uid="{6AD9207C-4CFB-465F-8F9A-B32CA13F3905}" uniqueName="76" name="S5Y" queryTableFieldId="136" dataDxfId="10"/>
    <tableColumn id="77" xr3:uid="{D8C5A511-3FAC-41BF-9D8B-6FBE79047F6F}" uniqueName="77" name="S5.5Y" queryTableFieldId="137" dataDxfId="9"/>
    <tableColumn id="78" xr3:uid="{FAFD27F3-53D2-4B8D-A937-2F0550B83F8A}" uniqueName="78" name="S6Y" queryTableFieldId="138" dataDxfId="8"/>
    <tableColumn id="79" xr3:uid="{84B1A1D6-4A93-4D06-81A5-49C908E511CF}" uniqueName="79" name="S6.5Y" queryTableFieldId="139" dataDxfId="7"/>
    <tableColumn id="80" xr3:uid="{D8809837-EDDC-4A7B-9603-C77BD30851BF}" uniqueName="80" name="S7Y" queryTableFieldId="140" dataDxfId="6"/>
    <tableColumn id="81" xr3:uid="{C0551C2C-F491-4FFF-9590-F12AE0CAC1E9}" uniqueName="81" name="S10K" queryTableFieldId="141" dataDxfId="5"/>
    <tableColumn id="82" xr3:uid="{578F3766-8F77-4281-9901-A6B15E6EBE10}" uniqueName="82" name="S10.5K" queryTableFieldId="142" dataDxfId="4"/>
    <tableColumn id="83" xr3:uid="{B7EE706A-9FEC-4B5D-BFCF-D19E8C0A8C95}" uniqueName="83" name="S11K" queryTableFieldId="143" dataDxfId="3"/>
    <tableColumn id="84" xr3:uid="{1FA8D0E3-40A2-440D-8DDB-0C6F2AB18E59}" uniqueName="84" name="S11.5K" queryTableFieldId="144" dataDxfId="2"/>
    <tableColumn id="85" xr3:uid="{6DC0AB94-C145-4D69-A8CE-EE55FA7D1CB6}" uniqueName="85" name="S12K" queryTableFieldId="145" dataDxfId="1"/>
    <tableColumn id="86" xr3:uid="{D49AD2BF-25DC-4814-B1E1-54EF6BFDD94B}" uniqueName="86" name="1" queryTableFieldId="151" dataDxfId="0">
      <calculatedColumnFormula>TRIM(IFERROR(IFERROR(MID($D2,FIND("(D-",$D2)+1,6),LEFT($D2,FIND("(",$D2)-1)),$D2))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31FE7-8551-47F1-86EA-763A3F01E235}">
  <sheetPr codeName="Sheet11">
    <tabColor rgb="FF00B050"/>
    <pageSetUpPr fitToPage="1"/>
  </sheetPr>
  <dimension ref="A1:AN45"/>
  <sheetViews>
    <sheetView tabSelected="1" zoomScale="50" zoomScaleNormal="50" zoomScaleSheetLayoutView="40" zoomScalePageLayoutView="40" workbookViewId="0">
      <selection activeCell="A6" sqref="A6"/>
    </sheetView>
  </sheetViews>
  <sheetFormatPr defaultColWidth="9.109375" defaultRowHeight="21"/>
  <cols>
    <col min="1" max="1" width="50.77734375" style="17" customWidth="1"/>
    <col min="2" max="2" width="20.33203125" style="17" customWidth="1"/>
    <col min="3" max="3" width="11" style="17" customWidth="1"/>
    <col min="4" max="4" width="10.77734375" style="17" customWidth="1"/>
    <col min="5" max="38" width="11" style="17" customWidth="1"/>
    <col min="39" max="39" width="22.88671875" style="17" customWidth="1"/>
    <col min="40" max="40" width="19.77734375" style="16" bestFit="1" customWidth="1"/>
    <col min="41" max="41" width="23.33203125" style="17" customWidth="1"/>
    <col min="42" max="82" width="9.109375" style="17"/>
    <col min="83" max="83" width="8.33203125" style="17" customWidth="1"/>
    <col min="84" max="16384" width="9.109375" style="17"/>
  </cols>
  <sheetData>
    <row r="1" spans="1:40" s="6" customFormat="1" ht="39" customHeight="1">
      <c r="A1" s="62" t="s">
        <v>16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2"/>
      <c r="AL1" s="62"/>
      <c r="AM1" s="62"/>
      <c r="AN1" s="5"/>
    </row>
    <row r="2" spans="1:40" s="6" customFormat="1" ht="39" customHeight="1" thickBot="1">
      <c r="A2" s="7" t="s">
        <v>0</v>
      </c>
      <c r="B2" s="8" t="str">
        <f>VLOOKUP($A$43,PPC!$C:$CI,3,0)</f>
        <v>Men's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5"/>
    </row>
    <row r="3" spans="1:40" s="6" customFormat="1" ht="39" customHeight="1" thickBot="1">
      <c r="A3" s="7" t="s">
        <v>1</v>
      </c>
      <c r="B3" s="57" t="s">
        <v>97</v>
      </c>
      <c r="C3" s="8"/>
      <c r="D3" s="8"/>
      <c r="E3" s="8"/>
      <c r="F3" s="8"/>
      <c r="G3" s="8"/>
      <c r="H3" s="8" t="s">
        <v>3</v>
      </c>
      <c r="I3" s="8"/>
      <c r="J3" s="8" t="str">
        <f>VLOOKUP($B$3,'SETUP DAO'!$A:$B,2,0)</f>
        <v>JV1-0695-3(arch skive)</v>
      </c>
      <c r="K3" s="8"/>
      <c r="L3" s="8"/>
      <c r="M3" s="8"/>
      <c r="N3" s="8"/>
      <c r="O3" s="7" t="s">
        <v>4</v>
      </c>
      <c r="P3" s="8"/>
      <c r="Q3" s="54"/>
      <c r="R3" s="8"/>
      <c r="S3" s="7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5"/>
    </row>
    <row r="4" spans="1:40" s="6" customFormat="1" ht="21.6" thickBot="1">
      <c r="A4" s="7"/>
      <c r="B4" s="8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10"/>
      <c r="S4" s="10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8"/>
      <c r="AN4" s="5"/>
    </row>
    <row r="5" spans="1:40" ht="68.25" customHeight="1" thickBot="1">
      <c r="A5" s="11" t="s">
        <v>5</v>
      </c>
      <c r="B5" s="12" t="s">
        <v>6</v>
      </c>
      <c r="C5" s="13" cm="1">
        <f t="array" ref="C5:V5">TRANSPOSE(_xlfn.LET(
    _xlpm.sel, $A$6:$A$30,
    _xlpm.ord, OVN_SCHEDULE[PRO ORDER],
    _xlpm.sz_body, OVN_SCHEDULE[[S1]:[1]],
    _xlpm.sz_header, OVN_SCHEDULE[[#Headers],[S1]:[1]],
    _xlpm.cleanSel, _xlfn._xlws.FILTER(TRIM(TEXT(_xlpm.sel,"@")), TRIM(TEXT(_xlpm.sel,"@"))&lt;&gt;""),
    _xlpm.cleanOrd, TRIM(TEXT(_xlpm.ord,"@")),
    _xlpm.cleanBody, IFERROR(--TRIM(SUBSTITUTE(TEXT(_xlpm.sz_body,"0"),CHAR(160),"")),0),
    _xlpm.isSel, ISNUMBER(MATCH(_xlpm.cleanOrd, _xlpm.cleanSel, 0)),
    _xlpm.filtered_body, _xlfn._xlws.FILTER(_xlpm.cleanBody, _xlpm.isSel, 0),
    _xlpm.col_totals, _xlfn.BYCOL(_xlpm.filtered_body, _xlfn.LAMBDA(_xlpm.col, SUM(_xlpm.col))),
    _xlpm.keep, _xlfn._xlws.FILTER(_xlpm.sz_header, _xlpm.col_totals&gt;0, "Không có dữ liệu"),
    _xlpm.val_for_sort, IFERROR(--SUBSTITUTE(SUBSTITUTE(SUBSTITUTE(_xlpm.keep,"S",""),"K",""),"Y",""), 0),
    _xlpm.sorted_raw, IF(_xlfn.TAKE(_xlpm.keep,1)="Không có dữ liệu", _xlpm.keep, _xlfn.SORTBY(_xlpm.keep, _xlpm.val_for_sort, 1)),
    _xlpm.final_result, IF(_xlfn.TAKE(_xlpm.sorted_raw,1)="Không có dữ liệu", _xlpm.sorted_raw,
        _xlfn.MAP(_xlpm.sorted_raw, _xlfn.LAMBDA(_xlpm.s,
            _xlfn.LET(
                _xlpm.no_S, SUBSTITUTE(_xlpm.s, "S", ""),
                IF($Q$3="", _xlpm.no_S, IFERROR(--_xlpm.no_S - 1.5, _xlpm.no_S))
            )
        ))
    ),
    TRANSPOSE(_xlpm.final_result)
))*1</f>
        <v>4</v>
      </c>
      <c r="D5" s="13">
        <v>4.5</v>
      </c>
      <c r="E5" s="13">
        <v>5</v>
      </c>
      <c r="F5" s="13">
        <v>5.5</v>
      </c>
      <c r="G5" s="14">
        <v>6</v>
      </c>
      <c r="H5" s="13">
        <v>6.5</v>
      </c>
      <c r="I5" s="13">
        <v>7</v>
      </c>
      <c r="J5" s="13">
        <v>7.5</v>
      </c>
      <c r="K5" s="13">
        <v>8</v>
      </c>
      <c r="L5" s="13">
        <v>8.5</v>
      </c>
      <c r="M5" s="13">
        <v>9</v>
      </c>
      <c r="N5" s="13">
        <v>9.5</v>
      </c>
      <c r="O5" s="13">
        <v>10</v>
      </c>
      <c r="P5" s="13">
        <v>10.5</v>
      </c>
      <c r="Q5" s="13">
        <v>11</v>
      </c>
      <c r="R5" s="13">
        <v>11.5</v>
      </c>
      <c r="S5" s="13">
        <v>12</v>
      </c>
      <c r="T5" s="13">
        <v>13</v>
      </c>
      <c r="U5" s="13">
        <v>14</v>
      </c>
      <c r="V5" s="13">
        <v>15</v>
      </c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5" t="s">
        <v>7</v>
      </c>
    </row>
    <row r="6" spans="1:40" ht="21.75" customHeight="1">
      <c r="A6" s="56" t="s">
        <v>2654</v>
      </c>
      <c r="B6" s="55" cm="1">
        <f t="array" ref="B6">IF($A6="","",IFERROR(_xlfn.IFS($B$43&lt;=4,4,$B$43&lt;=5.5,3),1))</f>
        <v>4</v>
      </c>
      <c r="C6" s="19" cm="1">
        <f t="array" ref="C6:V6">IF($A6="", "",
   _xlfn.MAP(_xlfn.ANCHORARRAY(C$5), _xlfn.LAMBDA(_xlpm.h,
      _xlfn.LET(
         _xlpm.num_display, IFERROR(--SUBSTITUTE(_xlpm.h, "S", ""), 0),
         _xlpm.num_lookup, IF($Q$3="", _xlpm.num_display, _xlpm.num_display + 1.5),
         _xlpm.search_key, "S" &amp; _xlpm.num_lookup &amp; "*",
         _xlpm.target_col, INDEX(OVN_SCHEDULE[],,MATCH(_xlpm.search_key, OVN_SCHEDULE[#Headers], 0)),
         SUM(IFERROR(_xlfn._xlws.FILTER(_xlpm.target_col, OVN_SCHEDULE[PRO ORDER]=$A6), 0))
      )
   ))
)</f>
        <v>0</v>
      </c>
      <c r="D6" s="20">
        <v>0</v>
      </c>
      <c r="E6" s="21">
        <v>0</v>
      </c>
      <c r="F6" s="21">
        <v>0</v>
      </c>
      <c r="G6" s="21">
        <v>0</v>
      </c>
      <c r="H6" s="21">
        <v>0</v>
      </c>
      <c r="I6" s="21">
        <v>0</v>
      </c>
      <c r="J6" s="21">
        <v>0</v>
      </c>
      <c r="K6" s="21">
        <v>234</v>
      </c>
      <c r="L6" s="21">
        <v>198</v>
      </c>
      <c r="M6" s="21">
        <v>240</v>
      </c>
      <c r="N6" s="21">
        <v>228</v>
      </c>
      <c r="O6" s="21">
        <v>138</v>
      </c>
      <c r="P6" s="21">
        <v>132</v>
      </c>
      <c r="Q6" s="21">
        <v>210</v>
      </c>
      <c r="R6" s="21">
        <v>168</v>
      </c>
      <c r="S6" s="21">
        <v>186</v>
      </c>
      <c r="T6" s="21">
        <v>204</v>
      </c>
      <c r="U6" s="21">
        <v>0</v>
      </c>
      <c r="V6" s="21">
        <v>0</v>
      </c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2"/>
      <c r="AM6" s="18">
        <f>IF(A6="","",IF($B$3=AN6,IF(SUM($C6:$AL6)=VLOOKUP($A6,PPC!$A:$B,2,0),SUM($C6:$AL6),"Gọi Quân"),"Sai dao"))</f>
        <v>1938</v>
      </c>
      <c r="AN6" s="16" t="str">
        <f>IFERROR(VLOOKUP($A6,PPC!$A:$CM,86,0),0)</f>
        <v>JV1-0695-3</v>
      </c>
    </row>
    <row r="7" spans="1:40" ht="21.75" customHeight="1">
      <c r="A7" s="56" t="s">
        <v>2672</v>
      </c>
      <c r="B7" s="55" cm="1">
        <f t="array" ref="B7">IF($A7="","",IFERROR(_xlfn.IFS($B$43&lt;=4,4,$B$43&lt;=5.5,3),1))</f>
        <v>4</v>
      </c>
      <c r="C7" s="19" cm="1">
        <f t="array" ref="C7:V7">IF($A7="", "",
   _xlfn.MAP(_xlfn.ANCHORARRAY(C$5), _xlfn.LAMBDA(_xlpm.h,
      _xlfn.LET(
         _xlpm.num_display, IFERROR(--SUBSTITUTE(_xlpm.h, "S", ""), 0),
         _xlpm.num_lookup, IF($Q$3="", _xlpm.num_display, _xlpm.num_display + 1.5),
         _xlpm.search_key, "S" &amp; _xlpm.num_lookup &amp; "*",
         _xlpm.target_col, INDEX(OVN_SCHEDULE[],,MATCH(_xlpm.search_key, OVN_SCHEDULE[#Headers], 0)),
         SUM(IFERROR(_xlfn._xlws.FILTER(_xlpm.target_col, OVN_SCHEDULE[PRO ORDER]=$A7), 0))
      )
   ))
)</f>
        <v>30</v>
      </c>
      <c r="D7" s="23">
        <v>84</v>
      </c>
      <c r="E7" s="21">
        <v>90</v>
      </c>
      <c r="F7" s="21">
        <v>144</v>
      </c>
      <c r="G7" s="21">
        <v>96</v>
      </c>
      <c r="H7" s="21">
        <v>120</v>
      </c>
      <c r="I7" s="21">
        <v>102</v>
      </c>
      <c r="J7" s="21">
        <v>102</v>
      </c>
      <c r="K7" s="21">
        <v>0</v>
      </c>
      <c r="L7" s="21">
        <v>0</v>
      </c>
      <c r="M7" s="21">
        <v>0</v>
      </c>
      <c r="N7" s="21">
        <v>0</v>
      </c>
      <c r="O7" s="21">
        <v>0</v>
      </c>
      <c r="P7" s="21">
        <v>0</v>
      </c>
      <c r="Q7" s="21">
        <v>0</v>
      </c>
      <c r="R7" s="21">
        <v>0</v>
      </c>
      <c r="S7" s="21">
        <v>0</v>
      </c>
      <c r="T7" s="21">
        <v>0</v>
      </c>
      <c r="U7" s="21">
        <v>0</v>
      </c>
      <c r="V7" s="21">
        <v>0</v>
      </c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  <c r="AH7" s="21"/>
      <c r="AI7" s="21"/>
      <c r="AJ7" s="21"/>
      <c r="AK7" s="21"/>
      <c r="AL7" s="22"/>
      <c r="AM7" s="18">
        <f>IF(A7="","",IF($B$3=AN7,IF(SUM($C7:$AL7)=VLOOKUP($A7,PPC!$A:$B,2,0),SUM($C7:$AL7),"Gọi Quân"),"Sai dao"))</f>
        <v>768</v>
      </c>
      <c r="AN7" s="16" t="str">
        <f>IFERROR(VLOOKUP($A7,PPC!$A:$CM,86,0),0)</f>
        <v>JV1-0695-3</v>
      </c>
    </row>
    <row r="8" spans="1:40" ht="21.75" customHeight="1">
      <c r="A8" s="56" t="s">
        <v>2673</v>
      </c>
      <c r="B8" s="55" cm="1">
        <f t="array" ref="B8">IF($A8="","",IFERROR(_xlfn.IFS($B$43&lt;=4,4,$B$43&lt;=5.5,3),1))</f>
        <v>4</v>
      </c>
      <c r="C8" s="19" cm="1">
        <f t="array" ref="C8:V8">IF($A8="", "",
   _xlfn.MAP(_xlfn.ANCHORARRAY(C$5), _xlfn.LAMBDA(_xlpm.h,
      _xlfn.LET(
         _xlpm.num_display, IFERROR(--SUBSTITUTE(_xlpm.h, "S", ""), 0),
         _xlpm.num_lookup, IF($Q$3="", _xlpm.num_display, _xlpm.num_display + 1.5),
         _xlpm.search_key, "S" &amp; _xlpm.num_lookup &amp; "*",
         _xlpm.target_col, INDEX(OVN_SCHEDULE[],,MATCH(_xlpm.search_key, OVN_SCHEDULE[#Headers], 0)),
         SUM(IFERROR(_xlfn._xlws.FILTER(_xlpm.target_col, OVN_SCHEDULE[PRO ORDER]=$A8), 0))
      )
   ))
)</f>
        <v>18</v>
      </c>
      <c r="D8" s="23">
        <v>114</v>
      </c>
      <c r="E8" s="21">
        <v>120</v>
      </c>
      <c r="F8" s="21">
        <v>240</v>
      </c>
      <c r="G8" s="21">
        <v>120</v>
      </c>
      <c r="H8" s="21">
        <v>192</v>
      </c>
      <c r="I8" s="21">
        <v>216</v>
      </c>
      <c r="J8" s="21">
        <v>84</v>
      </c>
      <c r="K8" s="21">
        <v>0</v>
      </c>
      <c r="L8" s="21">
        <v>0</v>
      </c>
      <c r="M8" s="21">
        <v>0</v>
      </c>
      <c r="N8" s="21">
        <v>0</v>
      </c>
      <c r="O8" s="21">
        <v>0</v>
      </c>
      <c r="P8" s="21">
        <v>0</v>
      </c>
      <c r="Q8" s="21">
        <v>0</v>
      </c>
      <c r="R8" s="21">
        <v>0</v>
      </c>
      <c r="S8" s="21">
        <v>0</v>
      </c>
      <c r="T8" s="21">
        <v>0</v>
      </c>
      <c r="U8" s="21">
        <v>0</v>
      </c>
      <c r="V8" s="21">
        <v>0</v>
      </c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2"/>
      <c r="AM8" s="18">
        <f>IF(A8="","",IF($B$3=AN8,IF(SUM($C8:$AL8)=VLOOKUP($A8,PPC!$A:$B,2,0),SUM($C8:$AL8),"Gọi Quân"),"Sai dao"))</f>
        <v>1104</v>
      </c>
      <c r="AN8" s="16" t="str">
        <f>IFERROR(VLOOKUP($A8,PPC!$A:$CM,86,0),0)</f>
        <v>JV1-0695-3</v>
      </c>
    </row>
    <row r="9" spans="1:40" ht="21.75" customHeight="1">
      <c r="A9" s="56" t="s">
        <v>2636</v>
      </c>
      <c r="B9" s="55" cm="1">
        <f t="array" ref="B9">IF($A9="","",IFERROR(_xlfn.IFS($B$43&lt;=4,4,$B$43&lt;=5.5,3),1))</f>
        <v>4</v>
      </c>
      <c r="C9" s="19" cm="1">
        <f t="array" ref="C9:V9">IF($A9="", "",
   _xlfn.MAP(_xlfn.ANCHORARRAY(C$5), _xlfn.LAMBDA(_xlpm.h,
      _xlfn.LET(
         _xlpm.num_display, IFERROR(--SUBSTITUTE(_xlpm.h, "S", ""), 0),
         _xlpm.num_lookup, IF($Q$3="", _xlpm.num_display, _xlpm.num_display + 1.5),
         _xlpm.search_key, "S" &amp; _xlpm.num_lookup &amp; "*",
         _xlpm.target_col, INDEX(OVN_SCHEDULE[],,MATCH(_xlpm.search_key, OVN_SCHEDULE[#Headers], 0)),
         SUM(IFERROR(_xlfn._xlws.FILTER(_xlpm.target_col, OVN_SCHEDULE[PRO ORDER]=$A9), 0))
      )
   ))
)</f>
        <v>36</v>
      </c>
      <c r="D9" s="23">
        <v>66</v>
      </c>
      <c r="E9" s="21">
        <v>102</v>
      </c>
      <c r="F9" s="21">
        <v>138</v>
      </c>
      <c r="G9" s="21">
        <v>186</v>
      </c>
      <c r="H9" s="21">
        <v>198</v>
      </c>
      <c r="I9" s="21">
        <v>186</v>
      </c>
      <c r="J9" s="21">
        <v>138</v>
      </c>
      <c r="K9" s="21">
        <v>174</v>
      </c>
      <c r="L9" s="21">
        <v>138</v>
      </c>
      <c r="M9" s="21">
        <v>192</v>
      </c>
      <c r="N9" s="21">
        <v>174</v>
      </c>
      <c r="O9" s="21">
        <v>186</v>
      </c>
      <c r="P9" s="21">
        <v>144</v>
      </c>
      <c r="Q9" s="21">
        <v>210</v>
      </c>
      <c r="R9" s="21">
        <v>78</v>
      </c>
      <c r="S9" s="21">
        <v>150</v>
      </c>
      <c r="T9" s="21">
        <v>84</v>
      </c>
      <c r="U9" s="21">
        <v>30</v>
      </c>
      <c r="V9" s="21">
        <v>6</v>
      </c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2"/>
      <c r="AM9" s="18">
        <f>IF(A9="","",IF($B$3=AN9,IF(SUM($C9:$AL9)=VLOOKUP($A9,PPC!$A:$B,2,0),SUM($C9:$AL9),"Gọi Quân"),"Sai dao"))</f>
        <v>2616</v>
      </c>
      <c r="AN9" s="16" t="str">
        <f>IFERROR(VLOOKUP($A9,PPC!$A:$CM,86,0),0)</f>
        <v>JV1-0695-3</v>
      </c>
    </row>
    <row r="10" spans="1:40" ht="21.75" customHeight="1">
      <c r="A10" s="56" t="s">
        <v>2659</v>
      </c>
      <c r="B10" s="55" cm="1">
        <f t="array" ref="B10">IF($A10="","",IFERROR(_xlfn.IFS($B$43&lt;=4,4,$B$43&lt;=5.5,3),1))</f>
        <v>4</v>
      </c>
      <c r="C10" s="19" cm="1">
        <f t="array" ref="C10:V10">IF($A10="", "",
   _xlfn.MAP(_xlfn.ANCHORARRAY(C$5), _xlfn.LAMBDA(_xlpm.h,
      _xlfn.LET(
         _xlpm.num_display, IFERROR(--SUBSTITUTE(_xlpm.h, "S", ""), 0),
         _xlpm.num_lookup, IF($Q$3="", _xlpm.num_display, _xlpm.num_display + 1.5),
         _xlpm.search_key, "S" &amp; _xlpm.num_lookup &amp; "*",
         _xlpm.target_col, INDEX(OVN_SCHEDULE[],,MATCH(_xlpm.search_key, OVN_SCHEDULE[#Headers], 0)),
         SUM(IFERROR(_xlfn._xlws.FILTER(_xlpm.target_col, OVN_SCHEDULE[PRO ORDER]=$A10), 0))
      )
   ))
)</f>
        <v>36</v>
      </c>
      <c r="D10" s="23">
        <v>204</v>
      </c>
      <c r="E10" s="21">
        <v>294</v>
      </c>
      <c r="F10" s="21">
        <v>294</v>
      </c>
      <c r="G10" s="21">
        <v>264</v>
      </c>
      <c r="H10" s="21">
        <v>324</v>
      </c>
      <c r="I10" s="21">
        <v>312</v>
      </c>
      <c r="J10" s="21">
        <v>330</v>
      </c>
      <c r="K10" s="21">
        <v>204</v>
      </c>
      <c r="L10" s="21">
        <v>132</v>
      </c>
      <c r="M10" s="21">
        <v>60</v>
      </c>
      <c r="N10" s="21">
        <v>24</v>
      </c>
      <c r="O10" s="21">
        <v>6</v>
      </c>
      <c r="P10" s="21">
        <v>6</v>
      </c>
      <c r="Q10" s="21">
        <v>0</v>
      </c>
      <c r="R10" s="21">
        <v>0</v>
      </c>
      <c r="S10" s="21">
        <v>0</v>
      </c>
      <c r="T10" s="21">
        <v>0</v>
      </c>
      <c r="U10" s="21">
        <v>0</v>
      </c>
      <c r="V10" s="21">
        <v>0</v>
      </c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2"/>
      <c r="AM10" s="18">
        <f>IF(A10="","",IF($B$3=AN10,IF(SUM($C10:$AL10)=VLOOKUP($A10,PPC!$A:$B,2,0),SUM($C10:$AL10),"Gọi Quân"),"Sai dao"))</f>
        <v>2490</v>
      </c>
      <c r="AN10" s="16" t="str">
        <f>IFERROR(VLOOKUP($A10,PPC!$A:$CM,86,0),0)</f>
        <v>JV1-0695-3</v>
      </c>
    </row>
    <row r="11" spans="1:40" ht="21.75" customHeight="1">
      <c r="A11" s="56" t="s">
        <v>2656</v>
      </c>
      <c r="B11" s="55" cm="1">
        <f t="array" ref="B11">IF($A11="","",IFERROR(_xlfn.IFS($B$43&lt;=4,4,$B$43&lt;=5.5,3),1))</f>
        <v>4</v>
      </c>
      <c r="C11" s="19" cm="1">
        <f t="array" ref="C11:V11">IF($A11="", "",
   _xlfn.MAP(_xlfn.ANCHORARRAY(C$5), _xlfn.LAMBDA(_xlpm.h,
      _xlfn.LET(
         _xlpm.num_display, IFERROR(--SUBSTITUTE(_xlpm.h, "S", ""), 0),
         _xlpm.num_lookup, IF($Q$3="", _xlpm.num_display, _xlpm.num_display + 1.5),
         _xlpm.search_key, "S" &amp; _xlpm.num_lookup &amp; "*",
         _xlpm.target_col, INDEX(OVN_SCHEDULE[],,MATCH(_xlpm.search_key, OVN_SCHEDULE[#Headers], 0)),
         SUM(IFERROR(_xlfn._xlws.FILTER(_xlpm.target_col, OVN_SCHEDULE[PRO ORDER]=$A11), 0))
      )
   ))
)</f>
        <v>0</v>
      </c>
      <c r="D11" s="23">
        <v>0</v>
      </c>
      <c r="E11" s="21">
        <v>0</v>
      </c>
      <c r="F11" s="21">
        <v>0</v>
      </c>
      <c r="G11" s="21">
        <v>0</v>
      </c>
      <c r="H11" s="21">
        <v>0</v>
      </c>
      <c r="I11" s="21">
        <v>0</v>
      </c>
      <c r="J11" s="21">
        <v>0</v>
      </c>
      <c r="K11" s="21">
        <v>0</v>
      </c>
      <c r="L11" s="21">
        <v>0</v>
      </c>
      <c r="M11" s="21">
        <v>0</v>
      </c>
      <c r="N11" s="21">
        <v>0</v>
      </c>
      <c r="O11" s="21">
        <v>0</v>
      </c>
      <c r="P11" s="21">
        <v>0</v>
      </c>
      <c r="Q11" s="21">
        <v>258</v>
      </c>
      <c r="R11" s="21">
        <v>150</v>
      </c>
      <c r="S11" s="21">
        <v>186</v>
      </c>
      <c r="T11" s="21">
        <v>132</v>
      </c>
      <c r="U11" s="21">
        <v>30</v>
      </c>
      <c r="V11" s="21">
        <v>0</v>
      </c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2"/>
      <c r="AM11" s="18">
        <f>IF(A11="","",IF($B$3=AN11,IF(SUM($C11:$AL11)=VLOOKUP($A11,PPC!$A:$B,2,0),SUM($C11:$AL11),"Gọi Quân"),"Sai dao"))</f>
        <v>756</v>
      </c>
      <c r="AN11" s="16" t="str">
        <f>IFERROR(VLOOKUP($A11,PPC!$A:$CM,86,0),0)</f>
        <v>JV1-0695-3</v>
      </c>
    </row>
    <row r="12" spans="1:40" ht="21.75" customHeight="1">
      <c r="A12" s="56" t="s">
        <v>2658</v>
      </c>
      <c r="B12" s="55" cm="1">
        <f t="array" ref="B12">IF($A12="","",IFERROR(_xlfn.IFS($B$43&lt;=4,4,$B$43&lt;=5.5,3),1))</f>
        <v>4</v>
      </c>
      <c r="C12" s="19" cm="1">
        <f t="array" ref="C12:V12">IF($A12="", "",
   _xlfn.MAP(_xlfn.ANCHORARRAY(C$5), _xlfn.LAMBDA(_xlpm.h,
      _xlfn.LET(
         _xlpm.num_display, IFERROR(--SUBSTITUTE(_xlpm.h, "S", ""), 0),
         _xlpm.num_lookup, IF($Q$3="", _xlpm.num_display, _xlpm.num_display + 1.5),
         _xlpm.search_key, "S" &amp; _xlpm.num_lookup &amp; "*",
         _xlpm.target_col, INDEX(OVN_SCHEDULE[],,MATCH(_xlpm.search_key, OVN_SCHEDULE[#Headers], 0)),
         SUM(IFERROR(_xlfn._xlws.FILTER(_xlpm.target_col, OVN_SCHEDULE[PRO ORDER]=$A12), 0))
      )
   ))
)</f>
        <v>18</v>
      </c>
      <c r="D12" s="23">
        <v>48</v>
      </c>
      <c r="E12" s="21">
        <v>54</v>
      </c>
      <c r="F12" s="21">
        <v>96</v>
      </c>
      <c r="G12" s="21">
        <v>72</v>
      </c>
      <c r="H12" s="21">
        <v>101</v>
      </c>
      <c r="I12" s="21">
        <v>102</v>
      </c>
      <c r="J12" s="21">
        <v>54</v>
      </c>
      <c r="K12" s="21">
        <v>0</v>
      </c>
      <c r="L12" s="21">
        <v>0</v>
      </c>
      <c r="M12" s="21">
        <v>0</v>
      </c>
      <c r="N12" s="21">
        <v>0</v>
      </c>
      <c r="O12" s="21">
        <v>0</v>
      </c>
      <c r="P12" s="21">
        <v>0</v>
      </c>
      <c r="Q12" s="21">
        <v>0</v>
      </c>
      <c r="R12" s="21">
        <v>0</v>
      </c>
      <c r="S12" s="21">
        <v>0</v>
      </c>
      <c r="T12" s="21">
        <v>0</v>
      </c>
      <c r="U12" s="21">
        <v>0</v>
      </c>
      <c r="V12" s="21">
        <v>0</v>
      </c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2"/>
      <c r="AM12" s="18">
        <f>IF(A12="","",IF($B$3=AN12,IF(SUM($C12:$AL12)=VLOOKUP($A12,PPC!$A:$B,2,0),SUM($C12:$AL12),"Gọi Quân"),"Sai dao"))</f>
        <v>545</v>
      </c>
      <c r="AN12" s="16" t="str">
        <f>IFERROR(VLOOKUP($A12,PPC!$A:$CM,86,0),0)</f>
        <v>JV1-0695-3</v>
      </c>
    </row>
    <row r="13" spans="1:40" ht="21.75" customHeight="1">
      <c r="A13" s="56"/>
      <c r="B13" s="55" t="str" cm="1">
        <f t="array" ref="B13">IF($A13="","",IFERROR(_xlfn.IFS($B$43&lt;=4,4,$B$43&lt;=5.5,3),1))</f>
        <v/>
      </c>
      <c r="C13" s="19" t="str" cm="1">
        <f t="array" ref="C13">IF($A13="", "",
   _xlfn.MAP(_xlfn.ANCHORARRAY(C$5), _xlfn.LAMBDA(_xlpm.h,
      _xlfn.LET(
         _xlpm.num_display, IFERROR(--SUBSTITUTE(_xlpm.h, "S", ""), 0),
         _xlpm.num_lookup, IF($Q$3="", _xlpm.num_display, _xlpm.num_display + 1.5),
         _xlpm.search_key, "S" &amp; _xlpm.num_lookup &amp; "*",
         _xlpm.target_col, INDEX(OVN_SCHEDULE[],,MATCH(_xlpm.search_key, OVN_SCHEDULE[#Headers], 0)),
         SUM(IFERROR(_xlfn._xlws.FILTER(_xlpm.target_col, OVN_SCHEDULE[PRO ORDER]=$A13), 0))
      )
   ))
)</f>
        <v/>
      </c>
      <c r="D13" s="23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2"/>
      <c r="AM13" s="18" t="str">
        <f>IF(A13="","",IF($B$3=AN13,IF(SUM($C13:$AL13)=VLOOKUP($A13,PPC!$A:$B,2,0),SUM($C13:$AL13),"Gọi Quân"),"Sai dao"))</f>
        <v/>
      </c>
      <c r="AN13" s="16">
        <f>IFERROR(VLOOKUP($A13,PPC!$A:$CM,86,0),0)</f>
        <v>0</v>
      </c>
    </row>
    <row r="14" spans="1:40" ht="21.75" customHeight="1">
      <c r="A14" s="56"/>
      <c r="B14" s="55" t="str" cm="1">
        <f t="array" ref="B14">IF($A14="","",IFERROR(_xlfn.IFS($B$43&lt;=4,4,$B$43&lt;=5.5,3),1))</f>
        <v/>
      </c>
      <c r="C14" s="19" t="str" cm="1">
        <f t="array" ref="C14">IF($A14="", "",
   _xlfn.MAP(_xlfn.ANCHORARRAY(C$5), _xlfn.LAMBDA(_xlpm.h,
      _xlfn.LET(
         _xlpm.num_display, IFERROR(--SUBSTITUTE(_xlpm.h, "S", ""), 0),
         _xlpm.num_lookup, IF($Q$3="", _xlpm.num_display, _xlpm.num_display + 1.5),
         _xlpm.search_key, "S" &amp; _xlpm.num_lookup &amp; "*",
         _xlpm.target_col, INDEX(OVN_SCHEDULE[],,MATCH(_xlpm.search_key, OVN_SCHEDULE[#Headers], 0)),
         SUM(IFERROR(_xlfn._xlws.FILTER(_xlpm.target_col, OVN_SCHEDULE[PRO ORDER]=$A14), 0))
      )
   ))
)</f>
        <v/>
      </c>
      <c r="D14" s="23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2"/>
      <c r="AM14" s="18" t="str">
        <f>IF(A14="","",IF($B$3=AN14,IF(SUM($C14:$AL14)=VLOOKUP($A14,PPC!$A:$B,2,0),SUM($C14:$AL14),"Gọi Quân"),"Sai dao"))</f>
        <v/>
      </c>
      <c r="AN14" s="16">
        <f>IFERROR(VLOOKUP($A14,PPC!$A:$CM,86,0),0)</f>
        <v>0</v>
      </c>
    </row>
    <row r="15" spans="1:40" ht="21.75" customHeight="1">
      <c r="A15" s="56"/>
      <c r="B15" s="55" t="str" cm="1">
        <f t="array" ref="B15">IF($A15="","",IFERROR(_xlfn.IFS($B$43&lt;=4,4,$B$43&lt;=5.5,3),1))</f>
        <v/>
      </c>
      <c r="C15" s="19" t="str" cm="1">
        <f t="array" ref="C15">IF($A15="", "",
   _xlfn.MAP(_xlfn.ANCHORARRAY(C$5), _xlfn.LAMBDA(_xlpm.h,
      _xlfn.LET(
         _xlpm.num_display, IFERROR(--SUBSTITUTE(_xlpm.h, "S", ""), 0),
         _xlpm.num_lookup, IF($Q$3="", _xlpm.num_display, _xlpm.num_display + 1.5),
         _xlpm.search_key, "S" &amp; _xlpm.num_lookup &amp; "*",
         _xlpm.target_col, INDEX(OVN_SCHEDULE[],,MATCH(_xlpm.search_key, OVN_SCHEDULE[#Headers], 0)),
         SUM(IFERROR(_xlfn._xlws.FILTER(_xlpm.target_col, OVN_SCHEDULE[PRO ORDER]=$A15), 0))
      )
   ))
)</f>
        <v/>
      </c>
      <c r="D15" s="23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2"/>
      <c r="AM15" s="18" t="str">
        <f>IF(A15="","",IF($B$3=AN15,IF(SUM($C15:$AL15)=VLOOKUP($A15,PPC!$A:$B,2,0),SUM($C15:$AL15),"Gọi Quân"),"Sai dao"))</f>
        <v/>
      </c>
      <c r="AN15" s="16">
        <f>IFERROR(VLOOKUP($A15,PPC!$A:$CM,86,0),0)</f>
        <v>0</v>
      </c>
    </row>
    <row r="16" spans="1:40" ht="23.25" customHeight="1">
      <c r="A16" s="56"/>
      <c r="B16" s="55" t="str" cm="1">
        <f t="array" ref="B16">IF($A16="","",IFERROR(_xlfn.IFS($B$43&lt;=4,4,$B$43&lt;=5.5,3),1))</f>
        <v/>
      </c>
      <c r="C16" s="19" t="str" cm="1">
        <f t="array" ref="C16">IF($A16="", "",
   _xlfn.MAP(_xlfn.ANCHORARRAY(C$5), _xlfn.LAMBDA(_xlpm.h,
      _xlfn.LET(
         _xlpm.num_display, IFERROR(--SUBSTITUTE(_xlpm.h, "S", ""), 0),
         _xlpm.num_lookup, IF($Q$3="", _xlpm.num_display, _xlpm.num_display + 1.5),
         _xlpm.search_key, "S" &amp; _xlpm.num_lookup &amp; "*",
         _xlpm.target_col, INDEX(OVN_SCHEDULE[],,MATCH(_xlpm.search_key, OVN_SCHEDULE[#Headers], 0)),
         SUM(IFERROR(_xlfn._xlws.FILTER(_xlpm.target_col, OVN_SCHEDULE[PRO ORDER]=$A16), 0))
      )
   ))
)</f>
        <v/>
      </c>
      <c r="D16" s="23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22"/>
      <c r="AM16" s="18" t="str">
        <f>IF(A16="","",IF($B$3=AN16,IF(SUM($C16:$AL16)=VLOOKUP($A16,PPC!$A:$B,2,0),SUM($C16:$AL16),"Gọi Quân"),"Sai dao"))</f>
        <v/>
      </c>
      <c r="AN16" s="16">
        <f>IFERROR(VLOOKUP($A16,PPC!$A:$CM,86,0),0)</f>
        <v>0</v>
      </c>
    </row>
    <row r="17" spans="1:40" ht="21.75" customHeight="1">
      <c r="A17" s="56"/>
      <c r="B17" s="55" t="str" cm="1">
        <f t="array" ref="B17">IF($A17="","",IFERROR(_xlfn.IFS($B$43&lt;=4,4,$B$43&lt;=5.5,3),1))</f>
        <v/>
      </c>
      <c r="C17" s="19" t="str" cm="1">
        <f t="array" ref="C17">IF($A17="", "",
   _xlfn.MAP(_xlfn.ANCHORARRAY(C$5), _xlfn.LAMBDA(_xlpm.h,
      _xlfn.LET(
         _xlpm.num_display, IFERROR(--SUBSTITUTE(_xlpm.h, "S", ""), 0),
         _xlpm.num_lookup, IF($Q$3="", _xlpm.num_display, _xlpm.num_display + 1.5),
         _xlpm.search_key, "S" &amp; _xlpm.num_lookup &amp; "*",
         _xlpm.target_col, INDEX(OVN_SCHEDULE[],,MATCH(_xlpm.search_key, OVN_SCHEDULE[#Headers], 0)),
         SUM(IFERROR(_xlfn._xlws.FILTER(_xlpm.target_col, OVN_SCHEDULE[PRO ORDER]=$A17), 0))
      )
   ))
)</f>
        <v/>
      </c>
      <c r="D17" s="23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22"/>
      <c r="AM17" s="18" t="str">
        <f>IF(A17="","",IF($B$3=AN17,IF(SUM($C17:$AL17)=VLOOKUP($A17,PPC!$A:$B,2,0),SUM($C17:$AL17),"Gọi Quân"),"Sai dao"))</f>
        <v/>
      </c>
      <c r="AN17" s="16">
        <f>IFERROR(VLOOKUP($A17,PPC!$A:$CM,86,0),0)</f>
        <v>0</v>
      </c>
    </row>
    <row r="18" spans="1:40" ht="21.75" customHeight="1">
      <c r="A18" s="56"/>
      <c r="B18" s="55" t="str" cm="1">
        <f t="array" ref="B18">IF($A18="","",IFERROR(_xlfn.IFS($B$43&lt;=4,4,$B$43&lt;=5.5,3),1))</f>
        <v/>
      </c>
      <c r="C18" s="19" t="str" cm="1">
        <f t="array" ref="C18">IF($A18="", "",
   _xlfn.MAP(_xlfn.ANCHORARRAY(C$5), _xlfn.LAMBDA(_xlpm.h,
      _xlfn.LET(
         _xlpm.num_display, IFERROR(--SUBSTITUTE(_xlpm.h, "S", ""), 0),
         _xlpm.num_lookup, IF($Q$3="", _xlpm.num_display, _xlpm.num_display + 1.5),
         _xlpm.search_key, "S" &amp; _xlpm.num_lookup &amp; "*",
         _xlpm.target_col, INDEX(OVN_SCHEDULE[],,MATCH(_xlpm.search_key, OVN_SCHEDULE[#Headers], 0)),
         SUM(IFERROR(_xlfn._xlws.FILTER(_xlpm.target_col, OVN_SCHEDULE[PRO ORDER]=$A18), 0))
      )
   ))
)</f>
        <v/>
      </c>
      <c r="D18" s="23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2"/>
      <c r="AM18" s="18" t="str">
        <f>IF(A18="","",IF($B$3=AN18,IF(SUM($C18:$AL18)=VLOOKUP($A18,PPC!$A:$B,2,0),SUM($C18:$AL18),"Gọi Quân"),"Sai dao"))</f>
        <v/>
      </c>
      <c r="AN18" s="16">
        <f>IFERROR(VLOOKUP($A18,PPC!$A:$CM,86,0),0)</f>
        <v>0</v>
      </c>
    </row>
    <row r="19" spans="1:40" ht="21.75" customHeight="1">
      <c r="A19" s="56"/>
      <c r="B19" s="55" t="str" cm="1">
        <f t="array" ref="B19">IF($A19="","",IFERROR(_xlfn.IFS($B$43&lt;=4,4,$B$43&lt;=5.5,3),1))</f>
        <v/>
      </c>
      <c r="C19" s="19" t="str" cm="1">
        <f t="array" ref="C19">IF($A19="", "",
   _xlfn.MAP(_xlfn.ANCHORARRAY(C$5), _xlfn.LAMBDA(_xlpm.h,
      _xlfn.LET(
         _xlpm.num_display, IFERROR(--SUBSTITUTE(_xlpm.h, "S", ""), 0),
         _xlpm.num_lookup, IF($Q$3="", _xlpm.num_display, _xlpm.num_display + 1.5),
         _xlpm.search_key, "S" &amp; _xlpm.num_lookup &amp; "*",
         _xlpm.target_col, INDEX(OVN_SCHEDULE[],,MATCH(_xlpm.search_key, OVN_SCHEDULE[#Headers], 0)),
         SUM(IFERROR(_xlfn._xlws.FILTER(_xlpm.target_col, OVN_SCHEDULE[PRO ORDER]=$A19), 0))
      )
   ))
)</f>
        <v/>
      </c>
      <c r="D19" s="23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  <c r="AH19" s="21"/>
      <c r="AI19" s="21"/>
      <c r="AJ19" s="21"/>
      <c r="AK19" s="21"/>
      <c r="AL19" s="22"/>
      <c r="AM19" s="18" t="str">
        <f>IF(A19="","",IF($B$3=AN19,IF(SUM($C19:$AL19)=VLOOKUP($A19,PPC!$A:$B,2,0),SUM($C19:$AL19),"Gọi Quân"),"Sai dao"))</f>
        <v/>
      </c>
      <c r="AN19" s="16">
        <f>IFERROR(VLOOKUP($A19,PPC!$A:$CM,86,0),0)</f>
        <v>0</v>
      </c>
    </row>
    <row r="20" spans="1:40" ht="21.75" customHeight="1">
      <c r="A20" s="56"/>
      <c r="B20" s="55" t="str" cm="1">
        <f t="array" ref="B20">IF($A20="","",IFERROR(_xlfn.IFS($B$43&lt;=4,4,$B$43&lt;=5.5,3),1))</f>
        <v/>
      </c>
      <c r="C20" s="19" t="str" cm="1">
        <f t="array" ref="C20">IF($A20="", "",
   _xlfn.MAP(_xlfn.ANCHORARRAY(C$5), _xlfn.LAMBDA(_xlpm.h,
      _xlfn.LET(
         _xlpm.num_display, IFERROR(--SUBSTITUTE(_xlpm.h, "S", ""), 0),
         _xlpm.num_lookup, IF($Q$3="", _xlpm.num_display, _xlpm.num_display + 1.5),
         _xlpm.search_key, "S" &amp; _xlpm.num_lookup &amp; "*",
         _xlpm.target_col, INDEX(OVN_SCHEDULE[],,MATCH(_xlpm.search_key, OVN_SCHEDULE[#Headers], 0)),
         SUM(IFERROR(_xlfn._xlws.FILTER(_xlpm.target_col, OVN_SCHEDULE[PRO ORDER]=$A20), 0))
      )
   ))
)</f>
        <v/>
      </c>
      <c r="D20" s="23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  <c r="AH20" s="21"/>
      <c r="AI20" s="21"/>
      <c r="AJ20" s="21"/>
      <c r="AK20" s="21"/>
      <c r="AL20" s="22"/>
      <c r="AM20" s="18" t="str">
        <f>IF(A20="","",IF($B$3=AN20,IF(SUM($C20:$AL20)=VLOOKUP($A20,PPC!$A:$B,2,0),SUM($C20:$AL20),"Gọi Quân"),"Sai dao"))</f>
        <v/>
      </c>
      <c r="AN20" s="16">
        <f>IFERROR(VLOOKUP($A20,PPC!$A:$CM,86,0),0)</f>
        <v>0</v>
      </c>
    </row>
    <row r="21" spans="1:40" ht="21.75" customHeight="1">
      <c r="A21" s="56"/>
      <c r="B21" s="55" t="str" cm="1">
        <f t="array" ref="B21">IF($A21="","",IFERROR(_xlfn.IFS($B$43&lt;=4,4,$B$43&lt;=5.5,3),1))</f>
        <v/>
      </c>
      <c r="C21" s="19" t="str" cm="1">
        <f t="array" ref="C21">IF($A21="", "",
   _xlfn.MAP(_xlfn.ANCHORARRAY(C$5), _xlfn.LAMBDA(_xlpm.h,
      _xlfn.LET(
         _xlpm.num_display, IFERROR(--SUBSTITUTE(_xlpm.h, "S", ""), 0),
         _xlpm.num_lookup, IF($Q$3="", _xlpm.num_display, _xlpm.num_display + 1.5),
         _xlpm.search_key, "S" &amp; _xlpm.num_lookup &amp; "*",
         _xlpm.target_col, INDEX(OVN_SCHEDULE[],,MATCH(_xlpm.search_key, OVN_SCHEDULE[#Headers], 0)),
         SUM(IFERROR(_xlfn._xlws.FILTER(_xlpm.target_col, OVN_SCHEDULE[PRO ORDER]=$A21), 0))
      )
   ))
)</f>
        <v/>
      </c>
      <c r="D21" s="23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  <c r="AJ21" s="21"/>
      <c r="AK21" s="21"/>
      <c r="AL21" s="22"/>
      <c r="AM21" s="18" t="str">
        <f>IF(A21="","",IF($B$3=AN21,IF(SUM($C21:$AL21)=VLOOKUP($A21,PPC!$A:$B,2,0),SUM($C21:$AL21),"Gọi Quân"),"Sai dao"))</f>
        <v/>
      </c>
      <c r="AN21" s="16">
        <f>IFERROR(VLOOKUP($A21,PPC!$A:$CM,86,0),0)</f>
        <v>0</v>
      </c>
    </row>
    <row r="22" spans="1:40" ht="21.75" customHeight="1">
      <c r="A22" s="56"/>
      <c r="B22" s="55" t="str" cm="1">
        <f t="array" ref="B22">IF($A22="","",IFERROR(_xlfn.IFS($B$43&lt;=4,4,$B$43&lt;=5.5,3),1))</f>
        <v/>
      </c>
      <c r="C22" s="19" t="str" cm="1">
        <f t="array" ref="C22">IF($A22="", "",
   _xlfn.MAP(_xlfn.ANCHORARRAY(C$5), _xlfn.LAMBDA(_xlpm.h,
      _xlfn.LET(
         _xlpm.num_display, IFERROR(--SUBSTITUTE(_xlpm.h, "S", ""), 0),
         _xlpm.num_lookup, IF($Q$3="", _xlpm.num_display, _xlpm.num_display + 1.5),
         _xlpm.search_key, "S" &amp; _xlpm.num_lookup &amp; "*",
         _xlpm.target_col, INDEX(OVN_SCHEDULE[],,MATCH(_xlpm.search_key, OVN_SCHEDULE[#Headers], 0)),
         SUM(IFERROR(_xlfn._xlws.FILTER(_xlpm.target_col, OVN_SCHEDULE[PRO ORDER]=$A22), 0))
      )
   ))
)</f>
        <v/>
      </c>
      <c r="D22" s="23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  <c r="AH22" s="21"/>
      <c r="AI22" s="21"/>
      <c r="AJ22" s="21"/>
      <c r="AK22" s="21"/>
      <c r="AL22" s="22"/>
      <c r="AM22" s="18" t="str">
        <f>IF(A22="","",IF($B$3=AN22,IF(SUM($C22:$AL22)=VLOOKUP($A22,PPC!$A:$B,2,0),SUM($C22:$AL22),"Gọi Quân"),"Sai dao"))</f>
        <v/>
      </c>
      <c r="AN22" s="16">
        <f>IFERROR(VLOOKUP($A22,PPC!$A:$CM,86,0),0)</f>
        <v>0</v>
      </c>
    </row>
    <row r="23" spans="1:40" ht="21.75" customHeight="1">
      <c r="A23" s="56"/>
      <c r="B23" s="55" t="str" cm="1">
        <f t="array" ref="B23">IF($A23="","",IFERROR(_xlfn.IFS($B$43&lt;=4,4,$B$43&lt;=5.5,3),1))</f>
        <v/>
      </c>
      <c r="C23" s="19" t="str" cm="1">
        <f t="array" ref="C23">IF($A23="", "",
   _xlfn.MAP(_xlfn.ANCHORARRAY(C$5), _xlfn.LAMBDA(_xlpm.h,
      _xlfn.LET(
         _xlpm.num_display, IFERROR(--SUBSTITUTE(_xlpm.h, "S", ""), 0),
         _xlpm.num_lookup, IF($Q$3="", _xlpm.num_display, _xlpm.num_display + 1.5),
         _xlpm.search_key, "S" &amp; _xlpm.num_lookup &amp; "*",
         _xlpm.target_col, INDEX(OVN_SCHEDULE[],,MATCH(_xlpm.search_key, OVN_SCHEDULE[#Headers], 0)),
         SUM(IFERROR(_xlfn._xlws.FILTER(_xlpm.target_col, OVN_SCHEDULE[PRO ORDER]=$A23), 0))
      )
   ))
)</f>
        <v/>
      </c>
      <c r="D23" s="23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  <c r="AH23" s="21"/>
      <c r="AI23" s="21"/>
      <c r="AJ23" s="21"/>
      <c r="AK23" s="21"/>
      <c r="AL23" s="22"/>
      <c r="AM23" s="18" t="str">
        <f>IF(A23="","",IF($B$3=AN23,IF(SUM($C23:$AL23)=VLOOKUP($A23,PPC!$A:$B,2,0),SUM($C23:$AL23),"Gọi Quân"),"Sai dao"))</f>
        <v/>
      </c>
      <c r="AN23" s="16">
        <f>IFERROR(VLOOKUP($A23,PPC!$A:$CM,86,0),0)</f>
        <v>0</v>
      </c>
    </row>
    <row r="24" spans="1:40" ht="21.75" customHeight="1">
      <c r="A24" s="56"/>
      <c r="B24" s="55" t="str" cm="1">
        <f t="array" ref="B24">IF($A24="","",IFERROR(_xlfn.IFS($B$43&lt;=4,4,$B$43&lt;=5.5,3),1))</f>
        <v/>
      </c>
      <c r="C24" s="19" t="str" cm="1">
        <f t="array" ref="C24">IF($A24="", "",
   _xlfn.MAP(_xlfn.ANCHORARRAY(C$5), _xlfn.LAMBDA(_xlpm.h,
      _xlfn.LET(
         _xlpm.num_display, IFERROR(--SUBSTITUTE(_xlpm.h, "S", ""), 0),
         _xlpm.num_lookup, IF($Q$3="", _xlpm.num_display, _xlpm.num_display + 1.5),
         _xlpm.search_key, "S" &amp; _xlpm.num_lookup &amp; "*",
         _xlpm.target_col, INDEX(OVN_SCHEDULE[],,MATCH(_xlpm.search_key, OVN_SCHEDULE[#Headers], 0)),
         SUM(IFERROR(_xlfn._xlws.FILTER(_xlpm.target_col, OVN_SCHEDULE[PRO ORDER]=$A24), 0))
      )
   ))
)</f>
        <v/>
      </c>
      <c r="D24" s="23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  <c r="AI24" s="21"/>
      <c r="AJ24" s="21"/>
      <c r="AK24" s="21"/>
      <c r="AL24" s="22"/>
      <c r="AM24" s="18" t="str">
        <f>IF(A24="","",IF($B$3=AN24,IF(SUM($C24:$AL24)=VLOOKUP($A24,PPC!$A:$B,2,0),SUM($C24:$AL24),"Gọi Quân"),"Sai dao"))</f>
        <v/>
      </c>
      <c r="AN24" s="16">
        <f>IFERROR(VLOOKUP($A24,PPC!$A:$CM,86,0),0)</f>
        <v>0</v>
      </c>
    </row>
    <row r="25" spans="1:40" ht="21.75" customHeight="1">
      <c r="A25" s="56"/>
      <c r="B25" s="55" t="str" cm="1">
        <f t="array" ref="B25">IF($A25="","",IFERROR(_xlfn.IFS($B$43&lt;=4,4,$B$43&lt;=5.5,3),1))</f>
        <v/>
      </c>
      <c r="C25" s="19" t="str" cm="1">
        <f t="array" ref="C25">IF($A25="", "",
   _xlfn.MAP(_xlfn.ANCHORARRAY(C$5), _xlfn.LAMBDA(_xlpm.h,
      _xlfn.LET(
         _xlpm.num_display, IFERROR(--SUBSTITUTE(_xlpm.h, "S", ""), 0),
         _xlpm.num_lookup, IF($Q$3="", _xlpm.num_display, _xlpm.num_display + 1.5),
         _xlpm.search_key, "S" &amp; _xlpm.num_lookup &amp; "*",
         _xlpm.target_col, INDEX(OVN_SCHEDULE[],,MATCH(_xlpm.search_key, OVN_SCHEDULE[#Headers], 0)),
         SUM(IFERROR(_xlfn._xlws.FILTER(_xlpm.target_col, OVN_SCHEDULE[PRO ORDER]=$A25), 0))
      )
   ))
)</f>
        <v/>
      </c>
      <c r="D25" s="23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  <c r="AH25" s="21"/>
      <c r="AI25" s="21"/>
      <c r="AJ25" s="21"/>
      <c r="AK25" s="21"/>
      <c r="AL25" s="22"/>
      <c r="AM25" s="18" t="str">
        <f>IF(A25="","",IF($B$3=AN25,IF(SUM($C25:$AL25)=VLOOKUP($A25,PPC!$A:$B,2,0),SUM($C25:$AL25),"Gọi Quân"),"Sai dao"))</f>
        <v/>
      </c>
      <c r="AN25" s="16">
        <f>IFERROR(VLOOKUP($A25,PPC!$A:$CM,86,0),0)</f>
        <v>0</v>
      </c>
    </row>
    <row r="26" spans="1:40" ht="21.75" customHeight="1">
      <c r="A26" s="56"/>
      <c r="B26" s="55" t="str" cm="1">
        <f t="array" ref="B26">IF($A26="","",IFERROR(_xlfn.IFS($B$43&lt;=4,4,$B$43&lt;=5.5,3),1))</f>
        <v/>
      </c>
      <c r="C26" s="19" t="str" cm="1">
        <f t="array" ref="C26">IF($A26="", "",
   _xlfn.MAP(_xlfn.ANCHORARRAY(C$5), _xlfn.LAMBDA(_xlpm.h,
      _xlfn.LET(
         _xlpm.num_display, IFERROR(--SUBSTITUTE(_xlpm.h, "S", ""), 0),
         _xlpm.num_lookup, IF($Q$3="", _xlpm.num_display, _xlpm.num_display + 1.5),
         _xlpm.search_key, "S" &amp; _xlpm.num_lookup &amp; "*",
         _xlpm.target_col, INDEX(OVN_SCHEDULE[],,MATCH(_xlpm.search_key, OVN_SCHEDULE[#Headers], 0)),
         SUM(IFERROR(_xlfn._xlws.FILTER(_xlpm.target_col, OVN_SCHEDULE[PRO ORDER]=$A26), 0))
      )
   ))
)</f>
        <v/>
      </c>
      <c r="D26" s="23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  <c r="AH26" s="21"/>
      <c r="AI26" s="21"/>
      <c r="AJ26" s="21"/>
      <c r="AK26" s="21"/>
      <c r="AL26" s="22"/>
      <c r="AM26" s="18" t="str">
        <f>IF(A26="","",IF($B$3=AN26,IF(SUM($C26:$AL26)=VLOOKUP($A26,PPC!$A:$B,2,0),SUM($C26:$AL26),"Gọi Quân"),"Sai dao"))</f>
        <v/>
      </c>
      <c r="AN26" s="16">
        <f>IFERROR(VLOOKUP($A26,PPC!$A:$CM,86,0),0)</f>
        <v>0</v>
      </c>
    </row>
    <row r="27" spans="1:40" ht="21.75" customHeight="1" thickBot="1">
      <c r="A27" s="56"/>
      <c r="B27" s="55" t="str" cm="1">
        <f t="array" ref="B27">IF($A27="","",IFERROR(_xlfn.IFS($B$43&lt;=4,4,$B$43&lt;=5.5,3),1))</f>
        <v/>
      </c>
      <c r="C27" s="19" t="str" cm="1">
        <f t="array" ref="C27">IF($A27="", "",
   _xlfn.MAP(_xlfn.ANCHORARRAY(C$5), _xlfn.LAMBDA(_xlpm.h,
      _xlfn.LET(
         _xlpm.num_display, IFERROR(--SUBSTITUTE(_xlpm.h, "S", ""), 0),
         _xlpm.num_lookup, IF($Q$3="", _xlpm.num_display, _xlpm.num_display + 1.5),
         _xlpm.search_key, "S" &amp; _xlpm.num_lookup &amp; "*",
         _xlpm.target_col, INDEX(OVN_SCHEDULE[],,MATCH(_xlpm.search_key, OVN_SCHEDULE[#Headers], 0)),
         SUM(IFERROR(_xlfn._xlws.FILTER(_xlpm.target_col, OVN_SCHEDULE[PRO ORDER]=$A27), 0))
      )
   ))
)</f>
        <v/>
      </c>
      <c r="D27" s="23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/>
      <c r="AJ27" s="21"/>
      <c r="AK27" s="21"/>
      <c r="AL27" s="22"/>
      <c r="AM27" s="18">
        <v>0</v>
      </c>
      <c r="AN27" s="16" t="str">
        <f t="shared" ref="AN27:AN30" si="0">IF($A27&lt;&gt;"",$B$3&amp;$Q$3&amp;"/7","")</f>
        <v/>
      </c>
    </row>
    <row r="28" spans="1:40" ht="21.75" hidden="1" customHeight="1">
      <c r="A28" s="56"/>
      <c r="B28" s="55" t="str" cm="1">
        <f t="array" ref="B28">IF($A28="","",IFERROR(_xlfn.IFS($B$43&lt;=4,4,$B$43&lt;=5.5,3),1))</f>
        <v/>
      </c>
      <c r="C28" s="19" t="str" cm="1">
        <f t="array" ref="C28">IF($A28="", "",
   _xlfn.MAP(_xlfn.ANCHORARRAY(C$5), _xlfn.LAMBDA(_xlpm.h,
      _xlfn.LET(
         _xlpm.num_display, IFERROR(--SUBSTITUTE(_xlpm.h, "S", ""), 0),
         _xlpm.num_lookup, IF($Q$3="", _xlpm.num_display, _xlpm.num_display + 1.5),
         _xlpm.search_key, "S" &amp; _xlpm.num_lookup &amp; "*",
         _xlpm.target_col, INDEX(OVN_SCHEDULE[],,MATCH(_xlpm.search_key, OVN_SCHEDULE[#Headers], 0)),
         SUM(IFERROR(_xlfn._xlws.FILTER(_xlpm.target_col, OVN_SCHEDULE[PRO ORDER]=$A28), 0))
      )
   ))
)</f>
        <v/>
      </c>
      <c r="D28" s="23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21"/>
      <c r="AI28" s="21"/>
      <c r="AJ28" s="21"/>
      <c r="AK28" s="21"/>
      <c r="AL28" s="22"/>
      <c r="AM28" s="18">
        <v>0</v>
      </c>
      <c r="AN28" s="16" t="str">
        <f t="shared" si="0"/>
        <v/>
      </c>
    </row>
    <row r="29" spans="1:40" ht="21.75" hidden="1" customHeight="1">
      <c r="A29" s="56"/>
      <c r="B29" s="55" t="str" cm="1">
        <f t="array" ref="B29">IF($A29="","",IFERROR(_xlfn.IFS($B$43&lt;=4,4,$B$43&lt;=5.5,3),1))</f>
        <v/>
      </c>
      <c r="C29" s="19" t="str" cm="1">
        <f t="array" ref="C29">IF($A29="", "",
   _xlfn.MAP(_xlfn.ANCHORARRAY(C$5), _xlfn.LAMBDA(_xlpm.h,
      _xlfn.LET(
         _xlpm.num_display, IFERROR(--SUBSTITUTE(_xlpm.h, "S", ""), 0),
         _xlpm.num_lookup, IF($Q$3="", _xlpm.num_display, _xlpm.num_display + 1.5),
         _xlpm.search_key, "S" &amp; _xlpm.num_lookup &amp; "*",
         _xlpm.target_col, INDEX(OVN_SCHEDULE[],,MATCH(_xlpm.search_key, OVN_SCHEDULE[#Headers], 0)),
         SUM(IFERROR(_xlfn._xlws.FILTER(_xlpm.target_col, OVN_SCHEDULE[PRO ORDER]=$A29), 0))
      )
   ))
)</f>
        <v/>
      </c>
      <c r="D29" s="23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21"/>
      <c r="AI29" s="21"/>
      <c r="AJ29" s="21"/>
      <c r="AK29" s="21"/>
      <c r="AL29" s="22"/>
      <c r="AM29" s="18">
        <v>0</v>
      </c>
      <c r="AN29" s="16" t="str">
        <f t="shared" si="0"/>
        <v/>
      </c>
    </row>
    <row r="30" spans="1:40" ht="21.75" hidden="1" customHeight="1" thickBot="1">
      <c r="A30" s="56"/>
      <c r="B30" s="55" t="str" cm="1">
        <f t="array" ref="B30">IF($A30="","",IFERROR(_xlfn.IFS($B$43&lt;=4,4,$B$43&lt;=5.5,3),1))</f>
        <v/>
      </c>
      <c r="C30" s="19" t="str" cm="1">
        <f t="array" ref="C30">IF($A30="", "",
   _xlfn.MAP(_xlfn.ANCHORARRAY(C$5), _xlfn.LAMBDA(_xlpm.h,
      _xlfn.LET(
         _xlpm.num_display, IFERROR(--SUBSTITUTE(_xlpm.h, "S", ""), 0),
         _xlpm.num_lookup, IF($Q$3="", _xlpm.num_display, _xlpm.num_display + 1.5),
         _xlpm.search_key, "S" &amp; _xlpm.num_lookup &amp; "*",
         _xlpm.target_col, INDEX(OVN_SCHEDULE[],,MATCH(_xlpm.search_key, OVN_SCHEDULE[#Headers], 0)),
         SUM(IFERROR(_xlfn._xlws.FILTER(_xlpm.target_col, OVN_SCHEDULE[PRO ORDER]=$A30), 0))
      )
   ))
)</f>
        <v/>
      </c>
      <c r="D30" s="24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6"/>
      <c r="AM30" s="18">
        <v>0</v>
      </c>
      <c r="AN30" s="16" t="str">
        <f t="shared" si="0"/>
        <v/>
      </c>
    </row>
    <row r="31" spans="1:40" ht="27.75" customHeight="1">
      <c r="A31" s="60" t="s">
        <v>8</v>
      </c>
      <c r="B31" s="61"/>
      <c r="C31" s="27">
        <f t="shared" ref="C31:AL31" si="1">SUM(C$6:C$30)</f>
        <v>138</v>
      </c>
      <c r="D31" s="28">
        <f t="shared" si="1"/>
        <v>516</v>
      </c>
      <c r="E31" s="28">
        <f t="shared" si="1"/>
        <v>660</v>
      </c>
      <c r="F31" s="28">
        <f t="shared" si="1"/>
        <v>912</v>
      </c>
      <c r="G31" s="28">
        <f t="shared" si="1"/>
        <v>738</v>
      </c>
      <c r="H31" s="28">
        <f t="shared" si="1"/>
        <v>935</v>
      </c>
      <c r="I31" s="28">
        <f t="shared" si="1"/>
        <v>918</v>
      </c>
      <c r="J31" s="28">
        <f t="shared" si="1"/>
        <v>708</v>
      </c>
      <c r="K31" s="28">
        <f t="shared" si="1"/>
        <v>612</v>
      </c>
      <c r="L31" s="28">
        <f t="shared" si="1"/>
        <v>468</v>
      </c>
      <c r="M31" s="28">
        <f t="shared" si="1"/>
        <v>492</v>
      </c>
      <c r="N31" s="28">
        <f t="shared" si="1"/>
        <v>426</v>
      </c>
      <c r="O31" s="28">
        <f t="shared" si="1"/>
        <v>330</v>
      </c>
      <c r="P31" s="28">
        <f t="shared" si="1"/>
        <v>282</v>
      </c>
      <c r="Q31" s="28">
        <f t="shared" si="1"/>
        <v>678</v>
      </c>
      <c r="R31" s="28">
        <f t="shared" si="1"/>
        <v>396</v>
      </c>
      <c r="S31" s="28">
        <f t="shared" si="1"/>
        <v>522</v>
      </c>
      <c r="T31" s="28">
        <f t="shared" si="1"/>
        <v>420</v>
      </c>
      <c r="U31" s="28">
        <f t="shared" si="1"/>
        <v>60</v>
      </c>
      <c r="V31" s="28">
        <f t="shared" si="1"/>
        <v>6</v>
      </c>
      <c r="W31" s="28">
        <f t="shared" si="1"/>
        <v>0</v>
      </c>
      <c r="X31" s="28">
        <f t="shared" si="1"/>
        <v>0</v>
      </c>
      <c r="Y31" s="28">
        <f t="shared" si="1"/>
        <v>0</v>
      </c>
      <c r="Z31" s="28">
        <f t="shared" si="1"/>
        <v>0</v>
      </c>
      <c r="AA31" s="28">
        <f t="shared" si="1"/>
        <v>0</v>
      </c>
      <c r="AB31" s="28">
        <f t="shared" si="1"/>
        <v>0</v>
      </c>
      <c r="AC31" s="28">
        <f t="shared" si="1"/>
        <v>0</v>
      </c>
      <c r="AD31" s="28">
        <f t="shared" si="1"/>
        <v>0</v>
      </c>
      <c r="AE31" s="28">
        <f t="shared" si="1"/>
        <v>0</v>
      </c>
      <c r="AF31" s="28">
        <f t="shared" si="1"/>
        <v>0</v>
      </c>
      <c r="AG31" s="28">
        <f t="shared" si="1"/>
        <v>0</v>
      </c>
      <c r="AH31" s="28">
        <f t="shared" si="1"/>
        <v>0</v>
      </c>
      <c r="AI31" s="28">
        <f t="shared" si="1"/>
        <v>0</v>
      </c>
      <c r="AJ31" s="28">
        <f t="shared" si="1"/>
        <v>0</v>
      </c>
      <c r="AK31" s="28">
        <f t="shared" si="1"/>
        <v>0</v>
      </c>
      <c r="AL31" s="29">
        <f t="shared" si="1"/>
        <v>0</v>
      </c>
      <c r="AM31" s="30">
        <f>SUM(C31:AL31)</f>
        <v>10217</v>
      </c>
    </row>
    <row r="32" spans="1:40" ht="27.75" customHeight="1">
      <c r="A32" s="63" t="s">
        <v>18</v>
      </c>
      <c r="B32" s="79"/>
      <c r="C32" s="31">
        <f t="shared" ref="C32:AL32" si="2">IFERROR(ROUNDDOWN(C31/$B$6/C$42,0),"")</f>
        <v>0</v>
      </c>
      <c r="D32" s="32">
        <f t="shared" si="2"/>
        <v>2</v>
      </c>
      <c r="E32" s="32">
        <f t="shared" si="2"/>
        <v>3</v>
      </c>
      <c r="F32" s="32">
        <f t="shared" si="2"/>
        <v>4</v>
      </c>
      <c r="G32" s="32">
        <f t="shared" si="2"/>
        <v>4</v>
      </c>
      <c r="H32" s="32">
        <f t="shared" si="2"/>
        <v>5</v>
      </c>
      <c r="I32" s="32">
        <f t="shared" si="2"/>
        <v>5</v>
      </c>
      <c r="J32" s="32">
        <f t="shared" si="2"/>
        <v>4</v>
      </c>
      <c r="K32" s="32">
        <f t="shared" si="2"/>
        <v>3</v>
      </c>
      <c r="L32" s="32">
        <f t="shared" si="2"/>
        <v>2</v>
      </c>
      <c r="M32" s="32">
        <f t="shared" si="2"/>
        <v>2</v>
      </c>
      <c r="N32" s="32">
        <f t="shared" si="2"/>
        <v>2</v>
      </c>
      <c r="O32" s="32">
        <f t="shared" si="2"/>
        <v>2</v>
      </c>
      <c r="P32" s="32">
        <f t="shared" si="2"/>
        <v>1</v>
      </c>
      <c r="Q32" s="32">
        <f t="shared" si="2"/>
        <v>4</v>
      </c>
      <c r="R32" s="32">
        <f t="shared" si="2"/>
        <v>2</v>
      </c>
      <c r="S32" s="32">
        <f t="shared" si="2"/>
        <v>3</v>
      </c>
      <c r="T32" s="32">
        <f t="shared" si="2"/>
        <v>3</v>
      </c>
      <c r="U32" s="32" t="str">
        <f t="shared" si="2"/>
        <v/>
      </c>
      <c r="V32" s="32" t="str">
        <f t="shared" si="2"/>
        <v/>
      </c>
      <c r="W32" s="32" t="str">
        <f t="shared" si="2"/>
        <v/>
      </c>
      <c r="X32" s="32" t="str">
        <f t="shared" si="2"/>
        <v/>
      </c>
      <c r="Y32" s="32" t="str">
        <f t="shared" si="2"/>
        <v/>
      </c>
      <c r="Z32" s="32" t="str">
        <f t="shared" si="2"/>
        <v/>
      </c>
      <c r="AA32" s="32" t="str">
        <f t="shared" si="2"/>
        <v/>
      </c>
      <c r="AB32" s="32" t="str">
        <f t="shared" si="2"/>
        <v/>
      </c>
      <c r="AC32" s="32" t="str">
        <f t="shared" si="2"/>
        <v/>
      </c>
      <c r="AD32" s="32" t="str">
        <f t="shared" si="2"/>
        <v/>
      </c>
      <c r="AE32" s="32" t="str">
        <f t="shared" si="2"/>
        <v/>
      </c>
      <c r="AF32" s="32" t="str">
        <f t="shared" si="2"/>
        <v/>
      </c>
      <c r="AG32" s="32" t="str">
        <f t="shared" si="2"/>
        <v/>
      </c>
      <c r="AH32" s="32" t="str">
        <f t="shared" si="2"/>
        <v/>
      </c>
      <c r="AI32" s="32" t="str">
        <f t="shared" si="2"/>
        <v/>
      </c>
      <c r="AJ32" s="32" t="str">
        <f t="shared" si="2"/>
        <v/>
      </c>
      <c r="AK32" s="32" t="str">
        <f t="shared" si="2"/>
        <v/>
      </c>
      <c r="AL32" s="33" t="str">
        <f t="shared" si="2"/>
        <v/>
      </c>
      <c r="AM32" s="34">
        <f>SUM(C32:AL32)</f>
        <v>51</v>
      </c>
    </row>
    <row r="33" spans="1:40" ht="27.75" customHeight="1">
      <c r="A33" s="63" t="s">
        <v>19</v>
      </c>
      <c r="B33" s="79"/>
      <c r="C33" s="31">
        <f>IFERROR(C$32*C$42,"")</f>
        <v>0</v>
      </c>
      <c r="D33" s="32">
        <f>IFERROR(D$32*D$42,"")</f>
        <v>104</v>
      </c>
      <c r="E33" s="32">
        <f>IFERROR(E$32*E$42,"")</f>
        <v>156</v>
      </c>
      <c r="F33" s="32">
        <f>IFERROR(F$32*F$42,"")</f>
        <v>192</v>
      </c>
      <c r="G33" s="32">
        <f t="shared" ref="G33:AL33" si="3">IFERROR(G$32*G$42,"")</f>
        <v>184</v>
      </c>
      <c r="H33" s="32">
        <f t="shared" si="3"/>
        <v>230</v>
      </c>
      <c r="I33" s="32">
        <f t="shared" si="3"/>
        <v>220</v>
      </c>
      <c r="J33" s="32">
        <f t="shared" si="3"/>
        <v>176</v>
      </c>
      <c r="K33" s="32">
        <f t="shared" si="3"/>
        <v>126</v>
      </c>
      <c r="L33" s="32">
        <f t="shared" si="3"/>
        <v>84</v>
      </c>
      <c r="M33" s="32">
        <f t="shared" si="3"/>
        <v>84</v>
      </c>
      <c r="N33" s="32">
        <f t="shared" si="3"/>
        <v>78</v>
      </c>
      <c r="O33" s="32">
        <f t="shared" si="3"/>
        <v>72</v>
      </c>
      <c r="P33" s="32">
        <f t="shared" si="3"/>
        <v>36</v>
      </c>
      <c r="Q33" s="32">
        <f t="shared" si="3"/>
        <v>144</v>
      </c>
      <c r="R33" s="32">
        <f t="shared" si="3"/>
        <v>69</v>
      </c>
      <c r="S33" s="32">
        <f t="shared" si="3"/>
        <v>103.5</v>
      </c>
      <c r="T33" s="32">
        <f t="shared" si="3"/>
        <v>99</v>
      </c>
      <c r="U33" s="32" t="str">
        <f t="shared" si="3"/>
        <v/>
      </c>
      <c r="V33" s="32" t="str">
        <f t="shared" si="3"/>
        <v/>
      </c>
      <c r="W33" s="32" t="str">
        <f t="shared" si="3"/>
        <v/>
      </c>
      <c r="X33" s="32" t="str">
        <f t="shared" si="3"/>
        <v/>
      </c>
      <c r="Y33" s="32" t="str">
        <f t="shared" si="3"/>
        <v/>
      </c>
      <c r="Z33" s="32" t="str">
        <f t="shared" si="3"/>
        <v/>
      </c>
      <c r="AA33" s="32" t="str">
        <f t="shared" si="3"/>
        <v/>
      </c>
      <c r="AB33" s="32" t="str">
        <f t="shared" si="3"/>
        <v/>
      </c>
      <c r="AC33" s="32" t="str">
        <f t="shared" si="3"/>
        <v/>
      </c>
      <c r="AD33" s="32" t="str">
        <f t="shared" si="3"/>
        <v/>
      </c>
      <c r="AE33" s="32" t="str">
        <f t="shared" si="3"/>
        <v/>
      </c>
      <c r="AF33" s="32" t="str">
        <f t="shared" si="3"/>
        <v/>
      </c>
      <c r="AG33" s="32" t="str">
        <f t="shared" si="3"/>
        <v/>
      </c>
      <c r="AH33" s="32" t="str">
        <f t="shared" si="3"/>
        <v/>
      </c>
      <c r="AI33" s="32" t="str">
        <f t="shared" si="3"/>
        <v/>
      </c>
      <c r="AJ33" s="32" t="str">
        <f t="shared" si="3"/>
        <v/>
      </c>
      <c r="AK33" s="32" t="str">
        <f t="shared" si="3"/>
        <v/>
      </c>
      <c r="AL33" s="33" t="str">
        <f t="shared" si="3"/>
        <v/>
      </c>
      <c r="AM33" s="34">
        <f>SUM(C33:AL33)</f>
        <v>2157.5</v>
      </c>
    </row>
    <row r="34" spans="1:40" ht="27.75" customHeight="1">
      <c r="A34" s="63" t="s">
        <v>20</v>
      </c>
      <c r="B34" s="79"/>
      <c r="C34" s="31">
        <f t="shared" ref="C34:AL34" si="4">IFERROR((C$31/$B$6/C$42-C$32)*C$42*$B$6,"")</f>
        <v>138</v>
      </c>
      <c r="D34" s="32">
        <f t="shared" si="4"/>
        <v>100.00000000000001</v>
      </c>
      <c r="E34" s="32">
        <f t="shared" si="4"/>
        <v>35.999999999999964</v>
      </c>
      <c r="F34" s="32">
        <f t="shared" si="4"/>
        <v>144</v>
      </c>
      <c r="G34" s="32">
        <f t="shared" si="4"/>
        <v>2.0000000000000497</v>
      </c>
      <c r="H34" s="32">
        <f t="shared" si="4"/>
        <v>14.999999999999964</v>
      </c>
      <c r="I34" s="32">
        <f t="shared" si="4"/>
        <v>37.999999999999986</v>
      </c>
      <c r="J34" s="32">
        <f t="shared" si="4"/>
        <v>3.9999999999999574</v>
      </c>
      <c r="K34" s="32">
        <f t="shared" si="4"/>
        <v>107.99999999999999</v>
      </c>
      <c r="L34" s="32">
        <f t="shared" si="4"/>
        <v>131.99999999999997</v>
      </c>
      <c r="M34" s="32">
        <f t="shared" si="4"/>
        <v>155.99999999999997</v>
      </c>
      <c r="N34" s="32">
        <f t="shared" si="4"/>
        <v>114.00000000000001</v>
      </c>
      <c r="O34" s="32">
        <f t="shared" si="4"/>
        <v>41.999999999999979</v>
      </c>
      <c r="P34" s="32">
        <f t="shared" si="4"/>
        <v>138</v>
      </c>
      <c r="Q34" s="32">
        <f t="shared" si="4"/>
        <v>101.99999999999996</v>
      </c>
      <c r="R34" s="32">
        <f t="shared" si="4"/>
        <v>119.99999999999999</v>
      </c>
      <c r="S34" s="32">
        <f t="shared" si="4"/>
        <v>107.99999999999999</v>
      </c>
      <c r="T34" s="32">
        <f t="shared" si="4"/>
        <v>23.999999999999979</v>
      </c>
      <c r="U34" s="32" t="str">
        <f t="shared" si="4"/>
        <v/>
      </c>
      <c r="V34" s="32" t="str">
        <f t="shared" si="4"/>
        <v/>
      </c>
      <c r="W34" s="32" t="str">
        <f t="shared" si="4"/>
        <v/>
      </c>
      <c r="X34" s="32" t="str">
        <f t="shared" si="4"/>
        <v/>
      </c>
      <c r="Y34" s="32" t="str">
        <f t="shared" si="4"/>
        <v/>
      </c>
      <c r="Z34" s="32" t="str">
        <f t="shared" si="4"/>
        <v/>
      </c>
      <c r="AA34" s="32" t="str">
        <f t="shared" si="4"/>
        <v/>
      </c>
      <c r="AB34" s="32" t="str">
        <f t="shared" si="4"/>
        <v/>
      </c>
      <c r="AC34" s="32" t="str">
        <f t="shared" si="4"/>
        <v/>
      </c>
      <c r="AD34" s="32" t="str">
        <f t="shared" si="4"/>
        <v/>
      </c>
      <c r="AE34" s="32" t="str">
        <f t="shared" si="4"/>
        <v/>
      </c>
      <c r="AF34" s="32" t="str">
        <f t="shared" si="4"/>
        <v/>
      </c>
      <c r="AG34" s="32" t="str">
        <f t="shared" si="4"/>
        <v/>
      </c>
      <c r="AH34" s="32" t="str">
        <f t="shared" si="4"/>
        <v/>
      </c>
      <c r="AI34" s="32" t="str">
        <f t="shared" si="4"/>
        <v/>
      </c>
      <c r="AJ34" s="32" t="str">
        <f t="shared" si="4"/>
        <v/>
      </c>
      <c r="AK34" s="32" t="str">
        <f t="shared" si="4"/>
        <v/>
      </c>
      <c r="AL34" s="33" t="str">
        <f t="shared" si="4"/>
        <v/>
      </c>
      <c r="AM34" s="34">
        <f>SUM(C34:AL34)</f>
        <v>1520.9999999999998</v>
      </c>
    </row>
    <row r="35" spans="1:40" ht="27.75" customHeight="1">
      <c r="A35" s="63" t="s">
        <v>9</v>
      </c>
      <c r="B35" s="79"/>
      <c r="C35" s="35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  <c r="AA35" s="36"/>
      <c r="AB35" s="36"/>
      <c r="AC35" s="36"/>
      <c r="AD35" s="36"/>
      <c r="AE35" s="36"/>
      <c r="AF35" s="36"/>
      <c r="AG35" s="36"/>
      <c r="AH35" s="36"/>
      <c r="AI35" s="36"/>
      <c r="AJ35" s="36"/>
      <c r="AK35" s="36"/>
      <c r="AL35" s="37"/>
      <c r="AM35" s="34"/>
    </row>
    <row r="36" spans="1:40" ht="27.75" customHeight="1" thickBot="1">
      <c r="A36" s="65" t="s">
        <v>21</v>
      </c>
      <c r="B36" s="66"/>
      <c r="C36" s="38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40"/>
      <c r="AM36" s="41"/>
    </row>
    <row r="37" spans="1:40" ht="27.75" customHeight="1" thickBot="1">
      <c r="A37" s="75" t="s">
        <v>10</v>
      </c>
      <c r="B37" s="76"/>
      <c r="C37" s="77"/>
      <c r="D37" s="77"/>
      <c r="E37" s="77"/>
      <c r="F37" s="77"/>
      <c r="G37" s="77"/>
      <c r="H37" s="77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77"/>
      <c r="AC37" s="77"/>
      <c r="AD37" s="77"/>
      <c r="AE37" s="77"/>
      <c r="AF37" s="77"/>
      <c r="AG37" s="77"/>
      <c r="AH37" s="77"/>
      <c r="AI37" s="77"/>
      <c r="AJ37" s="77"/>
      <c r="AK37" s="77"/>
      <c r="AL37" s="77"/>
      <c r="AM37" s="78"/>
    </row>
    <row r="38" spans="1:40" ht="27.75" customHeight="1">
      <c r="A38" s="71" t="s">
        <v>11</v>
      </c>
      <c r="B38" s="72"/>
      <c r="C38" s="42"/>
      <c r="D38" s="43"/>
      <c r="E38" s="43"/>
      <c r="F38" s="43"/>
      <c r="G38" s="42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4"/>
      <c r="AF38" s="43"/>
      <c r="AG38" s="43"/>
      <c r="AH38" s="43"/>
      <c r="AI38" s="43"/>
      <c r="AJ38" s="43"/>
      <c r="AK38" s="43"/>
      <c r="AL38" s="44"/>
      <c r="AM38" s="45"/>
    </row>
    <row r="39" spans="1:40" ht="27.75" customHeight="1" thickBot="1">
      <c r="A39" s="73" t="s">
        <v>12</v>
      </c>
      <c r="B39" s="74"/>
      <c r="C39" s="46"/>
      <c r="D39" s="39"/>
      <c r="E39" s="39"/>
      <c r="F39" s="39"/>
      <c r="G39" s="46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47"/>
      <c r="AF39" s="39"/>
      <c r="AG39" s="39"/>
      <c r="AH39" s="39"/>
      <c r="AI39" s="39"/>
      <c r="AJ39" s="39"/>
      <c r="AK39" s="39"/>
      <c r="AL39" s="47"/>
      <c r="AM39" s="48"/>
    </row>
    <row r="40" spans="1:40" ht="27.75" customHeight="1" thickBot="1">
      <c r="A40" s="70" t="s">
        <v>13</v>
      </c>
      <c r="B40" s="64"/>
      <c r="C40" s="67" t="str">
        <f>IF($Q$3="X","                                CÓ HẠ DAO","")</f>
        <v/>
      </c>
      <c r="D40" s="68"/>
      <c r="E40" s="68"/>
      <c r="F40" s="68"/>
      <c r="G40" s="68"/>
      <c r="H40" s="68"/>
      <c r="I40" s="68"/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  <c r="AA40" s="68"/>
      <c r="AB40" s="68"/>
      <c r="AC40" s="68"/>
      <c r="AD40" s="68"/>
      <c r="AE40" s="68"/>
      <c r="AF40" s="68"/>
      <c r="AG40" s="68"/>
      <c r="AH40" s="68"/>
      <c r="AI40" s="68"/>
      <c r="AJ40" s="68"/>
      <c r="AK40" s="68"/>
      <c r="AL40" s="68"/>
      <c r="AM40" s="69"/>
    </row>
    <row r="41" spans="1:40" s="51" customFormat="1" ht="201.75" customHeight="1">
      <c r="A41" s="49" t="e" vm="1">
        <f>_xlfn.IMAGE("https://api.qrserver.com/v1/create-qr-code/?size=300x300&amp;data=" &amp; _xlfn.ENCODEURL(B41))</f>
        <v>#VALUE!</v>
      </c>
      <c r="B41" s="16" t="str">
        <f>_xlfn.TEXTJOIN("|",TRUE,A6:A30)</f>
        <v>RPRO-260129-0158|RPRO-260129-0212|RPRO-260129-0215|RPRO-260129-0116|RPRO-260129-0173|RPRO-260129-0164|RPRO-260129-0170</v>
      </c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  <c r="AD41" s="50"/>
      <c r="AE41" s="50"/>
      <c r="AF41" s="50"/>
      <c r="AG41" s="50"/>
      <c r="AH41" s="50"/>
      <c r="AI41" s="50"/>
      <c r="AJ41" s="50"/>
      <c r="AK41" s="50"/>
      <c r="AL41" s="50"/>
      <c r="AM41" s="50"/>
      <c r="AN41" s="16"/>
    </row>
    <row r="42" spans="1:40" s="51" customFormat="1" ht="54.75" hidden="1" customHeight="1">
      <c r="A42" s="50"/>
      <c r="B42" s="50"/>
      <c r="C42" s="50">
        <f>IFERROR(VLOOKUP($B$3,'SETUP DAO'!$A:$AT,MATCH(C$5,'SETUP DAO'!$1:$1,0),0),"")</f>
        <v>52</v>
      </c>
      <c r="D42" s="50">
        <f>IFERROR(VLOOKUP($B$3,'SETUP DAO'!$A:$AT,MATCH(D$5,'SETUP DAO'!$1:$1,0),0),"")</f>
        <v>52</v>
      </c>
      <c r="E42" s="50">
        <f>IFERROR(VLOOKUP($B$3,'SETUP DAO'!$A:$AT,MATCH(E$5,'SETUP DAO'!$1:$1,0),0),"")</f>
        <v>52</v>
      </c>
      <c r="F42" s="50">
        <f>IFERROR(VLOOKUP($B$3,'SETUP DAO'!$A:$AT,MATCH(F$5,'SETUP DAO'!$1:$1,0),0),"")</f>
        <v>48</v>
      </c>
      <c r="G42" s="50">
        <f>IFERROR(VLOOKUP($B$3,'SETUP DAO'!$A:$AT,MATCH(G$5,'SETUP DAO'!$1:$1,0),0),"")</f>
        <v>46</v>
      </c>
      <c r="H42" s="50">
        <f>IFERROR(VLOOKUP($B$3,'SETUP DAO'!$A:$AT,MATCH(H$5,'SETUP DAO'!$1:$1,0),0),"")</f>
        <v>46</v>
      </c>
      <c r="I42" s="50">
        <f>IFERROR(VLOOKUP($B$3,'SETUP DAO'!$A:$AT,MATCH(I$5,'SETUP DAO'!$1:$1,0),0),"")</f>
        <v>44</v>
      </c>
      <c r="J42" s="50">
        <f>IFERROR(VLOOKUP($B$3,'SETUP DAO'!$A:$AT,MATCH(J$5,'SETUP DAO'!$1:$1,0),0),"")</f>
        <v>44</v>
      </c>
      <c r="K42" s="50">
        <f>IFERROR(VLOOKUP($B$3,'SETUP DAO'!$A:$AT,MATCH(K$5,'SETUP DAO'!$1:$1,0),0),"")</f>
        <v>42</v>
      </c>
      <c r="L42" s="50">
        <f>IFERROR(VLOOKUP($B$3,'SETUP DAO'!$A:$AT,MATCH(L$5,'SETUP DAO'!$1:$1,0),0),"")</f>
        <v>42</v>
      </c>
      <c r="M42" s="50">
        <f>IFERROR(VLOOKUP($B$3,'SETUP DAO'!$A:$AT,MATCH(M$5,'SETUP DAO'!$1:$1,0),0),"")</f>
        <v>42</v>
      </c>
      <c r="N42" s="50">
        <f>IFERROR(VLOOKUP($B$3,'SETUP DAO'!$A:$AT,MATCH(N$5,'SETUP DAO'!$1:$1,0),0),"")</f>
        <v>39</v>
      </c>
      <c r="O42" s="50">
        <f>IFERROR(VLOOKUP($B$3,'SETUP DAO'!$A:$AT,MATCH(O$5,'SETUP DAO'!$1:$1,0),0),"")</f>
        <v>36</v>
      </c>
      <c r="P42" s="50">
        <f>IFERROR(VLOOKUP($B$3,'SETUP DAO'!$A:$AT,MATCH(P$5,'SETUP DAO'!$1:$1,0),0),"")</f>
        <v>36</v>
      </c>
      <c r="Q42" s="50">
        <f>IFERROR(VLOOKUP($B$3,'SETUP DAO'!$A:$AT,MATCH(Q$5,'SETUP DAO'!$1:$1,0),0),"")</f>
        <v>36</v>
      </c>
      <c r="R42" s="50">
        <f>IFERROR(VLOOKUP($B$3,'SETUP DAO'!$A:$AT,MATCH(R$5,'SETUP DAO'!$1:$1,0),0),"")</f>
        <v>34.5</v>
      </c>
      <c r="S42" s="50">
        <f>IFERROR(VLOOKUP($B$3,'SETUP DAO'!$A:$AT,MATCH(S$5,'SETUP DAO'!$1:$1,0),0),"")</f>
        <v>34.5</v>
      </c>
      <c r="T42" s="50">
        <f>IFERROR(VLOOKUP($B$3,'SETUP DAO'!$A:$AT,MATCH(T$5,'SETUP DAO'!$1:$1,0),0),"")</f>
        <v>33</v>
      </c>
      <c r="U42" s="50">
        <f>IFERROR(VLOOKUP($B$3,'SETUP DAO'!$A:$AT,MATCH(U$5,'SETUP DAO'!$1:$1,0),0),"")</f>
        <v>0</v>
      </c>
      <c r="V42" s="50">
        <f>IFERROR(VLOOKUP($B$3,'SETUP DAO'!$A:$AT,MATCH(V$5,'SETUP DAO'!$1:$1,0),0),"")</f>
        <v>0</v>
      </c>
      <c r="W42" s="50" t="str">
        <f>IFERROR(VLOOKUP($B$3,'SETUP DAO'!$A:$AT,MATCH(W$5,'SETUP DAO'!$1:$1,0),0),"")</f>
        <v/>
      </c>
      <c r="X42" s="50" t="str">
        <f>IFERROR(VLOOKUP($B$3,'SETUP DAO'!$A:$AT,MATCH(X$5,'SETUP DAO'!$1:$1,0),0),"")</f>
        <v/>
      </c>
      <c r="Y42" s="50" t="str">
        <f>IFERROR(VLOOKUP($B$3,'SETUP DAO'!$A:$AT,MATCH(Y$5,'SETUP DAO'!$1:$1,0),0),"")</f>
        <v/>
      </c>
      <c r="Z42" s="50" t="str">
        <f>IFERROR(VLOOKUP($B$3,'SETUP DAO'!$A:$AT,MATCH(Z$5,'SETUP DAO'!$1:$1,0),0),"")</f>
        <v/>
      </c>
      <c r="AA42" s="50" t="str">
        <f>IFERROR(VLOOKUP($B$3,'SETUP DAO'!$A:$AT,MATCH(AA$5,'SETUP DAO'!$1:$1,0),0),"")</f>
        <v/>
      </c>
      <c r="AB42" s="50" t="str">
        <f>IFERROR(VLOOKUP($B$3,'SETUP DAO'!$A:$AT,MATCH(AB$5,'SETUP DAO'!$1:$1,0),0),"")</f>
        <v/>
      </c>
      <c r="AC42" s="50" t="str">
        <f>IFERROR(VLOOKUP($B$3,'SETUP DAO'!$A:$AT,MATCH(AC$5,'SETUP DAO'!$1:$1,0),0),"")</f>
        <v/>
      </c>
      <c r="AD42" s="50" t="str">
        <f>IFERROR(VLOOKUP($B$3,'SETUP DAO'!$A:$AT,MATCH(AD$5,'SETUP DAO'!$1:$1,0),0),"")</f>
        <v/>
      </c>
      <c r="AE42" s="50" t="str">
        <f>IFERROR(VLOOKUP($B$3,'SETUP DAO'!$A:$AT,MATCH(AE$5,'SETUP DAO'!$1:$1,0),0),"")</f>
        <v/>
      </c>
      <c r="AF42" s="50" t="str">
        <f>IFERROR(VLOOKUP($B$3,'SETUP DAO'!$A:$AT,MATCH(AF$5,'SETUP DAO'!$1:$1,0),0),"")</f>
        <v/>
      </c>
      <c r="AG42" s="50" t="str">
        <f>IFERROR(VLOOKUP($B$3,'SETUP DAO'!$A:$AT,MATCH(AG$5,'SETUP DAO'!$1:$1,0),0),"")</f>
        <v/>
      </c>
      <c r="AH42" s="50" t="str">
        <f>IFERROR(VLOOKUP($B$3,'SETUP DAO'!$A:$AT,MATCH(AH$5,'SETUP DAO'!$1:$1,0),0),"")</f>
        <v/>
      </c>
      <c r="AI42" s="50" t="str">
        <f>IFERROR(VLOOKUP($B$3,'SETUP DAO'!$A:$AT,MATCH(AI$5,'SETUP DAO'!$1:$1,0),0),"")</f>
        <v/>
      </c>
      <c r="AJ42" s="50" t="str">
        <f>IFERROR(VLOOKUP($B$3,'SETUP DAO'!$A:$AT,MATCH(AJ$5,'SETUP DAO'!$1:$1,0),0),"")</f>
        <v/>
      </c>
      <c r="AK42" s="50" t="str">
        <f>IFERROR(VLOOKUP($B$3,'SETUP DAO'!$A:$AT,MATCH(AK$5,'SETUP DAO'!$1:$1,0),0),"")</f>
        <v/>
      </c>
      <c r="AL42" s="50" t="str">
        <f>IFERROR(VLOOKUP($B$3,'SETUP DAO'!$A:$AT,MATCH(AL$5,'SETUP DAO'!$1:$1,0),0),"")</f>
        <v/>
      </c>
      <c r="AM42" s="50"/>
      <c r="AN42" s="16"/>
    </row>
    <row r="43" spans="1:40" s="51" customFormat="1" ht="54.75" hidden="1" customHeight="1">
      <c r="A43" s="50" t="str">
        <f>VLOOKUP($A$6,PPC!$A:$CM,3,0)</f>
        <v>DC-016235</v>
      </c>
      <c r="B43" s="51" cm="1">
        <f t="array" ref="B43">_xlfn.REGEXEXTRACT($B$44,"\d+\.?\d*(?=\s*mm)")*1</f>
        <v>4</v>
      </c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  <c r="AB43" s="50"/>
      <c r="AC43" s="50"/>
      <c r="AD43" s="50"/>
      <c r="AE43" s="50"/>
      <c r="AF43" s="50"/>
      <c r="AG43" s="50"/>
      <c r="AH43" s="50"/>
      <c r="AI43" s="50"/>
      <c r="AJ43" s="50"/>
      <c r="AK43" s="50"/>
      <c r="AL43" s="50"/>
      <c r="AM43" s="50"/>
      <c r="AN43" s="16"/>
    </row>
    <row r="44" spans="1:40" s="6" customFormat="1" ht="36" customHeight="1">
      <c r="A44" s="7" t="s">
        <v>14</v>
      </c>
      <c r="B44" s="8" t="str">
        <f>VLOOKUP($A$43,PPC!$C:$CI,4,0)</f>
        <v>OrthoLite Eco LT-Hybrid SEEDPEARL/12-0703TPX Hybrid 0.11D 25+/-4 Asker C 1.1M 2M 4mm</v>
      </c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7"/>
      <c r="S44" s="7"/>
      <c r="T44" s="8"/>
      <c r="U44" s="52"/>
      <c r="V44" s="52"/>
      <c r="W44" s="52"/>
      <c r="X44" s="52"/>
      <c r="Y44" s="52"/>
      <c r="Z44" s="52"/>
      <c r="AA44" s="52"/>
      <c r="AB44" s="52"/>
      <c r="AC44" s="52"/>
      <c r="AD44" s="8"/>
      <c r="AE44" s="8"/>
      <c r="AF44" s="52"/>
      <c r="AG44" s="52"/>
      <c r="AH44" s="52"/>
      <c r="AI44" s="52"/>
      <c r="AJ44" s="52"/>
      <c r="AK44" s="8"/>
      <c r="AL44" s="8"/>
      <c r="AM44" s="8"/>
      <c r="AN44" s="5"/>
    </row>
    <row r="45" spans="1:40" ht="36" customHeight="1">
      <c r="A45" s="7" t="s">
        <v>15</v>
      </c>
      <c r="B45" s="8" t="str">
        <f>VLOOKUP($A$43,PPC!$C:$CM,5,0)</f>
        <v>NO DYE LJ-B1150B-VEPM5 44" 170G</v>
      </c>
      <c r="C45" s="8"/>
      <c r="D45" s="53"/>
      <c r="E45" s="53"/>
      <c r="F45" s="53"/>
      <c r="G45" s="8"/>
      <c r="H45" s="53"/>
      <c r="I45" s="53"/>
      <c r="J45" s="53"/>
      <c r="K45" s="53"/>
      <c r="L45" s="53"/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53"/>
      <c r="AG45" s="53"/>
      <c r="AH45" s="53"/>
      <c r="AI45" s="53"/>
      <c r="AJ45" s="53"/>
      <c r="AK45" s="53"/>
      <c r="AL45" s="53"/>
      <c r="AM45" s="53"/>
    </row>
  </sheetData>
  <sheetProtection algorithmName="SHA-512" hashValue="8yTAwjNEm266nP8kpSF7Bniwim+PCHKNNZhZbqtPq0BMRkqUOSOM2m1WgOepzof23Qvmnru6dlWvLyDlp508pQ==" saltValue="AZsf5OGUuqwDccpCKWAgnA==" spinCount="100000" sheet="1" objects="1" scenarios="1" formatColumns="0" formatRows="0"/>
  <dataConsolidate/>
  <mergeCells count="12">
    <mergeCell ref="A35:B35"/>
    <mergeCell ref="A1:AM1"/>
    <mergeCell ref="A31:B31"/>
    <mergeCell ref="A32:B32"/>
    <mergeCell ref="A33:B33"/>
    <mergeCell ref="A34:B34"/>
    <mergeCell ref="A40:B40"/>
    <mergeCell ref="A38:B38"/>
    <mergeCell ref="A39:B39"/>
    <mergeCell ref="A36:B36"/>
    <mergeCell ref="A37:AM37"/>
    <mergeCell ref="C40:AM40"/>
  </mergeCells>
  <phoneticPr fontId="5" type="noConversion"/>
  <conditionalFormatting sqref="A6:A30">
    <cfRule type="duplicateValues" dxfId="63" priority="9"/>
  </conditionalFormatting>
  <conditionalFormatting sqref="A31:AM36 D6:AM30 A6:B30">
    <cfRule type="cellIs" dxfId="62" priority="3" operator="equal">
      <formula>0</formula>
    </cfRule>
  </conditionalFormatting>
  <conditionalFormatting sqref="C6:C30">
    <cfRule type="cellIs" dxfId="61" priority="2" operator="equal">
      <formula>0</formula>
    </cfRule>
  </conditionalFormatting>
  <conditionalFormatting sqref="C5">
    <cfRule type="cellIs" dxfId="60" priority="1" operator="equal">
      <formula>0</formula>
    </cfRule>
  </conditionalFormatting>
  <pageMargins left="0" right="0" top="0" bottom="0" header="0" footer="0"/>
  <pageSetup paperSize="9" scale="29" orientation="landscape" r:id="rId1"/>
  <colBreaks count="1" manualBreakCount="1">
    <brk id="39" max="1048575" man="1"/>
  </col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66175C4D-10B5-4B40-97F3-A6A915365893}">
            <xm:f>IFERROR(IF(VLOOKUP($A6,PPC!$A:$CM,3,0)=$A$43,FALSE,TRUE),TRUE)</xm:f>
            <x14:dxf>
              <font>
                <b/>
                <i val="0"/>
                <color theme="0"/>
              </font>
              <fill>
                <patternFill>
                  <bgColor rgb="FFFF0000"/>
                </patternFill>
              </fill>
            </x14:dxf>
          </x14:cfRule>
          <xm:sqref>A6:A30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7BF2769-F7A9-479B-9081-B981303782E9}">
          <x14:formula1>
            <xm:f>'SETUP DAO'!$A:$A</xm:f>
          </x14:formula1>
          <xm:sqref>B3</xm:sqref>
        </x14:dataValidation>
        <x14:dataValidation type="custom" allowBlank="1" showInputMessage="1" showErrorMessage="1" errorTitle="Cảnh báo" error="BOM này không giống BOM của đơn đầu fen ơi. Kiểm tra cho kỹ vô." xr:uid="{2B33EA22-A296-48DF-BF99-4F5957C503F8}">
          <x14:formula1>
            <xm:f>IFERROR(VLOOKUP($A6,PPC!$A:$CJ,3,0),0)=$A$43</xm:f>
          </x14:formula1>
          <xm:sqref>A6:A30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A9056D-D070-43AF-B1CB-93C0C62F6865}">
  <sheetPr codeName="Sheet1"/>
  <dimension ref="A1"/>
  <sheetViews>
    <sheetView workbookViewId="0"/>
  </sheetViews>
  <sheetFormatPr defaultRowHeight="14.4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6F8EE5-2576-456C-9B92-22B1EA6DF8BF}">
  <sheetPr codeName="Sheet4">
    <tabColor theme="0"/>
    <pageSetUpPr fitToPage="1"/>
  </sheetPr>
  <dimension ref="A1:DH69"/>
  <sheetViews>
    <sheetView zoomScale="85" zoomScaleNormal="85" workbookViewId="0">
      <pane xSplit="6" ySplit="1" topLeftCell="G5" activePane="bottomRight" state="frozen"/>
      <selection pane="topRight" activeCell="T31" sqref="T31"/>
      <selection pane="bottomLeft" activeCell="T31" sqref="T31"/>
      <selection pane="bottomRight" sqref="A1:A1048576"/>
    </sheetView>
  </sheetViews>
  <sheetFormatPr defaultRowHeight="14.4"/>
  <cols>
    <col min="1" max="1" width="16.77734375" bestFit="1" customWidth="1"/>
    <col min="2" max="2" width="25.88671875" bestFit="1" customWidth="1"/>
    <col min="3" max="7" width="7.109375" customWidth="1"/>
    <col min="8" max="8" width="10" bestFit="1" customWidth="1"/>
    <col min="9" max="9" width="7.77734375" bestFit="1" customWidth="1"/>
    <col min="10" max="10" width="10" bestFit="1" customWidth="1"/>
    <col min="11" max="11" width="7.77734375" bestFit="1" customWidth="1"/>
    <col min="12" max="12" width="10" bestFit="1" customWidth="1"/>
    <col min="13" max="13" width="7.77734375" bestFit="1" customWidth="1"/>
    <col min="14" max="14" width="10" bestFit="1" customWidth="1"/>
    <col min="15" max="15" width="7.77734375" bestFit="1" customWidth="1"/>
    <col min="16" max="16" width="10" bestFit="1" customWidth="1"/>
    <col min="17" max="17" width="7.77734375" bestFit="1" customWidth="1"/>
    <col min="18" max="18" width="10" bestFit="1" customWidth="1"/>
    <col min="19" max="19" width="7.77734375" bestFit="1" customWidth="1"/>
    <col min="20" max="20" width="10" bestFit="1" customWidth="1"/>
    <col min="21" max="21" width="8.88671875" bestFit="1" customWidth="1"/>
    <col min="22" max="22" width="11.21875" bestFit="1" customWidth="1"/>
    <col min="23" max="23" width="8.88671875" bestFit="1" customWidth="1"/>
    <col min="24" max="24" width="11.21875" bestFit="1" customWidth="1"/>
    <col min="25" max="25" width="8.88671875" bestFit="1" customWidth="1"/>
    <col min="26" max="26" width="11.21875" bestFit="1" customWidth="1"/>
    <col min="27" max="27" width="8.88671875" bestFit="1" customWidth="1"/>
    <col min="28" max="28" width="11.21875" bestFit="1" customWidth="1"/>
    <col min="29" max="29" width="8.88671875" bestFit="1" customWidth="1"/>
    <col min="30" max="30" width="11.21875" bestFit="1" customWidth="1"/>
    <col min="31" max="31" width="8.88671875" bestFit="1" customWidth="1"/>
    <col min="32" max="32" width="11.21875" bestFit="1" customWidth="1"/>
    <col min="33" max="33" width="6.6640625" bestFit="1" customWidth="1"/>
  </cols>
  <sheetData>
    <row r="1" spans="1:112" s="3" customFormat="1" ht="15.6">
      <c r="A1" s="3" t="s">
        <v>22</v>
      </c>
      <c r="B1" s="3" t="s">
        <v>23</v>
      </c>
      <c r="C1" s="3">
        <v>1</v>
      </c>
      <c r="D1" s="3">
        <v>1.5</v>
      </c>
      <c r="E1" s="3">
        <v>2</v>
      </c>
      <c r="F1" s="3">
        <v>2.5</v>
      </c>
      <c r="G1" s="3">
        <v>3</v>
      </c>
      <c r="H1" s="3">
        <v>3.5</v>
      </c>
      <c r="I1" s="3">
        <v>4</v>
      </c>
      <c r="J1" s="3">
        <v>4.5</v>
      </c>
      <c r="K1" s="3">
        <v>5</v>
      </c>
      <c r="L1" s="3">
        <v>5.5</v>
      </c>
      <c r="M1" s="3">
        <v>6</v>
      </c>
      <c r="N1" s="3">
        <v>6.5</v>
      </c>
      <c r="O1" s="3">
        <v>7</v>
      </c>
      <c r="P1" s="3">
        <v>7.5</v>
      </c>
      <c r="Q1" s="3">
        <v>8</v>
      </c>
      <c r="R1" s="3">
        <v>8.5</v>
      </c>
      <c r="S1" s="3">
        <v>9</v>
      </c>
      <c r="T1" s="3">
        <v>9.5</v>
      </c>
      <c r="U1" s="3">
        <v>10</v>
      </c>
      <c r="V1" s="3">
        <v>10.5</v>
      </c>
      <c r="W1" s="3">
        <v>11</v>
      </c>
      <c r="X1" s="3">
        <v>11.5</v>
      </c>
      <c r="Y1" s="3">
        <v>12</v>
      </c>
      <c r="Z1" s="3">
        <v>12.5</v>
      </c>
      <c r="AA1" s="3">
        <v>13</v>
      </c>
      <c r="AB1" s="3">
        <v>13.5</v>
      </c>
      <c r="AC1" s="3">
        <v>14</v>
      </c>
      <c r="AD1" s="3">
        <v>14.5</v>
      </c>
      <c r="AE1" s="3">
        <v>15</v>
      </c>
      <c r="AF1" s="3">
        <v>15.5</v>
      </c>
      <c r="AG1" s="3">
        <v>16</v>
      </c>
      <c r="AH1" s="3">
        <v>16.5</v>
      </c>
      <c r="AI1" s="3">
        <v>17</v>
      </c>
      <c r="AJ1" s="3">
        <v>17.5</v>
      </c>
      <c r="AK1" s="3">
        <v>18</v>
      </c>
      <c r="AL1" s="3">
        <v>18.5</v>
      </c>
      <c r="AM1" s="3">
        <v>19</v>
      </c>
      <c r="AN1" s="3">
        <v>19.5</v>
      </c>
      <c r="AO1" s="3">
        <v>20</v>
      </c>
      <c r="AP1" s="3">
        <v>20.5</v>
      </c>
      <c r="AQ1" s="3">
        <v>21</v>
      </c>
      <c r="AR1" s="3">
        <v>21.5</v>
      </c>
      <c r="AS1" s="3">
        <v>22</v>
      </c>
      <c r="AT1" s="3">
        <v>22.5</v>
      </c>
      <c r="AU1" s="3">
        <v>23</v>
      </c>
      <c r="AV1" s="3">
        <v>23.5</v>
      </c>
      <c r="AW1" s="3">
        <v>24</v>
      </c>
      <c r="AX1" s="3">
        <v>24.5</v>
      </c>
      <c r="AY1" s="3">
        <v>25</v>
      </c>
      <c r="AZ1" s="3">
        <v>25.5</v>
      </c>
      <c r="BA1" s="3">
        <v>26</v>
      </c>
      <c r="BB1" s="3">
        <v>26.5</v>
      </c>
      <c r="BC1" s="3">
        <v>27</v>
      </c>
      <c r="BD1" s="3">
        <v>27.5</v>
      </c>
      <c r="BE1" s="3">
        <v>28</v>
      </c>
      <c r="BF1" s="3">
        <v>28.5</v>
      </c>
      <c r="BG1" s="3">
        <v>29</v>
      </c>
      <c r="BH1" s="3">
        <v>29.5</v>
      </c>
      <c r="BI1" s="3">
        <v>30</v>
      </c>
      <c r="BJ1" s="3">
        <v>30.5</v>
      </c>
      <c r="BK1" s="3">
        <v>31</v>
      </c>
      <c r="BL1" s="3">
        <v>31.5</v>
      </c>
      <c r="BM1" s="3">
        <v>32</v>
      </c>
      <c r="BN1" s="3">
        <v>32.5</v>
      </c>
      <c r="BO1" s="3">
        <v>33</v>
      </c>
      <c r="BP1" s="3">
        <v>33.5</v>
      </c>
      <c r="BQ1" s="3">
        <v>34</v>
      </c>
      <c r="BR1" s="3">
        <v>34.5</v>
      </c>
      <c r="BS1" s="3">
        <v>35</v>
      </c>
      <c r="BT1" s="3">
        <v>35.5</v>
      </c>
      <c r="BU1" s="3">
        <v>36</v>
      </c>
      <c r="BV1" s="3">
        <v>36.5</v>
      </c>
      <c r="BW1" s="3">
        <v>37</v>
      </c>
      <c r="BX1" s="3">
        <v>37.5</v>
      </c>
      <c r="BY1" s="3">
        <v>38</v>
      </c>
      <c r="BZ1" s="3">
        <v>38.5</v>
      </c>
      <c r="CA1" s="3">
        <v>39</v>
      </c>
      <c r="CB1" s="3">
        <v>39.5</v>
      </c>
      <c r="CC1" s="3">
        <v>40</v>
      </c>
      <c r="CD1" s="3">
        <v>40.5</v>
      </c>
      <c r="CE1" s="3">
        <v>41</v>
      </c>
      <c r="CF1" s="3">
        <v>41.5</v>
      </c>
      <c r="CG1" s="3">
        <v>42</v>
      </c>
      <c r="CH1" s="3">
        <v>42.5</v>
      </c>
      <c r="CI1" s="3">
        <v>43</v>
      </c>
      <c r="CJ1" s="3">
        <v>43.5</v>
      </c>
      <c r="CK1" s="3">
        <v>44</v>
      </c>
      <c r="CL1" s="3">
        <v>44.5</v>
      </c>
      <c r="CM1" s="3">
        <v>45</v>
      </c>
      <c r="CN1" s="3">
        <v>45.5</v>
      </c>
      <c r="CO1" s="3">
        <v>46</v>
      </c>
      <c r="CP1" s="3">
        <v>46.5</v>
      </c>
      <c r="CQ1" s="3">
        <v>47</v>
      </c>
      <c r="CR1" s="3">
        <v>47.5</v>
      </c>
      <c r="CS1" s="3">
        <v>48</v>
      </c>
      <c r="CT1" s="3">
        <v>48.5</v>
      </c>
      <c r="CU1" s="3">
        <v>49</v>
      </c>
      <c r="CV1" s="3" t="s">
        <v>24</v>
      </c>
      <c r="CW1" s="3" t="s">
        <v>25</v>
      </c>
      <c r="CX1" s="3" t="s">
        <v>26</v>
      </c>
      <c r="CY1" s="3" t="s">
        <v>27</v>
      </c>
      <c r="CZ1" s="3" t="s">
        <v>28</v>
      </c>
      <c r="DA1" s="3" t="s">
        <v>29</v>
      </c>
      <c r="DB1" s="3" t="s">
        <v>30</v>
      </c>
      <c r="DC1" s="3" t="s">
        <v>31</v>
      </c>
      <c r="DD1" s="3" t="s">
        <v>32</v>
      </c>
      <c r="DE1" s="3" t="s">
        <v>33</v>
      </c>
      <c r="DF1" s="3" t="s">
        <v>34</v>
      </c>
      <c r="DG1" s="3" t="s">
        <v>35</v>
      </c>
      <c r="DH1" s="3" t="s">
        <v>36</v>
      </c>
    </row>
    <row r="2" spans="1:112">
      <c r="A2" t="s">
        <v>37</v>
      </c>
      <c r="B2" t="str">
        <f>IFERROR(_xlfn.XLOOKUP(A2,'CHECK DAO'!B:B,'CHECK DAO'!A:A),"")</f>
        <v>Y-171/YA-25 (D-0005)</v>
      </c>
      <c r="H2">
        <v>62</v>
      </c>
      <c r="I2">
        <v>60</v>
      </c>
      <c r="J2">
        <v>56</v>
      </c>
      <c r="K2">
        <v>56</v>
      </c>
      <c r="L2">
        <v>53</v>
      </c>
      <c r="M2">
        <v>53</v>
      </c>
      <c r="N2">
        <v>51</v>
      </c>
      <c r="O2">
        <v>51</v>
      </c>
    </row>
    <row r="3" spans="1:112">
      <c r="A3" t="s">
        <v>38</v>
      </c>
      <c r="B3" t="str">
        <f>IFERROR(_xlfn.XLOOKUP(A3,'CHECK DAO'!B:B,'CHECK DAO'!A:A),"")</f>
        <v>Y-172</v>
      </c>
      <c r="C3">
        <v>67.5</v>
      </c>
      <c r="D3">
        <v>64</v>
      </c>
      <c r="E3">
        <v>6</v>
      </c>
      <c r="F3">
        <v>58</v>
      </c>
      <c r="G3">
        <v>58</v>
      </c>
      <c r="V3">
        <v>82.5</v>
      </c>
      <c r="W3">
        <v>80</v>
      </c>
      <c r="X3">
        <v>80</v>
      </c>
      <c r="Y3">
        <v>77</v>
      </c>
      <c r="Z3">
        <v>74.5</v>
      </c>
      <c r="AA3">
        <v>70</v>
      </c>
      <c r="AB3">
        <v>67.5</v>
      </c>
    </row>
    <row r="4" spans="1:112">
      <c r="A4" t="s">
        <v>39</v>
      </c>
      <c r="B4" t="str">
        <f>IFERROR(_xlfn.XLOOKUP(A4,'CHECK DAO'!B:B,'CHECK DAO'!A:A),"")</f>
        <v>CT017L-2 (D-0036) (Tỷ Xuân)</v>
      </c>
      <c r="G4">
        <v>60</v>
      </c>
      <c r="H4">
        <v>58</v>
      </c>
      <c r="I4">
        <v>56</v>
      </c>
      <c r="J4">
        <v>55</v>
      </c>
      <c r="K4">
        <v>53</v>
      </c>
      <c r="L4">
        <v>51</v>
      </c>
      <c r="M4">
        <v>51</v>
      </c>
      <c r="N4">
        <v>49.5</v>
      </c>
      <c r="O4">
        <v>47.5</v>
      </c>
      <c r="P4">
        <v>45.5</v>
      </c>
      <c r="Q4">
        <v>45.5</v>
      </c>
      <c r="R4">
        <v>45</v>
      </c>
      <c r="S4">
        <v>42</v>
      </c>
      <c r="T4">
        <v>39</v>
      </c>
      <c r="U4">
        <v>39</v>
      </c>
      <c r="V4">
        <v>37.5</v>
      </c>
      <c r="W4">
        <v>37.5</v>
      </c>
      <c r="X4">
        <v>37.5</v>
      </c>
      <c r="Y4">
        <v>36</v>
      </c>
      <c r="Z4">
        <v>33</v>
      </c>
      <c r="AA4">
        <v>33</v>
      </c>
      <c r="AC4">
        <v>33</v>
      </c>
      <c r="AE4">
        <v>30.5</v>
      </c>
    </row>
    <row r="5" spans="1:112">
      <c r="A5" t="s">
        <v>40</v>
      </c>
      <c r="B5" t="str">
        <f>IFERROR(_xlfn.XLOOKUP(A5,'CHECK DAO'!B:B,'CHECK DAO'!A:A),"")</f>
        <v>QA7-1 (D-0038) (skiving from arch to heel)</v>
      </c>
      <c r="K5">
        <v>52</v>
      </c>
      <c r="L5">
        <v>52</v>
      </c>
      <c r="M5">
        <v>52</v>
      </c>
      <c r="N5">
        <v>48</v>
      </c>
      <c r="O5">
        <v>46</v>
      </c>
      <c r="P5">
        <v>46</v>
      </c>
      <c r="Q5">
        <v>44</v>
      </c>
      <c r="R5">
        <v>44</v>
      </c>
      <c r="S5">
        <v>42</v>
      </c>
      <c r="T5">
        <v>42</v>
      </c>
      <c r="U5">
        <v>38.5</v>
      </c>
      <c r="V5">
        <v>38.5</v>
      </c>
      <c r="W5">
        <v>38</v>
      </c>
      <c r="X5">
        <v>36</v>
      </c>
      <c r="Y5">
        <v>36</v>
      </c>
    </row>
    <row r="6" spans="1:112">
      <c r="A6" t="s">
        <v>41</v>
      </c>
      <c r="B6" t="str">
        <f>IFERROR(_xlfn.XLOOKUP(A6,'CHECK DAO'!B:B,'CHECK DAO'!A:A),"")</f>
        <v>CT017L-2-M (D-0041) (Tỷ Xuân)</v>
      </c>
      <c r="G6">
        <v>46</v>
      </c>
      <c r="H6">
        <v>46</v>
      </c>
      <c r="I6">
        <v>44</v>
      </c>
      <c r="J6">
        <v>44</v>
      </c>
      <c r="K6">
        <v>41</v>
      </c>
      <c r="L6">
        <v>41</v>
      </c>
      <c r="M6">
        <v>39</v>
      </c>
      <c r="N6">
        <v>39</v>
      </c>
      <c r="O6">
        <v>38.5</v>
      </c>
      <c r="P6">
        <v>35</v>
      </c>
      <c r="Q6">
        <v>35</v>
      </c>
      <c r="R6">
        <v>33</v>
      </c>
      <c r="S6">
        <v>33</v>
      </c>
      <c r="T6">
        <v>33</v>
      </c>
      <c r="U6">
        <v>31.5</v>
      </c>
      <c r="V6">
        <v>31.5</v>
      </c>
      <c r="W6">
        <v>30</v>
      </c>
      <c r="X6">
        <v>30</v>
      </c>
      <c r="Y6">
        <v>30</v>
      </c>
      <c r="AA6">
        <v>27</v>
      </c>
    </row>
    <row r="7" spans="1:112">
      <c r="A7" t="s">
        <v>42</v>
      </c>
      <c r="B7" t="str">
        <f>IFERROR(_xlfn.XLOOKUP(A7,'CHECK DAO'!B:B,'CHECK DAO'!A:A),"")</f>
        <v>NSW-83H (D-0042)</v>
      </c>
      <c r="K7">
        <v>60</v>
      </c>
      <c r="L7">
        <v>56</v>
      </c>
      <c r="M7">
        <v>56</v>
      </c>
      <c r="N7">
        <v>56</v>
      </c>
      <c r="O7">
        <v>53</v>
      </c>
      <c r="P7">
        <v>53</v>
      </c>
      <c r="Q7">
        <v>49.5</v>
      </c>
      <c r="R7">
        <v>47.5</v>
      </c>
      <c r="S7">
        <v>47</v>
      </c>
      <c r="T7">
        <v>45.5</v>
      </c>
      <c r="U7">
        <v>45.5</v>
      </c>
      <c r="V7">
        <v>42</v>
      </c>
      <c r="W7">
        <v>42</v>
      </c>
      <c r="X7">
        <v>39</v>
      </c>
      <c r="Y7">
        <v>39</v>
      </c>
    </row>
    <row r="8" spans="1:112">
      <c r="A8" t="s">
        <v>43</v>
      </c>
      <c r="B8" t="str">
        <f>IFERROR(_xlfn.XLOOKUP(A8,'CHECK DAO'!B:B,'CHECK DAO'!A:A),"")</f>
        <v>NSW-76HB (D-0045)</v>
      </c>
      <c r="K8">
        <v>60</v>
      </c>
      <c r="L8">
        <v>60</v>
      </c>
      <c r="M8">
        <v>56</v>
      </c>
      <c r="N8">
        <v>56</v>
      </c>
      <c r="O8">
        <v>53</v>
      </c>
      <c r="P8">
        <v>53</v>
      </c>
      <c r="Q8">
        <v>49</v>
      </c>
      <c r="R8">
        <v>47.5</v>
      </c>
      <c r="S8">
        <v>45.5</v>
      </c>
      <c r="T8">
        <v>45.5</v>
      </c>
      <c r="U8">
        <v>42</v>
      </c>
      <c r="V8">
        <v>42</v>
      </c>
      <c r="W8">
        <v>39</v>
      </c>
      <c r="X8">
        <v>39</v>
      </c>
      <c r="Y8">
        <v>39</v>
      </c>
    </row>
    <row r="9" spans="1:112">
      <c r="A9" t="s">
        <v>44</v>
      </c>
      <c r="B9" t="str">
        <f>IFERROR(_xlfn.XLOOKUP(A9,'CHECK DAO'!B:B,'CHECK DAO'!A:A),"")</f>
        <v>JV8-0425-1 (D-0147)</v>
      </c>
      <c r="J9">
        <v>60</v>
      </c>
      <c r="K9">
        <v>60</v>
      </c>
      <c r="L9">
        <v>58.5</v>
      </c>
      <c r="M9">
        <v>58.5</v>
      </c>
      <c r="N9">
        <v>53</v>
      </c>
      <c r="O9">
        <v>53</v>
      </c>
      <c r="P9">
        <v>51</v>
      </c>
      <c r="Q9">
        <v>51</v>
      </c>
      <c r="R9">
        <v>49</v>
      </c>
      <c r="S9">
        <v>49</v>
      </c>
      <c r="T9">
        <v>45.5</v>
      </c>
      <c r="U9">
        <v>45.5</v>
      </c>
      <c r="V9">
        <v>42</v>
      </c>
      <c r="W9">
        <v>42</v>
      </c>
      <c r="X9">
        <v>42</v>
      </c>
      <c r="Y9">
        <v>42</v>
      </c>
      <c r="Z9">
        <v>37.5</v>
      </c>
      <c r="AA9">
        <v>37.5</v>
      </c>
      <c r="AB9">
        <v>36</v>
      </c>
      <c r="AC9">
        <v>36</v>
      </c>
      <c r="AD9">
        <v>36</v>
      </c>
      <c r="AE9">
        <v>36</v>
      </c>
      <c r="AF9">
        <v>34.5</v>
      </c>
      <c r="AG9">
        <v>34.5</v>
      </c>
      <c r="AH9">
        <v>30.5</v>
      </c>
      <c r="AI9">
        <v>30.5</v>
      </c>
      <c r="AJ9">
        <v>30.5</v>
      </c>
      <c r="AK9">
        <v>30.5</v>
      </c>
    </row>
    <row r="10" spans="1:112">
      <c r="A10" t="s">
        <v>45</v>
      </c>
      <c r="B10" t="str">
        <f>IFERROR(_xlfn.XLOOKUP(A10,'CHECK DAO'!B:B,'CHECK DAO'!A:A),"")</f>
        <v>NSW-62 (D-0155)</v>
      </c>
      <c r="M10">
        <v>53</v>
      </c>
      <c r="N10">
        <v>51</v>
      </c>
      <c r="O10">
        <v>47.5</v>
      </c>
      <c r="P10">
        <v>47.5</v>
      </c>
      <c r="Q10">
        <v>45.5</v>
      </c>
      <c r="R10">
        <v>45.5</v>
      </c>
      <c r="S10">
        <v>45.5</v>
      </c>
      <c r="T10">
        <v>45.5</v>
      </c>
      <c r="U10">
        <v>42</v>
      </c>
      <c r="V10">
        <v>42</v>
      </c>
      <c r="W10">
        <v>39</v>
      </c>
      <c r="X10">
        <v>39</v>
      </c>
      <c r="Y10">
        <v>37.5</v>
      </c>
      <c r="Z10">
        <v>37.5</v>
      </c>
      <c r="AA10">
        <v>37.5</v>
      </c>
      <c r="AB10">
        <v>36</v>
      </c>
      <c r="AC10">
        <v>33</v>
      </c>
    </row>
    <row r="11" spans="1:112">
      <c r="A11" t="s">
        <v>46</v>
      </c>
      <c r="B11" t="str">
        <f>IFERROR(_xlfn.XLOOKUP(A11,'CHECK DAO'!B:B,'CHECK DAO'!A:A),"")</f>
        <v>JP011L-3 (D-0169)</v>
      </c>
      <c r="W11">
        <v>42</v>
      </c>
      <c r="X11">
        <v>39</v>
      </c>
      <c r="Y11">
        <v>37.5</v>
      </c>
      <c r="Z11">
        <v>37.5</v>
      </c>
      <c r="AA11">
        <v>36</v>
      </c>
      <c r="AC11">
        <v>36</v>
      </c>
      <c r="AE11">
        <v>33</v>
      </c>
      <c r="AF11">
        <v>30</v>
      </c>
    </row>
    <row r="12" spans="1:112">
      <c r="A12" t="s">
        <v>47</v>
      </c>
      <c r="B12" t="str">
        <f>IFERROR(_xlfn.XLOOKUP(A12,'CHECK DAO'!B:B,'CHECK DAO'!A:A),"")</f>
        <v>NSW-124 (D-0170) (skive arch)</v>
      </c>
      <c r="G12">
        <v>64</v>
      </c>
      <c r="H12">
        <v>60</v>
      </c>
      <c r="I12">
        <v>58</v>
      </c>
      <c r="J12">
        <v>56</v>
      </c>
      <c r="K12">
        <v>56</v>
      </c>
      <c r="L12">
        <v>56</v>
      </c>
      <c r="M12">
        <v>53</v>
      </c>
      <c r="N12">
        <v>53</v>
      </c>
      <c r="O12">
        <v>49.35</v>
      </c>
      <c r="P12">
        <v>47.5</v>
      </c>
      <c r="Q12">
        <v>47.5</v>
      </c>
      <c r="R12">
        <v>45.5</v>
      </c>
      <c r="S12">
        <v>45.5</v>
      </c>
      <c r="T12">
        <v>42</v>
      </c>
      <c r="U12">
        <v>42</v>
      </c>
      <c r="V12">
        <v>39</v>
      </c>
    </row>
    <row r="13" spans="1:112">
      <c r="A13" t="s">
        <v>48</v>
      </c>
      <c r="B13" t="str">
        <f>IFERROR(_xlfn.XLOOKUP(A13,'CHECK DAO'!B:B,'CHECK DAO'!A:A),"")</f>
        <v>QD-10</v>
      </c>
      <c r="H13">
        <v>62</v>
      </c>
      <c r="I13">
        <v>56</v>
      </c>
      <c r="J13">
        <v>56</v>
      </c>
      <c r="K13">
        <v>55</v>
      </c>
      <c r="L13">
        <v>53</v>
      </c>
      <c r="M13">
        <v>53</v>
      </c>
      <c r="N13">
        <v>47.5</v>
      </c>
      <c r="O13">
        <v>47.5</v>
      </c>
      <c r="P13">
        <v>45.5</v>
      </c>
      <c r="Q13">
        <v>45.5</v>
      </c>
      <c r="R13">
        <v>45.5</v>
      </c>
      <c r="S13">
        <v>45.5</v>
      </c>
      <c r="T13">
        <v>42</v>
      </c>
      <c r="U13">
        <v>42</v>
      </c>
      <c r="V13">
        <v>39</v>
      </c>
      <c r="W13">
        <v>39</v>
      </c>
      <c r="X13">
        <v>37.5</v>
      </c>
      <c r="Y13">
        <v>37.5</v>
      </c>
      <c r="Z13">
        <v>37.5</v>
      </c>
      <c r="AA13">
        <v>36</v>
      </c>
      <c r="AC13">
        <v>33</v>
      </c>
    </row>
    <row r="14" spans="1:112">
      <c r="A14" t="s">
        <v>49</v>
      </c>
      <c r="B14" t="str">
        <f>IFERROR(_xlfn.XLOOKUP(A14,'CHECK DAO'!B:B,'CHECK DAO'!A:A),"")</f>
        <v>MR-30(ZF6)(D-0189) (skive arch)</v>
      </c>
      <c r="H14">
        <v>62</v>
      </c>
      <c r="I14">
        <v>62</v>
      </c>
      <c r="J14">
        <v>60</v>
      </c>
      <c r="K14">
        <v>60</v>
      </c>
      <c r="L14">
        <v>56</v>
      </c>
      <c r="M14">
        <v>53</v>
      </c>
      <c r="N14">
        <v>53</v>
      </c>
      <c r="O14">
        <v>51</v>
      </c>
      <c r="P14">
        <v>51</v>
      </c>
      <c r="Q14">
        <v>47.5</v>
      </c>
      <c r="R14">
        <v>45.5</v>
      </c>
      <c r="S14">
        <v>45.5</v>
      </c>
      <c r="T14">
        <v>45</v>
      </c>
      <c r="U14">
        <v>42</v>
      </c>
      <c r="V14">
        <v>39</v>
      </c>
      <c r="W14">
        <v>39</v>
      </c>
      <c r="X14">
        <v>37.5</v>
      </c>
      <c r="Y14">
        <v>37.5</v>
      </c>
      <c r="AA14">
        <v>36</v>
      </c>
    </row>
    <row r="15" spans="1:112">
      <c r="A15" t="s">
        <v>50</v>
      </c>
      <c r="B15" t="str">
        <f>IFERROR(_xlfn.XLOOKUP(A15,'CHECK DAO'!B:B,'CHECK DAO'!A:A),"")</f>
        <v>QA-7 AF1 (FENG TAY)(D-0195)(skive arch)</v>
      </c>
      <c r="H15">
        <v>58</v>
      </c>
      <c r="I15">
        <v>52</v>
      </c>
      <c r="J15">
        <v>52</v>
      </c>
      <c r="K15">
        <v>52</v>
      </c>
      <c r="L15">
        <v>49.5</v>
      </c>
      <c r="M15">
        <v>46</v>
      </c>
      <c r="N15">
        <v>44</v>
      </c>
      <c r="O15">
        <v>44</v>
      </c>
      <c r="P15">
        <v>44</v>
      </c>
      <c r="Q15">
        <v>42</v>
      </c>
      <c r="R15">
        <v>42</v>
      </c>
      <c r="S15">
        <v>42</v>
      </c>
      <c r="T15">
        <v>38.5</v>
      </c>
      <c r="U15">
        <v>36</v>
      </c>
      <c r="V15">
        <v>36</v>
      </c>
      <c r="W15">
        <v>36</v>
      </c>
      <c r="X15">
        <v>34.5</v>
      </c>
      <c r="Y15">
        <v>34.5</v>
      </c>
      <c r="Z15">
        <v>33</v>
      </c>
      <c r="AA15">
        <v>33</v>
      </c>
      <c r="AC15">
        <v>30</v>
      </c>
      <c r="AE15">
        <v>30</v>
      </c>
    </row>
    <row r="16" spans="1:112">
      <c r="A16" t="s">
        <v>51</v>
      </c>
      <c r="B16" t="str">
        <f>IFERROR(_xlfn.XLOOKUP(A16,'CHECK DAO'!B:B,'CHECK DAO'!A:A),"")</f>
        <v>QD-10(AM90 DRIFT)(D-0203)</v>
      </c>
      <c r="H16">
        <v>62</v>
      </c>
      <c r="I16">
        <v>60</v>
      </c>
      <c r="J16">
        <v>60</v>
      </c>
      <c r="K16">
        <v>60</v>
      </c>
      <c r="L16">
        <v>56.5</v>
      </c>
      <c r="M16">
        <v>53</v>
      </c>
      <c r="N16">
        <v>53</v>
      </c>
      <c r="O16">
        <v>51</v>
      </c>
      <c r="P16">
        <v>51</v>
      </c>
      <c r="Q16">
        <v>49</v>
      </c>
      <c r="R16">
        <v>49</v>
      </c>
      <c r="S16">
        <v>45.5</v>
      </c>
      <c r="T16">
        <v>43.5</v>
      </c>
      <c r="U16">
        <v>42</v>
      </c>
      <c r="V16">
        <v>42</v>
      </c>
      <c r="W16">
        <v>42</v>
      </c>
      <c r="X16">
        <v>40.5</v>
      </c>
      <c r="Y16">
        <v>40.5</v>
      </c>
      <c r="Z16">
        <v>37.5</v>
      </c>
      <c r="AA16">
        <v>36</v>
      </c>
      <c r="AB16">
        <v>36</v>
      </c>
      <c r="AC16">
        <v>36</v>
      </c>
      <c r="AD16">
        <v>34.5</v>
      </c>
      <c r="AE16">
        <v>34.5</v>
      </c>
    </row>
    <row r="17" spans="1:31">
      <c r="A17" t="s">
        <v>52</v>
      </c>
      <c r="B17" t="str">
        <f>IFERROR(_xlfn.XLOOKUP(A17,'CHECK DAO'!B:B,'CHECK DAO'!A:A),"")</f>
        <v>MR-10 4E Annora (D-0212) (SKIVE ARCH)</v>
      </c>
      <c r="M17">
        <v>47.5</v>
      </c>
      <c r="N17">
        <v>47.5</v>
      </c>
      <c r="O17">
        <v>44</v>
      </c>
      <c r="P17">
        <v>44</v>
      </c>
      <c r="Q17">
        <v>42</v>
      </c>
      <c r="R17">
        <v>42</v>
      </c>
      <c r="S17">
        <v>42</v>
      </c>
      <c r="U17">
        <v>39</v>
      </c>
      <c r="V17">
        <v>36</v>
      </c>
      <c r="W17">
        <v>34.5</v>
      </c>
      <c r="X17">
        <v>34.5</v>
      </c>
      <c r="Y17">
        <v>34.5</v>
      </c>
      <c r="Z17">
        <v>33</v>
      </c>
      <c r="AA17">
        <v>33</v>
      </c>
      <c r="AC17">
        <v>30</v>
      </c>
      <c r="AE17">
        <v>28</v>
      </c>
    </row>
    <row r="18" spans="1:31">
      <c r="A18" t="s">
        <v>53</v>
      </c>
      <c r="B18" t="str">
        <f>IFERROR(_xlfn.XLOOKUP(A18,'CHECK DAO'!B:B,'CHECK DAO'!A:A),"")</f>
        <v>NK021(Feng Tay) (D-0249)</v>
      </c>
      <c r="C18">
        <v>67.5</v>
      </c>
      <c r="D18">
        <v>64</v>
      </c>
      <c r="E18">
        <v>64</v>
      </c>
      <c r="F18">
        <v>62</v>
      </c>
      <c r="G18">
        <v>60</v>
      </c>
      <c r="H18">
        <v>56</v>
      </c>
      <c r="I18">
        <v>56</v>
      </c>
      <c r="J18">
        <v>55</v>
      </c>
      <c r="K18">
        <v>53</v>
      </c>
      <c r="L18">
        <v>53</v>
      </c>
      <c r="M18">
        <v>49.5</v>
      </c>
      <c r="N18">
        <v>47.5</v>
      </c>
      <c r="O18">
        <v>47.5</v>
      </c>
    </row>
    <row r="19" spans="1:31">
      <c r="A19" t="s">
        <v>54</v>
      </c>
      <c r="B19" t="str">
        <f>IFERROR(_xlfn.XLOOKUP(A19,'CHECK DAO'!B:B,'CHECK DAO'!A:A),"")</f>
        <v>QA-7H (D-0255)</v>
      </c>
      <c r="H19">
        <v>54</v>
      </c>
      <c r="I19">
        <v>52</v>
      </c>
      <c r="J19">
        <v>52</v>
      </c>
      <c r="K19">
        <v>52</v>
      </c>
      <c r="L19">
        <v>48</v>
      </c>
      <c r="M19">
        <v>48</v>
      </c>
      <c r="N19">
        <v>46</v>
      </c>
      <c r="O19">
        <v>44</v>
      </c>
      <c r="P19">
        <v>44</v>
      </c>
      <c r="Q19">
        <v>42</v>
      </c>
      <c r="R19">
        <v>42</v>
      </c>
      <c r="S19">
        <v>42</v>
      </c>
      <c r="T19">
        <v>38.5</v>
      </c>
      <c r="U19">
        <v>36</v>
      </c>
      <c r="V19">
        <v>36</v>
      </c>
      <c r="W19">
        <v>36</v>
      </c>
      <c r="X19">
        <v>34.5</v>
      </c>
      <c r="Y19">
        <v>34.5</v>
      </c>
      <c r="Z19">
        <v>33</v>
      </c>
      <c r="AA19">
        <v>33</v>
      </c>
      <c r="AC19">
        <v>30</v>
      </c>
      <c r="AE19">
        <v>28</v>
      </c>
    </row>
    <row r="20" spans="1:31">
      <c r="A20" t="s">
        <v>55</v>
      </c>
      <c r="B20" t="str">
        <f>IFERROR(_xlfn.XLOOKUP(A20,'CHECK DAO'!B:B,'CHECK DAO'!A:A),"")</f>
        <v>QA-7H (D-0256) (skive arch)</v>
      </c>
      <c r="H20">
        <v>54</v>
      </c>
      <c r="I20">
        <v>52</v>
      </c>
      <c r="J20">
        <v>52</v>
      </c>
      <c r="K20">
        <v>52</v>
      </c>
      <c r="L20">
        <v>48</v>
      </c>
      <c r="M20">
        <v>48</v>
      </c>
      <c r="N20">
        <v>46</v>
      </c>
      <c r="O20">
        <v>44</v>
      </c>
      <c r="P20">
        <v>44</v>
      </c>
      <c r="Q20">
        <v>42</v>
      </c>
      <c r="R20">
        <v>42</v>
      </c>
      <c r="S20">
        <v>42</v>
      </c>
      <c r="T20">
        <v>38.5</v>
      </c>
      <c r="U20">
        <v>36</v>
      </c>
      <c r="V20">
        <v>36</v>
      </c>
      <c r="W20">
        <v>36</v>
      </c>
      <c r="X20">
        <v>34.5</v>
      </c>
      <c r="Y20">
        <v>34.5</v>
      </c>
      <c r="Z20">
        <v>33</v>
      </c>
      <c r="AA20">
        <v>33</v>
      </c>
      <c r="AC20">
        <v>30</v>
      </c>
      <c r="AE20">
        <v>28</v>
      </c>
    </row>
    <row r="21" spans="1:31">
      <c r="A21" t="s">
        <v>56</v>
      </c>
      <c r="B21" t="str">
        <f>IFERROR(_xlfn.XLOOKUP(A21,'CHECK DAO'!B:B,'CHECK DAO'!A:A),"")</f>
        <v>MR-42 (D-0257)</v>
      </c>
      <c r="H21">
        <v>60</v>
      </c>
      <c r="I21">
        <v>56</v>
      </c>
      <c r="J21">
        <v>56</v>
      </c>
      <c r="K21">
        <v>56</v>
      </c>
      <c r="L21">
        <v>54</v>
      </c>
      <c r="M21">
        <v>53</v>
      </c>
      <c r="N21">
        <v>51</v>
      </c>
      <c r="O21">
        <v>51</v>
      </c>
      <c r="P21">
        <v>47.5</v>
      </c>
      <c r="Q21">
        <v>47.5</v>
      </c>
      <c r="R21">
        <v>45.5</v>
      </c>
      <c r="S21">
        <v>45.5</v>
      </c>
      <c r="T21">
        <v>45</v>
      </c>
      <c r="U21">
        <v>42</v>
      </c>
      <c r="V21">
        <v>39</v>
      </c>
      <c r="W21">
        <v>39</v>
      </c>
      <c r="X21">
        <v>37.5</v>
      </c>
      <c r="Y21">
        <v>37.5</v>
      </c>
      <c r="Z21">
        <v>37.5</v>
      </c>
      <c r="AA21">
        <v>36</v>
      </c>
      <c r="AC21">
        <v>33</v>
      </c>
      <c r="AE21">
        <v>33</v>
      </c>
    </row>
    <row r="22" spans="1:31">
      <c r="A22" t="s">
        <v>57</v>
      </c>
      <c r="B22" t="str">
        <f>IFERROR(_xlfn.XLOOKUP(A22,'CHECK DAO'!B:B,'CHECK DAO'!A:A),"")</f>
        <v>MR-42 (D-0258)</v>
      </c>
      <c r="H22">
        <v>62</v>
      </c>
      <c r="I22">
        <v>60</v>
      </c>
      <c r="J22">
        <v>56</v>
      </c>
      <c r="K22">
        <v>56</v>
      </c>
      <c r="L22">
        <v>55</v>
      </c>
      <c r="M22">
        <v>53</v>
      </c>
      <c r="N22">
        <v>53</v>
      </c>
      <c r="O22">
        <v>51</v>
      </c>
      <c r="P22">
        <v>47.5</v>
      </c>
      <c r="Q22">
        <v>47.5</v>
      </c>
      <c r="R22">
        <v>45.5</v>
      </c>
      <c r="S22">
        <v>45.5</v>
      </c>
      <c r="T22">
        <v>45</v>
      </c>
      <c r="U22">
        <v>42</v>
      </c>
      <c r="V22">
        <v>39</v>
      </c>
      <c r="W22">
        <v>39</v>
      </c>
      <c r="X22">
        <v>39</v>
      </c>
      <c r="Y22">
        <v>37.5</v>
      </c>
      <c r="Z22">
        <v>37.5</v>
      </c>
      <c r="AA22">
        <v>36</v>
      </c>
      <c r="AC22">
        <v>36</v>
      </c>
      <c r="AE22">
        <v>33</v>
      </c>
    </row>
    <row r="23" spans="1:31">
      <c r="A23" t="s">
        <v>58</v>
      </c>
      <c r="B23" t="str">
        <f>IFERROR(_xlfn.XLOOKUP(A23,'CHECK DAO'!B:B,'CHECK DAO'!A:A),"")</f>
        <v>QD-10(EXCEE) (D-0260)</v>
      </c>
      <c r="H23">
        <v>62</v>
      </c>
      <c r="I23">
        <v>62</v>
      </c>
      <c r="J23">
        <v>60</v>
      </c>
      <c r="K23">
        <v>60</v>
      </c>
      <c r="L23">
        <v>56</v>
      </c>
      <c r="M23">
        <v>56</v>
      </c>
      <c r="N23">
        <v>53</v>
      </c>
      <c r="O23">
        <v>53</v>
      </c>
      <c r="P23">
        <v>51</v>
      </c>
      <c r="Q23">
        <v>49</v>
      </c>
      <c r="R23">
        <v>47</v>
      </c>
      <c r="S23">
        <v>45.5</v>
      </c>
      <c r="T23">
        <v>45</v>
      </c>
      <c r="U23">
        <v>42</v>
      </c>
      <c r="V23">
        <v>42</v>
      </c>
      <c r="W23">
        <v>39</v>
      </c>
      <c r="X23">
        <v>39</v>
      </c>
      <c r="Y23">
        <v>39</v>
      </c>
      <c r="Z23">
        <v>37.5</v>
      </c>
      <c r="AA23">
        <v>37.5</v>
      </c>
      <c r="AC23">
        <v>36</v>
      </c>
      <c r="AE23">
        <v>36</v>
      </c>
    </row>
    <row r="24" spans="1:31">
      <c r="A24" t="s">
        <v>59</v>
      </c>
      <c r="B24" t="str">
        <f>IFERROR(_xlfn.XLOOKUP(A24,'CHECK DAO'!B:B,'CHECK DAO'!A:A),"")</f>
        <v>X-3379</v>
      </c>
      <c r="H24">
        <v>58</v>
      </c>
      <c r="I24">
        <v>58</v>
      </c>
      <c r="J24">
        <v>56</v>
      </c>
      <c r="K24">
        <v>56</v>
      </c>
      <c r="L24">
        <v>55</v>
      </c>
      <c r="M24">
        <v>49.5</v>
      </c>
      <c r="N24">
        <v>47.5</v>
      </c>
      <c r="O24">
        <v>47.5</v>
      </c>
      <c r="P24">
        <v>45.5</v>
      </c>
      <c r="Q24">
        <v>44</v>
      </c>
      <c r="R24">
        <v>42</v>
      </c>
      <c r="S24">
        <v>42</v>
      </c>
      <c r="T24">
        <v>39</v>
      </c>
      <c r="U24">
        <v>39</v>
      </c>
      <c r="V24">
        <v>39</v>
      </c>
      <c r="W24">
        <v>39</v>
      </c>
      <c r="X24">
        <v>37.5</v>
      </c>
      <c r="Y24">
        <v>34.5</v>
      </c>
      <c r="Z24">
        <v>34.5</v>
      </c>
      <c r="AA24">
        <v>33</v>
      </c>
      <c r="AC24">
        <v>33</v>
      </c>
      <c r="AE24">
        <v>33</v>
      </c>
    </row>
    <row r="25" spans="1:31">
      <c r="A25" t="s">
        <v>60</v>
      </c>
      <c r="B25" t="str">
        <f>IFERROR(_xlfn.XLOOKUP(A25,'CHECK DAO'!B:B,'CHECK DAO'!A:A),"")</f>
        <v>QD-10 (D-0262)</v>
      </c>
      <c r="M25">
        <v>53</v>
      </c>
      <c r="N25">
        <v>51</v>
      </c>
      <c r="O25">
        <v>51</v>
      </c>
      <c r="P25">
        <v>47.5</v>
      </c>
      <c r="Q25">
        <v>45.5</v>
      </c>
      <c r="R25">
        <v>45.5</v>
      </c>
      <c r="S25">
        <v>45.5</v>
      </c>
      <c r="T25">
        <v>42</v>
      </c>
      <c r="U25">
        <v>42</v>
      </c>
      <c r="V25">
        <v>42</v>
      </c>
      <c r="W25">
        <v>40.5</v>
      </c>
      <c r="X25">
        <v>39</v>
      </c>
      <c r="Y25">
        <v>37.5</v>
      </c>
      <c r="Z25">
        <v>37.5</v>
      </c>
      <c r="AA25">
        <v>36</v>
      </c>
      <c r="AC25">
        <v>36</v>
      </c>
    </row>
    <row r="26" spans="1:31">
      <c r="A26" t="s">
        <v>61</v>
      </c>
      <c r="B26" t="str">
        <f>IFERROR(_xlfn.XLOOKUP(A26,'CHECK DAO'!B:B,'CHECK DAO'!A:A),"")</f>
        <v>QA-7 (D-0263) (skive arch)</v>
      </c>
      <c r="H26">
        <v>54</v>
      </c>
      <c r="I26">
        <v>52</v>
      </c>
      <c r="J26">
        <v>52</v>
      </c>
      <c r="K26">
        <v>52</v>
      </c>
      <c r="L26">
        <v>49</v>
      </c>
      <c r="M26">
        <v>46</v>
      </c>
      <c r="N26">
        <v>44</v>
      </c>
      <c r="O26">
        <v>44</v>
      </c>
      <c r="P26">
        <v>44</v>
      </c>
      <c r="Q26">
        <v>42</v>
      </c>
      <c r="R26">
        <v>42</v>
      </c>
      <c r="S26">
        <v>42</v>
      </c>
      <c r="T26">
        <v>36</v>
      </c>
      <c r="U26">
        <v>36</v>
      </c>
      <c r="V26">
        <v>36</v>
      </c>
    </row>
    <row r="27" spans="1:31">
      <c r="A27" t="s">
        <v>62</v>
      </c>
      <c r="B27" t="str">
        <f>IFERROR(_xlfn.XLOOKUP(A27,'CHECK DAO'!B:B,'CHECK DAO'!A:A),"")</f>
        <v>MR-42 (D-0264) (skive arch)</v>
      </c>
      <c r="H27">
        <v>58</v>
      </c>
      <c r="I27">
        <v>56</v>
      </c>
      <c r="J27">
        <v>56</v>
      </c>
      <c r="K27">
        <v>56</v>
      </c>
      <c r="L27">
        <v>53</v>
      </c>
      <c r="M27">
        <v>53</v>
      </c>
      <c r="N27">
        <v>49.5</v>
      </c>
      <c r="O27">
        <v>47.5</v>
      </c>
      <c r="P27">
        <v>47.5</v>
      </c>
      <c r="Q27">
        <v>45.5</v>
      </c>
      <c r="R27">
        <v>45.5</v>
      </c>
      <c r="S27">
        <v>45.5</v>
      </c>
      <c r="T27">
        <v>44.5</v>
      </c>
      <c r="U27">
        <v>42</v>
      </c>
      <c r="V27">
        <v>39</v>
      </c>
      <c r="W27">
        <v>39</v>
      </c>
      <c r="X27">
        <v>39</v>
      </c>
      <c r="Y27">
        <v>37.5</v>
      </c>
      <c r="Z27">
        <v>36</v>
      </c>
      <c r="AA27">
        <v>36</v>
      </c>
      <c r="AC27">
        <v>36</v>
      </c>
      <c r="AE27">
        <v>33</v>
      </c>
    </row>
    <row r="28" spans="1:31">
      <c r="A28" t="s">
        <v>63</v>
      </c>
      <c r="B28" t="str">
        <f>IFERROR(_xlfn.XLOOKUP(A28,'CHECK DAO'!B:B,'CHECK DAO'!A:A),"")</f>
        <v>NSW-86HB</v>
      </c>
      <c r="H28">
        <v>60</v>
      </c>
      <c r="I28">
        <v>56</v>
      </c>
      <c r="J28">
        <v>56</v>
      </c>
      <c r="K28">
        <v>55.5</v>
      </c>
      <c r="L28">
        <v>53</v>
      </c>
      <c r="M28">
        <v>53</v>
      </c>
      <c r="N28">
        <v>49.5</v>
      </c>
      <c r="O28">
        <v>47.5</v>
      </c>
      <c r="P28">
        <v>47.5</v>
      </c>
      <c r="Q28">
        <v>45.5</v>
      </c>
      <c r="R28">
        <v>45.5</v>
      </c>
      <c r="S28">
        <v>45.5</v>
      </c>
      <c r="T28">
        <v>42</v>
      </c>
      <c r="U28">
        <v>42</v>
      </c>
      <c r="V28">
        <v>39</v>
      </c>
      <c r="W28">
        <v>39</v>
      </c>
      <c r="X28">
        <v>37.5</v>
      </c>
      <c r="Y28">
        <v>37.5</v>
      </c>
      <c r="Z28">
        <v>36</v>
      </c>
      <c r="AA28">
        <v>36</v>
      </c>
      <c r="AC28">
        <v>33</v>
      </c>
      <c r="AE28">
        <v>33</v>
      </c>
    </row>
    <row r="29" spans="1:31">
      <c r="A29" t="s">
        <v>64</v>
      </c>
      <c r="B29" t="str">
        <f>IFERROR(_xlfn.XLOOKUP(A29,'CHECK DAO'!B:B,'CHECK DAO'!A:A),"")</f>
        <v>MR-10 (SKIVE ARCH)</v>
      </c>
      <c r="H29">
        <v>58</v>
      </c>
      <c r="I29">
        <v>56</v>
      </c>
      <c r="J29">
        <v>56</v>
      </c>
      <c r="K29">
        <v>56</v>
      </c>
      <c r="L29">
        <v>53</v>
      </c>
      <c r="M29">
        <v>53</v>
      </c>
      <c r="N29">
        <v>49.5</v>
      </c>
      <c r="O29">
        <v>47.5</v>
      </c>
      <c r="P29">
        <v>47.5</v>
      </c>
      <c r="Q29">
        <v>45.5</v>
      </c>
      <c r="R29">
        <v>45.5</v>
      </c>
      <c r="S29">
        <v>45.5</v>
      </c>
      <c r="T29">
        <v>42</v>
      </c>
      <c r="U29">
        <v>42</v>
      </c>
      <c r="V29">
        <v>39</v>
      </c>
      <c r="W29">
        <v>39</v>
      </c>
      <c r="X29">
        <v>39</v>
      </c>
      <c r="Y29">
        <v>37.5</v>
      </c>
      <c r="Z29">
        <v>36</v>
      </c>
      <c r="AA29">
        <v>36</v>
      </c>
      <c r="AC29">
        <v>36</v>
      </c>
      <c r="AE29">
        <v>33</v>
      </c>
    </row>
    <row r="30" spans="1:31">
      <c r="A30" t="s">
        <v>65</v>
      </c>
      <c r="B30" t="str">
        <f>IFERROR(_xlfn.XLOOKUP(A30,'CHECK DAO'!B:B,'CHECK DAO'!A:A),"")</f>
        <v>QD-10 (D-0268) (Skive arch)</v>
      </c>
      <c r="H30">
        <v>60</v>
      </c>
      <c r="I30">
        <v>58</v>
      </c>
      <c r="J30">
        <v>56</v>
      </c>
      <c r="K30">
        <v>53</v>
      </c>
      <c r="L30">
        <v>53</v>
      </c>
      <c r="M30">
        <v>51</v>
      </c>
      <c r="N30">
        <v>47.5</v>
      </c>
      <c r="O30">
        <v>47.5</v>
      </c>
      <c r="P30">
        <v>47</v>
      </c>
      <c r="Q30">
        <v>45.5</v>
      </c>
      <c r="R30">
        <v>45.5</v>
      </c>
      <c r="S30">
        <v>42</v>
      </c>
      <c r="T30">
        <v>42</v>
      </c>
      <c r="U30">
        <v>39</v>
      </c>
      <c r="V30">
        <v>39</v>
      </c>
      <c r="W30">
        <v>37.5</v>
      </c>
      <c r="X30">
        <v>34.5</v>
      </c>
      <c r="Y30">
        <v>34.5</v>
      </c>
      <c r="Z30">
        <v>33</v>
      </c>
      <c r="AA30">
        <v>33</v>
      </c>
      <c r="AC30">
        <v>33</v>
      </c>
      <c r="AE30">
        <v>30</v>
      </c>
    </row>
    <row r="31" spans="1:31">
      <c r="A31" t="s">
        <v>66</v>
      </c>
      <c r="B31" t="str">
        <f>IFERROR(_xlfn.XLOOKUP(A31,'CHECK DAO'!B:B,'CHECK DAO'!A:A),"")</f>
        <v>MR-10-4E</v>
      </c>
      <c r="H31">
        <v>58</v>
      </c>
      <c r="I31">
        <v>52</v>
      </c>
      <c r="J31">
        <v>52</v>
      </c>
      <c r="K31">
        <v>52</v>
      </c>
      <c r="L31">
        <v>49.35</v>
      </c>
      <c r="M31">
        <v>49.5</v>
      </c>
      <c r="N31">
        <v>47.5</v>
      </c>
      <c r="O31">
        <v>47.5</v>
      </c>
      <c r="P31">
        <v>47.5</v>
      </c>
      <c r="Q31">
        <v>42</v>
      </c>
      <c r="R31">
        <v>42</v>
      </c>
      <c r="S31">
        <v>42</v>
      </c>
      <c r="T31">
        <v>42</v>
      </c>
      <c r="U31">
        <v>39</v>
      </c>
      <c r="V31">
        <v>39</v>
      </c>
      <c r="W31">
        <v>37.5</v>
      </c>
      <c r="X31">
        <v>34.5</v>
      </c>
      <c r="Y31">
        <v>34.5</v>
      </c>
      <c r="Z31">
        <v>33</v>
      </c>
      <c r="AA31">
        <v>33</v>
      </c>
      <c r="AC31">
        <v>33</v>
      </c>
      <c r="AE31">
        <v>33</v>
      </c>
    </row>
    <row r="32" spans="1:31">
      <c r="A32" t="s">
        <v>67</v>
      </c>
      <c r="B32" t="str">
        <f>IFERROR(_xlfn.XLOOKUP(A32,'CHECK DAO'!B:B,'CHECK DAO'!A:A),"")</f>
        <v>NSW-38 NEW MODERN (D-0270)</v>
      </c>
      <c r="K32">
        <v>62</v>
      </c>
      <c r="L32">
        <v>60</v>
      </c>
      <c r="M32">
        <v>56</v>
      </c>
      <c r="N32">
        <v>56</v>
      </c>
      <c r="O32">
        <v>53</v>
      </c>
      <c r="P32">
        <v>53</v>
      </c>
      <c r="Q32">
        <v>53</v>
      </c>
      <c r="R32">
        <v>47</v>
      </c>
      <c r="S32">
        <v>47</v>
      </c>
      <c r="T32">
        <v>45.5</v>
      </c>
      <c r="U32">
        <v>45.5</v>
      </c>
      <c r="V32">
        <v>45.5</v>
      </c>
      <c r="W32">
        <v>43</v>
      </c>
      <c r="X32">
        <v>39</v>
      </c>
      <c r="Y32">
        <v>39</v>
      </c>
    </row>
    <row r="33" spans="1:31">
      <c r="A33" t="s">
        <v>68</v>
      </c>
      <c r="B33" t="str">
        <f>IFERROR(_xlfn.XLOOKUP(A33,'CHECK DAO'!B:B,'CHECK DAO'!A:A),"")</f>
        <v>QMR-2(D-0271)</v>
      </c>
      <c r="H33">
        <v>49</v>
      </c>
      <c r="I33">
        <v>45.5</v>
      </c>
      <c r="J33">
        <v>45.5</v>
      </c>
      <c r="K33">
        <v>43</v>
      </c>
      <c r="L33">
        <v>40</v>
      </c>
      <c r="M33">
        <v>40</v>
      </c>
      <c r="N33">
        <v>40</v>
      </c>
      <c r="O33">
        <v>39</v>
      </c>
      <c r="P33">
        <v>36</v>
      </c>
      <c r="Q33">
        <v>36</v>
      </c>
      <c r="R33">
        <v>36</v>
      </c>
      <c r="S33">
        <v>36</v>
      </c>
      <c r="T33">
        <v>33</v>
      </c>
      <c r="U33">
        <v>33</v>
      </c>
      <c r="V33">
        <v>33</v>
      </c>
      <c r="W33">
        <v>29</v>
      </c>
      <c r="X33">
        <v>29</v>
      </c>
      <c r="Y33">
        <v>29</v>
      </c>
      <c r="Z33">
        <v>29</v>
      </c>
      <c r="AA33">
        <v>27.5</v>
      </c>
      <c r="AC33">
        <v>27.5</v>
      </c>
      <c r="AE33">
        <v>25</v>
      </c>
    </row>
    <row r="34" spans="1:31">
      <c r="A34" t="s">
        <v>69</v>
      </c>
      <c r="B34" t="str">
        <f>IFERROR(_xlfn.XLOOKUP(A34,'CHECK DAO'!B:B,'CHECK DAO'!A:A),"")</f>
        <v>QD-10/PLUS 3 (D-0272)</v>
      </c>
      <c r="G34">
        <v>45</v>
      </c>
      <c r="H34">
        <v>45</v>
      </c>
      <c r="I34">
        <v>42</v>
      </c>
      <c r="J34">
        <v>40</v>
      </c>
      <c r="K34">
        <v>40</v>
      </c>
      <c r="L34">
        <v>38</v>
      </c>
      <c r="M34">
        <v>38</v>
      </c>
      <c r="N34">
        <v>38</v>
      </c>
      <c r="O34">
        <v>38</v>
      </c>
      <c r="P34">
        <v>33</v>
      </c>
      <c r="Q34">
        <v>33</v>
      </c>
      <c r="R34">
        <v>33</v>
      </c>
      <c r="S34">
        <v>30</v>
      </c>
      <c r="T34">
        <v>30</v>
      </c>
      <c r="U34">
        <v>30</v>
      </c>
      <c r="V34">
        <v>30</v>
      </c>
      <c r="W34">
        <v>29</v>
      </c>
      <c r="X34">
        <v>29</v>
      </c>
      <c r="Y34">
        <v>26</v>
      </c>
      <c r="Z34">
        <v>26</v>
      </c>
      <c r="AA34">
        <v>26</v>
      </c>
      <c r="AB34">
        <v>25</v>
      </c>
      <c r="AC34">
        <v>25</v>
      </c>
    </row>
    <row r="35" spans="1:31">
      <c r="A35" t="s">
        <v>70</v>
      </c>
      <c r="B35" t="str">
        <f>IFERROR(_xlfn.XLOOKUP(A35,'CHECK DAO'!B:B,'CHECK DAO'!A:A),"")</f>
        <v>NSW-76HB (D-0274)</v>
      </c>
      <c r="K35">
        <v>60</v>
      </c>
      <c r="L35">
        <v>58</v>
      </c>
      <c r="M35">
        <v>56</v>
      </c>
      <c r="N35">
        <v>56</v>
      </c>
      <c r="O35">
        <v>53</v>
      </c>
      <c r="P35">
        <v>53</v>
      </c>
      <c r="Q35">
        <v>49.5</v>
      </c>
      <c r="R35">
        <v>49.5</v>
      </c>
      <c r="S35">
        <v>47</v>
      </c>
      <c r="T35">
        <v>45.5</v>
      </c>
      <c r="U35">
        <v>45.5</v>
      </c>
      <c r="V35">
        <v>42</v>
      </c>
      <c r="W35">
        <v>42</v>
      </c>
      <c r="X35">
        <v>39</v>
      </c>
      <c r="Y35">
        <v>39</v>
      </c>
    </row>
    <row r="36" spans="1:31">
      <c r="A36" t="s">
        <v>71</v>
      </c>
      <c r="B36" t="str">
        <f>IFERROR(_xlfn.XLOOKUP(A36,'CHECK DAO'!B:B,'CHECK DAO'!A:A),"")</f>
        <v>QF-8</v>
      </c>
      <c r="H36">
        <v>58</v>
      </c>
      <c r="I36">
        <v>58</v>
      </c>
      <c r="J36">
        <v>56</v>
      </c>
      <c r="K36">
        <v>55</v>
      </c>
      <c r="L36">
        <v>55</v>
      </c>
      <c r="M36">
        <v>49.5</v>
      </c>
      <c r="N36">
        <v>49.5</v>
      </c>
      <c r="O36">
        <v>47.5</v>
      </c>
      <c r="P36">
        <v>47.5</v>
      </c>
      <c r="Q36">
        <v>45.5</v>
      </c>
      <c r="R36">
        <v>45.5</v>
      </c>
      <c r="S36">
        <v>42</v>
      </c>
      <c r="T36">
        <v>42</v>
      </c>
      <c r="U36">
        <v>42</v>
      </c>
      <c r="V36">
        <v>39</v>
      </c>
      <c r="W36">
        <v>39</v>
      </c>
      <c r="X36">
        <v>37.5</v>
      </c>
      <c r="Y36">
        <v>34.5</v>
      </c>
      <c r="Z36">
        <v>34.5</v>
      </c>
      <c r="AA36">
        <v>34.5</v>
      </c>
      <c r="AC36">
        <v>33</v>
      </c>
      <c r="AE36">
        <v>33</v>
      </c>
    </row>
    <row r="37" spans="1:31">
      <c r="A37" t="s">
        <v>72</v>
      </c>
      <c r="B37" t="str">
        <f>IFERROR(_xlfn.XLOOKUP(A37,'CHECK DAO'!B:B,'CHECK DAO'!A:A),"")</f>
        <v>A-2</v>
      </c>
      <c r="K37">
        <v>65</v>
      </c>
      <c r="L37">
        <v>62</v>
      </c>
      <c r="M37">
        <v>60</v>
      </c>
      <c r="N37">
        <v>60</v>
      </c>
      <c r="O37">
        <v>56</v>
      </c>
      <c r="P37">
        <v>53</v>
      </c>
      <c r="Q37">
        <v>53</v>
      </c>
      <c r="R37">
        <v>53</v>
      </c>
      <c r="S37">
        <v>51</v>
      </c>
      <c r="T37">
        <v>49</v>
      </c>
      <c r="U37">
        <v>49</v>
      </c>
      <c r="V37">
        <v>45.5</v>
      </c>
      <c r="W37">
        <v>45.5</v>
      </c>
      <c r="X37">
        <v>42</v>
      </c>
      <c r="Y37">
        <v>42</v>
      </c>
      <c r="Z37">
        <v>42</v>
      </c>
      <c r="AA37">
        <v>39</v>
      </c>
    </row>
    <row r="38" spans="1:31">
      <c r="A38" t="s">
        <v>73</v>
      </c>
      <c r="B38" t="str">
        <f>IFERROR(_xlfn.XLOOKUP(A38,'CHECK DAO'!B:B,'CHECK DAO'!A:A),"")</f>
        <v>S-012 (D-0292)</v>
      </c>
      <c r="K38">
        <v>62</v>
      </c>
      <c r="L38">
        <v>56</v>
      </c>
      <c r="M38">
        <v>56</v>
      </c>
      <c r="N38">
        <v>56</v>
      </c>
      <c r="O38">
        <v>53</v>
      </c>
      <c r="P38">
        <v>53</v>
      </c>
      <c r="Q38">
        <v>51</v>
      </c>
      <c r="R38">
        <v>47.5</v>
      </c>
      <c r="S38">
        <v>47.5</v>
      </c>
      <c r="T38">
        <v>45.5</v>
      </c>
      <c r="U38">
        <v>45.5</v>
      </c>
      <c r="V38">
        <v>45.5</v>
      </c>
      <c r="W38">
        <v>42</v>
      </c>
      <c r="X38">
        <v>42</v>
      </c>
      <c r="Y38">
        <v>42</v>
      </c>
    </row>
    <row r="39" spans="1:31">
      <c r="A39" t="s">
        <v>74</v>
      </c>
      <c r="B39" t="str">
        <f>IFERROR(_xlfn.XLOOKUP(A39,'CHECK DAO'!B:B,'CHECK DAO'!A:A),"")</f>
        <v/>
      </c>
      <c r="K39">
        <v>58</v>
      </c>
      <c r="L39">
        <v>52</v>
      </c>
      <c r="M39">
        <v>52</v>
      </c>
      <c r="N39">
        <v>52</v>
      </c>
      <c r="O39">
        <v>50</v>
      </c>
      <c r="P39">
        <v>48</v>
      </c>
      <c r="Q39">
        <v>46</v>
      </c>
      <c r="R39">
        <v>44</v>
      </c>
      <c r="S39">
        <v>44</v>
      </c>
      <c r="T39">
        <v>42</v>
      </c>
      <c r="U39">
        <v>42</v>
      </c>
      <c r="V39">
        <v>42</v>
      </c>
      <c r="W39">
        <v>39</v>
      </c>
      <c r="X39">
        <v>39</v>
      </c>
      <c r="Y39">
        <v>36</v>
      </c>
    </row>
    <row r="40" spans="1:31">
      <c r="A40" t="s">
        <v>2</v>
      </c>
      <c r="B40" t="str">
        <f>IFERROR(_xlfn.XLOOKUP(A40,'CHECK DAO'!B:B,'CHECK DAO'!A:A),"")</f>
        <v>TV-067 (D-0310)</v>
      </c>
      <c r="G40">
        <v>60</v>
      </c>
      <c r="H40">
        <v>56</v>
      </c>
      <c r="I40">
        <v>56</v>
      </c>
      <c r="J40">
        <v>56</v>
      </c>
      <c r="K40">
        <v>53</v>
      </c>
      <c r="L40">
        <v>53</v>
      </c>
      <c r="M40">
        <v>51</v>
      </c>
      <c r="N40">
        <v>47.5</v>
      </c>
      <c r="O40">
        <v>47.5</v>
      </c>
      <c r="P40">
        <v>45.5</v>
      </c>
      <c r="Q40">
        <v>45.5</v>
      </c>
      <c r="R40">
        <v>45</v>
      </c>
      <c r="S40">
        <v>42</v>
      </c>
      <c r="T40">
        <v>42</v>
      </c>
      <c r="U40">
        <v>39</v>
      </c>
      <c r="V40">
        <v>39</v>
      </c>
      <c r="W40">
        <v>39</v>
      </c>
      <c r="X40">
        <v>37.5</v>
      </c>
      <c r="Y40">
        <v>36</v>
      </c>
      <c r="Z40">
        <v>36</v>
      </c>
      <c r="AA40">
        <v>36</v>
      </c>
      <c r="AC40">
        <v>33</v>
      </c>
      <c r="AE40">
        <v>30.5</v>
      </c>
    </row>
    <row r="41" spans="1:31">
      <c r="A41" t="s">
        <v>75</v>
      </c>
      <c r="B41" t="str">
        <f>IFERROR(_xlfn.XLOOKUP(A41,'CHECK DAO'!B:B,'CHECK DAO'!A:A),"")</f>
        <v>QD-6H NEW VER (D-0333)</v>
      </c>
      <c r="G41">
        <v>58</v>
      </c>
      <c r="H41">
        <v>58</v>
      </c>
      <c r="I41">
        <v>56</v>
      </c>
      <c r="J41">
        <v>56</v>
      </c>
      <c r="K41">
        <v>56</v>
      </c>
      <c r="L41">
        <v>53</v>
      </c>
      <c r="M41">
        <v>49.5</v>
      </c>
      <c r="N41">
        <v>47.5</v>
      </c>
      <c r="O41">
        <v>47.5</v>
      </c>
      <c r="P41">
        <v>47.5</v>
      </c>
      <c r="Q41">
        <v>45.5</v>
      </c>
      <c r="R41">
        <v>45.5</v>
      </c>
      <c r="S41">
        <v>42</v>
      </c>
      <c r="T41">
        <v>39</v>
      </c>
      <c r="U41">
        <v>39</v>
      </c>
      <c r="V41">
        <v>39</v>
      </c>
      <c r="W41">
        <v>37.5</v>
      </c>
      <c r="X41">
        <v>37.5</v>
      </c>
      <c r="Y41">
        <v>37.5</v>
      </c>
      <c r="Z41">
        <v>33</v>
      </c>
      <c r="AA41">
        <v>33</v>
      </c>
      <c r="AC41">
        <v>33</v>
      </c>
      <c r="AE41">
        <v>30</v>
      </c>
    </row>
    <row r="42" spans="1:31">
      <c r="A42" t="s">
        <v>76</v>
      </c>
      <c r="B42" t="str">
        <f>IFERROR(_xlfn.XLOOKUP(A42,'CHECK DAO'!B:B,'CHECK DAO'!A:A),"")</f>
        <v>MR-10 (D-0344)</v>
      </c>
      <c r="H42">
        <v>60</v>
      </c>
      <c r="I42">
        <v>58</v>
      </c>
      <c r="J42">
        <v>56</v>
      </c>
      <c r="K42">
        <v>56</v>
      </c>
      <c r="L42">
        <v>55</v>
      </c>
      <c r="M42">
        <v>53</v>
      </c>
      <c r="N42">
        <v>49.5</v>
      </c>
      <c r="O42">
        <v>49</v>
      </c>
      <c r="P42">
        <v>47.5</v>
      </c>
      <c r="Q42">
        <v>47.5</v>
      </c>
      <c r="R42">
        <v>45.5</v>
      </c>
      <c r="S42">
        <v>45.5</v>
      </c>
      <c r="T42">
        <v>42</v>
      </c>
      <c r="U42">
        <v>42</v>
      </c>
      <c r="V42">
        <v>39</v>
      </c>
      <c r="W42">
        <v>39</v>
      </c>
      <c r="X42">
        <v>39</v>
      </c>
      <c r="Y42">
        <v>37.5</v>
      </c>
      <c r="AA42">
        <v>36</v>
      </c>
      <c r="AC42">
        <v>33</v>
      </c>
      <c r="AE42">
        <v>33</v>
      </c>
    </row>
    <row r="43" spans="1:31">
      <c r="A43" t="s">
        <v>77</v>
      </c>
      <c r="B43" t="str">
        <f>IFERROR(_xlfn.XLOOKUP(A43,'CHECK DAO'!B:B,'CHECK DAO'!A:A),"")</f>
        <v>HE-019(D-0393)</v>
      </c>
      <c r="G43">
        <v>62</v>
      </c>
      <c r="H43">
        <v>60</v>
      </c>
      <c r="I43">
        <v>56</v>
      </c>
      <c r="J43">
        <v>56</v>
      </c>
      <c r="K43">
        <v>53</v>
      </c>
      <c r="L43">
        <v>53</v>
      </c>
      <c r="M43">
        <v>51</v>
      </c>
      <c r="N43">
        <v>47.5</v>
      </c>
      <c r="O43">
        <v>47.5</v>
      </c>
      <c r="P43">
        <v>45.5</v>
      </c>
      <c r="Q43">
        <v>45.5</v>
      </c>
      <c r="R43">
        <v>45.5</v>
      </c>
      <c r="S43">
        <v>42</v>
      </c>
      <c r="T43">
        <v>42</v>
      </c>
      <c r="U43">
        <v>42</v>
      </c>
      <c r="V43">
        <v>39</v>
      </c>
      <c r="W43">
        <v>37.5</v>
      </c>
      <c r="Y43">
        <v>37.5</v>
      </c>
      <c r="AA43">
        <v>36</v>
      </c>
    </row>
    <row r="44" spans="1:31">
      <c r="A44" t="s">
        <v>78</v>
      </c>
      <c r="B44" t="str">
        <f>IFERROR(_xlfn.XLOOKUP(A44,'CHECK DAO'!B:B,'CHECK DAO'!A:A),"")</f>
        <v>QD-10 (D-0419) (ARCH SKIVING)</v>
      </c>
      <c r="H44">
        <v>58</v>
      </c>
      <c r="I44">
        <v>54</v>
      </c>
      <c r="J44">
        <v>52</v>
      </c>
      <c r="K44">
        <v>52</v>
      </c>
      <c r="L44">
        <v>48</v>
      </c>
      <c r="M44">
        <v>48</v>
      </c>
      <c r="N44">
        <v>46</v>
      </c>
      <c r="O44">
        <v>44</v>
      </c>
      <c r="P44">
        <v>44</v>
      </c>
      <c r="Q44">
        <v>44</v>
      </c>
      <c r="R44">
        <v>42</v>
      </c>
      <c r="S44">
        <v>42</v>
      </c>
      <c r="T44">
        <v>42</v>
      </c>
      <c r="U44">
        <v>42</v>
      </c>
      <c r="V44">
        <v>36</v>
      </c>
      <c r="W44">
        <v>36</v>
      </c>
      <c r="X44">
        <v>36</v>
      </c>
      <c r="Y44">
        <v>34.5</v>
      </c>
      <c r="Z44">
        <v>34.5</v>
      </c>
      <c r="AA44">
        <v>31.5</v>
      </c>
    </row>
    <row r="45" spans="1:31">
      <c r="A45" t="s">
        <v>79</v>
      </c>
      <c r="B45" t="str">
        <f>IFERROR(_xlfn.XLOOKUP(A45,'CHECK DAO'!B:B,'CHECK DAO'!A:A),"")</f>
        <v>QA-7 SOCK (D-0446) (skiving from arch to heel)</v>
      </c>
      <c r="I45">
        <v>52</v>
      </c>
      <c r="J45">
        <v>52</v>
      </c>
      <c r="K45">
        <v>49.5</v>
      </c>
      <c r="L45">
        <v>46</v>
      </c>
      <c r="M45">
        <v>46</v>
      </c>
      <c r="N45">
        <v>46</v>
      </c>
      <c r="O45">
        <v>44</v>
      </c>
      <c r="P45">
        <v>44</v>
      </c>
      <c r="Q45">
        <v>42</v>
      </c>
      <c r="R45">
        <v>42</v>
      </c>
      <c r="S45">
        <v>42</v>
      </c>
      <c r="T45">
        <v>39</v>
      </c>
      <c r="U45">
        <v>39</v>
      </c>
      <c r="V45">
        <v>36</v>
      </c>
      <c r="W45">
        <v>36</v>
      </c>
      <c r="X45">
        <v>34.5</v>
      </c>
      <c r="Y45">
        <v>34.5</v>
      </c>
      <c r="Z45">
        <v>33</v>
      </c>
      <c r="AA45">
        <v>33</v>
      </c>
    </row>
    <row r="46" spans="1:31">
      <c r="A46" t="s">
        <v>80</v>
      </c>
      <c r="B46" t="str">
        <f>IFERROR(_xlfn.XLOOKUP(A46,'CHECK DAO'!B:B,'CHECK DAO'!A:A),"")</f>
        <v>QD-5 (D-0451)</v>
      </c>
      <c r="G46">
        <v>58</v>
      </c>
      <c r="H46">
        <v>58</v>
      </c>
      <c r="I46">
        <v>56</v>
      </c>
      <c r="J46">
        <v>56</v>
      </c>
      <c r="K46">
        <v>52</v>
      </c>
      <c r="L46">
        <v>49</v>
      </c>
      <c r="M46">
        <v>49.5</v>
      </c>
      <c r="N46">
        <v>49.5</v>
      </c>
      <c r="O46">
        <v>47.5</v>
      </c>
      <c r="P46">
        <v>44</v>
      </c>
      <c r="Q46">
        <v>42</v>
      </c>
      <c r="R46">
        <v>42</v>
      </c>
      <c r="S46">
        <v>42</v>
      </c>
      <c r="T46">
        <v>39</v>
      </c>
      <c r="U46">
        <v>39</v>
      </c>
      <c r="V46">
        <v>39</v>
      </c>
      <c r="W46">
        <v>39</v>
      </c>
      <c r="X46">
        <v>37.5</v>
      </c>
      <c r="Y46">
        <v>37.5</v>
      </c>
    </row>
    <row r="47" spans="1:31">
      <c r="A47" t="s">
        <v>81</v>
      </c>
      <c r="B47" t="str">
        <f>IFERROR(_xlfn.XLOOKUP(A47,'CHECK DAO'!B:B,'CHECK DAO'!A:A),"")</f>
        <v>QA7-1 NEW (D-0452)(skiving from arch to heel)</v>
      </c>
      <c r="K47">
        <v>52</v>
      </c>
      <c r="L47">
        <v>52</v>
      </c>
      <c r="M47">
        <v>52</v>
      </c>
      <c r="N47">
        <v>48</v>
      </c>
      <c r="O47">
        <v>46</v>
      </c>
      <c r="P47">
        <v>46</v>
      </c>
      <c r="Q47">
        <v>44</v>
      </c>
      <c r="R47">
        <v>44</v>
      </c>
      <c r="S47">
        <v>42</v>
      </c>
      <c r="T47">
        <v>42</v>
      </c>
      <c r="U47">
        <v>38.5</v>
      </c>
      <c r="V47">
        <v>38.5</v>
      </c>
      <c r="W47">
        <v>38</v>
      </c>
      <c r="X47">
        <v>36</v>
      </c>
      <c r="Y47">
        <v>36</v>
      </c>
    </row>
    <row r="48" spans="1:31">
      <c r="A48" t="s">
        <v>82</v>
      </c>
      <c r="B48" t="str">
        <f>IFERROR(_xlfn.XLOOKUP(A48,'CHECK DAO'!B:B,'CHECK DAO'!A:A),"")</f>
        <v>QA-7H NEW (D-0454)</v>
      </c>
      <c r="H48">
        <v>54</v>
      </c>
      <c r="I48">
        <v>52</v>
      </c>
      <c r="J48">
        <v>52</v>
      </c>
      <c r="K48">
        <v>52</v>
      </c>
      <c r="L48">
        <v>48</v>
      </c>
      <c r="M48">
        <v>48</v>
      </c>
      <c r="N48">
        <v>46</v>
      </c>
      <c r="O48">
        <v>44</v>
      </c>
      <c r="P48">
        <v>44</v>
      </c>
      <c r="Q48">
        <v>42</v>
      </c>
      <c r="R48">
        <v>42</v>
      </c>
      <c r="S48">
        <v>42</v>
      </c>
      <c r="T48">
        <v>38.5</v>
      </c>
      <c r="U48">
        <v>36</v>
      </c>
      <c r="V48">
        <v>36</v>
      </c>
      <c r="W48">
        <v>36</v>
      </c>
      <c r="X48">
        <v>34.5</v>
      </c>
      <c r="Y48">
        <v>34.5</v>
      </c>
      <c r="Z48">
        <v>33</v>
      </c>
      <c r="AA48">
        <v>33</v>
      </c>
      <c r="AC48">
        <v>30</v>
      </c>
      <c r="AE48">
        <v>28</v>
      </c>
    </row>
    <row r="49" spans="1:34">
      <c r="A49" t="s">
        <v>83</v>
      </c>
      <c r="B49" t="str">
        <f>IFERROR(_xlfn.XLOOKUP(A49,'CHECK DAO'!B:B,'CHECK DAO'!A:A),"")</f>
        <v/>
      </c>
      <c r="O49">
        <v>47.5</v>
      </c>
      <c r="P49">
        <v>44</v>
      </c>
      <c r="Q49">
        <v>42</v>
      </c>
      <c r="R49">
        <v>42</v>
      </c>
      <c r="S49">
        <v>42</v>
      </c>
      <c r="T49">
        <v>39</v>
      </c>
      <c r="U49">
        <v>39</v>
      </c>
      <c r="V49">
        <v>39</v>
      </c>
      <c r="W49">
        <v>37.5</v>
      </c>
      <c r="X49">
        <v>37.5</v>
      </c>
      <c r="Y49">
        <v>34.5</v>
      </c>
      <c r="Z49">
        <v>33</v>
      </c>
      <c r="AA49">
        <v>33</v>
      </c>
    </row>
    <row r="50" spans="1:34">
      <c r="A50" t="s">
        <v>84</v>
      </c>
      <c r="B50" t="str">
        <f>IFERROR(_xlfn.XLOOKUP(A50,'CHECK DAO'!B:B,'CHECK DAO'!A:A),"")</f>
        <v>MR-10 ANNORA (D-0468)(SKIVE ARCH)</v>
      </c>
      <c r="H50">
        <v>62</v>
      </c>
      <c r="I50">
        <v>56</v>
      </c>
      <c r="J50">
        <v>56</v>
      </c>
      <c r="K50">
        <v>56</v>
      </c>
      <c r="L50">
        <v>53</v>
      </c>
      <c r="M50">
        <v>53</v>
      </c>
      <c r="N50">
        <v>49</v>
      </c>
      <c r="O50">
        <v>49</v>
      </c>
      <c r="P50">
        <v>47.5</v>
      </c>
      <c r="Q50">
        <v>45.5</v>
      </c>
      <c r="R50">
        <v>45.5</v>
      </c>
      <c r="S50">
        <v>45.5</v>
      </c>
      <c r="T50">
        <v>42</v>
      </c>
      <c r="U50">
        <v>42</v>
      </c>
      <c r="V50">
        <v>39</v>
      </c>
      <c r="W50">
        <v>39</v>
      </c>
      <c r="X50">
        <v>37.5</v>
      </c>
      <c r="Y50">
        <v>37.5</v>
      </c>
      <c r="Z50">
        <v>34.5</v>
      </c>
      <c r="AA50">
        <v>33</v>
      </c>
      <c r="AC50">
        <v>33</v>
      </c>
      <c r="AE50">
        <v>33</v>
      </c>
    </row>
    <row r="51" spans="1:34">
      <c r="A51" t="s">
        <v>85</v>
      </c>
      <c r="B51" t="str">
        <f>IFERROR(_xlfn.XLOOKUP(A51,'CHECK DAO'!B:B,'CHECK DAO'!A:A),"")</f>
        <v>NK024 (D-0470) (SKIVE ARCH)</v>
      </c>
      <c r="H51">
        <v>62</v>
      </c>
      <c r="I51">
        <v>56</v>
      </c>
      <c r="J51">
        <v>56</v>
      </c>
      <c r="K51">
        <v>56</v>
      </c>
      <c r="L51">
        <v>53</v>
      </c>
      <c r="M51">
        <v>53</v>
      </c>
      <c r="N51">
        <v>49.5</v>
      </c>
      <c r="O51">
        <v>47.5</v>
      </c>
      <c r="P51">
        <v>47.5</v>
      </c>
      <c r="Q51">
        <v>45.5</v>
      </c>
      <c r="R51">
        <v>45.5</v>
      </c>
      <c r="S51">
        <v>42</v>
      </c>
      <c r="T51">
        <v>42</v>
      </c>
      <c r="U51">
        <v>39</v>
      </c>
      <c r="V51">
        <v>39</v>
      </c>
      <c r="W51">
        <v>39</v>
      </c>
      <c r="X51">
        <v>37.5</v>
      </c>
      <c r="Y51">
        <v>37.5</v>
      </c>
      <c r="Z51">
        <v>34.5</v>
      </c>
      <c r="AA51">
        <v>33</v>
      </c>
      <c r="AC51">
        <v>33</v>
      </c>
      <c r="AE51">
        <v>33</v>
      </c>
    </row>
    <row r="52" spans="1:34">
      <c r="A52" t="s">
        <v>86</v>
      </c>
      <c r="B52" t="str">
        <f>IFERROR(_xlfn.XLOOKUP(A52,'CHECK DAO'!B:B,'CHECK DAO'!A:A),"")</f>
        <v>JV8-0710-1L (D-0472)</v>
      </c>
      <c r="G52">
        <v>64</v>
      </c>
      <c r="H52">
        <v>62</v>
      </c>
      <c r="I52">
        <v>58</v>
      </c>
      <c r="J52">
        <v>56</v>
      </c>
      <c r="K52">
        <v>56</v>
      </c>
      <c r="L52">
        <v>55</v>
      </c>
      <c r="M52">
        <v>53</v>
      </c>
      <c r="N52">
        <v>53</v>
      </c>
      <c r="O52">
        <v>47.5</v>
      </c>
      <c r="P52">
        <v>47.5</v>
      </c>
      <c r="Q52">
        <v>45.5</v>
      </c>
      <c r="R52">
        <v>45.5</v>
      </c>
      <c r="S52">
        <v>45.5</v>
      </c>
      <c r="T52">
        <v>45.5</v>
      </c>
      <c r="U52">
        <v>43.5</v>
      </c>
      <c r="V52">
        <v>39</v>
      </c>
      <c r="W52">
        <v>39</v>
      </c>
      <c r="X52">
        <v>39</v>
      </c>
      <c r="Y52">
        <v>37.5</v>
      </c>
      <c r="Z52">
        <v>37.5</v>
      </c>
      <c r="AA52">
        <v>37.5</v>
      </c>
      <c r="AB52">
        <v>36</v>
      </c>
      <c r="AC52">
        <v>36</v>
      </c>
      <c r="AD52">
        <v>33</v>
      </c>
      <c r="AE52">
        <v>33</v>
      </c>
    </row>
    <row r="53" spans="1:34">
      <c r="A53" t="s">
        <v>87</v>
      </c>
      <c r="B53" t="str">
        <f>IFERROR(_xlfn.XLOOKUP(A53,'CHECK DAO'!B:B,'CHECK DAO'!A:A),"")</f>
        <v>NK057(D-0515)(Skive arch)</v>
      </c>
      <c r="K53">
        <v>56</v>
      </c>
      <c r="L53">
        <v>52</v>
      </c>
      <c r="M53">
        <v>45.5</v>
      </c>
      <c r="N53">
        <v>45.5</v>
      </c>
      <c r="O53">
        <v>45.5</v>
      </c>
      <c r="P53">
        <v>45.5</v>
      </c>
      <c r="Q53">
        <v>42</v>
      </c>
      <c r="R53">
        <v>42</v>
      </c>
      <c r="S53">
        <v>42</v>
      </c>
      <c r="T53">
        <v>42</v>
      </c>
      <c r="U53">
        <v>36</v>
      </c>
      <c r="V53">
        <v>36</v>
      </c>
      <c r="W53">
        <v>36</v>
      </c>
      <c r="X53">
        <v>33</v>
      </c>
      <c r="Y53">
        <v>33</v>
      </c>
      <c r="Z53">
        <v>33</v>
      </c>
      <c r="AA53">
        <v>33</v>
      </c>
      <c r="AB53">
        <v>33</v>
      </c>
      <c r="AC53">
        <v>33</v>
      </c>
      <c r="AD53">
        <v>33</v>
      </c>
      <c r="AE53">
        <v>25</v>
      </c>
      <c r="AF53">
        <v>25</v>
      </c>
      <c r="AG53">
        <v>25</v>
      </c>
      <c r="AH53">
        <v>25</v>
      </c>
    </row>
    <row r="54" spans="1:34">
      <c r="A54" t="s">
        <v>88</v>
      </c>
      <c r="B54" t="str">
        <f>IFERROR(_xlfn.XLOOKUP(A54,'CHECK DAO'!B:B,'CHECK DAO'!A:A),"")</f>
        <v>AB94(939)(D-0519)</v>
      </c>
      <c r="G54">
        <v>58</v>
      </c>
      <c r="H54">
        <v>56</v>
      </c>
      <c r="I54">
        <v>56</v>
      </c>
      <c r="J54">
        <v>49.5</v>
      </c>
      <c r="K54">
        <v>49.5</v>
      </c>
      <c r="L54">
        <v>49.5</v>
      </c>
      <c r="M54">
        <v>47.5</v>
      </c>
      <c r="N54">
        <v>47.5</v>
      </c>
      <c r="O54">
        <v>45.5</v>
      </c>
      <c r="P54">
        <v>42</v>
      </c>
      <c r="Q54">
        <v>42</v>
      </c>
      <c r="R54">
        <v>42</v>
      </c>
      <c r="S54">
        <v>39</v>
      </c>
      <c r="T54">
        <v>39</v>
      </c>
      <c r="U54">
        <v>39</v>
      </c>
      <c r="V54">
        <v>37.5</v>
      </c>
      <c r="W54">
        <v>37.5</v>
      </c>
      <c r="X54">
        <v>34.5</v>
      </c>
      <c r="Y54">
        <v>33</v>
      </c>
      <c r="Z54">
        <v>33</v>
      </c>
      <c r="AA54">
        <v>33</v>
      </c>
      <c r="AB54">
        <v>33</v>
      </c>
      <c r="AC54">
        <v>33</v>
      </c>
      <c r="AD54">
        <v>32</v>
      </c>
      <c r="AE54">
        <v>30.5</v>
      </c>
      <c r="AF54">
        <v>30.5</v>
      </c>
      <c r="AG54">
        <v>28</v>
      </c>
      <c r="AH54">
        <v>28</v>
      </c>
    </row>
    <row r="55" spans="1:34">
      <c r="A55" t="s">
        <v>89</v>
      </c>
      <c r="B55" t="str">
        <f>IFERROR(_xlfn.XLOOKUP(A55,'CHECK DAO'!B:B,'CHECK DAO'!A:A),"")</f>
        <v>TAK-61/TAK-51W/TAK-61W (D-0522)</v>
      </c>
      <c r="H55">
        <v>77</v>
      </c>
      <c r="I55">
        <v>77</v>
      </c>
      <c r="J55">
        <v>77</v>
      </c>
      <c r="K55">
        <v>77</v>
      </c>
      <c r="L55">
        <v>77</v>
      </c>
      <c r="M55">
        <v>60</v>
      </c>
      <c r="N55">
        <v>60</v>
      </c>
      <c r="O55">
        <v>60</v>
      </c>
      <c r="P55">
        <v>60</v>
      </c>
      <c r="Q55">
        <v>60</v>
      </c>
      <c r="R55">
        <v>60</v>
      </c>
      <c r="S55">
        <v>60</v>
      </c>
      <c r="T55">
        <v>60</v>
      </c>
      <c r="U55">
        <v>60</v>
      </c>
      <c r="V55">
        <v>54</v>
      </c>
      <c r="W55">
        <v>54</v>
      </c>
      <c r="X55">
        <v>54</v>
      </c>
      <c r="Y55">
        <v>45</v>
      </c>
      <c r="Z55">
        <v>45</v>
      </c>
      <c r="AA55">
        <v>45</v>
      </c>
      <c r="AB55">
        <v>45</v>
      </c>
      <c r="AC55">
        <v>45</v>
      </c>
      <c r="AD55">
        <v>45</v>
      </c>
    </row>
    <row r="56" spans="1:34">
      <c r="A56" t="s">
        <v>90</v>
      </c>
      <c r="B56" t="str">
        <f>IFERROR(_xlfn.XLOOKUP(A56,'CHECK DAO'!B:B,'CHECK DAO'!A:A),"")</f>
        <v>BP-111 (D-0524) (Skive arch)</v>
      </c>
      <c r="O56">
        <v>47.5</v>
      </c>
      <c r="P56">
        <v>45.5</v>
      </c>
      <c r="Q56">
        <v>45.5</v>
      </c>
      <c r="R56">
        <v>45.5</v>
      </c>
      <c r="S56">
        <v>40.5</v>
      </c>
      <c r="T56">
        <v>39</v>
      </c>
      <c r="U56">
        <v>39</v>
      </c>
      <c r="V56">
        <v>39</v>
      </c>
      <c r="W56">
        <v>37.5</v>
      </c>
      <c r="X56">
        <v>37.5</v>
      </c>
      <c r="Y56">
        <v>37.5</v>
      </c>
      <c r="Z56">
        <v>36</v>
      </c>
      <c r="AA56">
        <v>36</v>
      </c>
      <c r="AB56">
        <v>33</v>
      </c>
    </row>
    <row r="57" spans="1:34">
      <c r="A57" t="s">
        <v>91</v>
      </c>
      <c r="B57" t="str">
        <f>IFERROR(_xlfn.XLOOKUP(A57,'CHECK DAO'!B:B,'CHECK DAO'!A:A),"")</f>
        <v>8636 (D-0528)</v>
      </c>
      <c r="K57">
        <v>56</v>
      </c>
      <c r="L57">
        <v>56</v>
      </c>
      <c r="M57">
        <v>56</v>
      </c>
      <c r="N57">
        <v>53</v>
      </c>
      <c r="O57">
        <v>53</v>
      </c>
      <c r="P57">
        <v>49.5</v>
      </c>
      <c r="Q57">
        <v>47.5</v>
      </c>
      <c r="R57">
        <v>47.5</v>
      </c>
      <c r="S57">
        <v>45.5</v>
      </c>
      <c r="T57">
        <v>45.5</v>
      </c>
      <c r="U57">
        <v>45.5</v>
      </c>
      <c r="V57">
        <v>40.5</v>
      </c>
      <c r="W57">
        <v>39</v>
      </c>
      <c r="X57">
        <v>39</v>
      </c>
      <c r="Y57">
        <v>39</v>
      </c>
    </row>
    <row r="58" spans="1:34">
      <c r="A58" t="s">
        <v>92</v>
      </c>
      <c r="B58" t="str">
        <f>IFERROR(_xlfn.XLOOKUP(A58,'CHECK DAO'!B:B,'CHECK DAO'!A:A),"")</f>
        <v>20744 (D-0529)</v>
      </c>
      <c r="O58">
        <v>47.5</v>
      </c>
      <c r="P58">
        <v>45.5</v>
      </c>
      <c r="Q58">
        <v>45.5</v>
      </c>
      <c r="R58">
        <v>45.5</v>
      </c>
      <c r="S58">
        <v>40.5</v>
      </c>
      <c r="T58">
        <v>39</v>
      </c>
      <c r="U58">
        <v>39</v>
      </c>
      <c r="V58">
        <v>39</v>
      </c>
      <c r="W58">
        <v>37.5</v>
      </c>
      <c r="X58">
        <v>37.5</v>
      </c>
      <c r="Y58">
        <v>37.5</v>
      </c>
      <c r="Z58">
        <v>36</v>
      </c>
      <c r="AA58">
        <v>36</v>
      </c>
      <c r="AB58">
        <v>33</v>
      </c>
    </row>
    <row r="59" spans="1:34">
      <c r="A59" t="s">
        <v>93</v>
      </c>
      <c r="B59" t="str">
        <f>IFERROR(_xlfn.XLOOKUP(A59,'CHECK DAO'!B:B,'CHECK DAO'!A:A),"")</f>
        <v>QD-10 (ALLDAY) (D-0630) (skive arch)</v>
      </c>
      <c r="H59">
        <v>56</v>
      </c>
      <c r="I59">
        <v>56</v>
      </c>
      <c r="J59">
        <v>53</v>
      </c>
      <c r="K59">
        <v>49.5</v>
      </c>
      <c r="L59">
        <v>47.5</v>
      </c>
      <c r="M59">
        <v>47.5</v>
      </c>
      <c r="N59">
        <v>47</v>
      </c>
      <c r="O59">
        <v>45.5</v>
      </c>
      <c r="P59">
        <v>42</v>
      </c>
      <c r="Q59">
        <v>42</v>
      </c>
      <c r="R59">
        <v>40.5</v>
      </c>
      <c r="S59">
        <v>39</v>
      </c>
      <c r="T59">
        <v>39</v>
      </c>
      <c r="U59">
        <v>36</v>
      </c>
      <c r="V59">
        <v>34.5</v>
      </c>
      <c r="W59">
        <v>34.5</v>
      </c>
      <c r="X59">
        <v>34.5</v>
      </c>
      <c r="Y59">
        <v>33</v>
      </c>
      <c r="Z59">
        <v>33</v>
      </c>
      <c r="AA59">
        <v>33</v>
      </c>
      <c r="AC59">
        <v>29.5</v>
      </c>
      <c r="AE59">
        <v>28</v>
      </c>
    </row>
    <row r="60" spans="1:34">
      <c r="A60" t="s">
        <v>94</v>
      </c>
      <c r="B60" t="str">
        <f>IFERROR(_xlfn.XLOOKUP(A60,'CHECK DAO'!B:B,'CHECK DAO'!A:A),"")</f>
        <v>QD-10 (D-0631) (ARCH SKIVING)</v>
      </c>
      <c r="H60">
        <v>52</v>
      </c>
      <c r="I60">
        <v>48</v>
      </c>
      <c r="J60" s="4">
        <v>48</v>
      </c>
      <c r="K60" s="4">
        <v>42</v>
      </c>
      <c r="L60" s="4">
        <v>42</v>
      </c>
      <c r="M60" s="4">
        <v>42</v>
      </c>
      <c r="N60" s="4">
        <v>42</v>
      </c>
      <c r="O60" s="4">
        <v>42</v>
      </c>
    </row>
    <row r="61" spans="1:34">
      <c r="A61" t="s">
        <v>17</v>
      </c>
      <c r="B61" t="str">
        <f>IFERROR(_xlfn.XLOOKUP(A61,'CHECK DAO'!B:B,'CHECK DAO'!A:A),"")</f>
        <v>MR-10 (JOURNEY) (D-0686)</v>
      </c>
      <c r="K61">
        <v>56</v>
      </c>
      <c r="L61">
        <v>56</v>
      </c>
      <c r="M61">
        <v>52</v>
      </c>
      <c r="N61">
        <v>49.5</v>
      </c>
      <c r="O61">
        <v>49.5</v>
      </c>
      <c r="P61">
        <v>47.5</v>
      </c>
      <c r="Q61">
        <v>47.5</v>
      </c>
      <c r="R61">
        <v>47</v>
      </c>
      <c r="S61">
        <v>45.5</v>
      </c>
      <c r="T61">
        <v>42</v>
      </c>
      <c r="U61">
        <v>42</v>
      </c>
      <c r="V61">
        <v>39</v>
      </c>
      <c r="W61">
        <v>39</v>
      </c>
      <c r="X61">
        <v>39</v>
      </c>
      <c r="Y61">
        <v>39</v>
      </c>
    </row>
    <row r="62" spans="1:34">
      <c r="A62" t="s">
        <v>95</v>
      </c>
      <c r="B62" t="str">
        <f>IFERROR(_xlfn.XLOOKUP(A62,'CHECK DAO'!B:B,'CHECK DAO'!A:A),"")</f>
        <v>EOR-13</v>
      </c>
      <c r="H62">
        <v>60</v>
      </c>
      <c r="I62">
        <v>60</v>
      </c>
      <c r="J62">
        <v>60</v>
      </c>
      <c r="K62">
        <v>56</v>
      </c>
      <c r="L62">
        <v>49</v>
      </c>
      <c r="M62">
        <v>49</v>
      </c>
      <c r="N62">
        <v>49</v>
      </c>
      <c r="O62">
        <v>49</v>
      </c>
      <c r="P62">
        <v>49</v>
      </c>
      <c r="Q62">
        <v>45</v>
      </c>
      <c r="R62">
        <v>45</v>
      </c>
      <c r="S62">
        <v>45</v>
      </c>
      <c r="T62">
        <v>39</v>
      </c>
      <c r="U62">
        <v>39</v>
      </c>
      <c r="V62">
        <v>39</v>
      </c>
      <c r="W62">
        <v>39</v>
      </c>
      <c r="X62">
        <v>36</v>
      </c>
      <c r="Y62">
        <v>36</v>
      </c>
      <c r="Z62">
        <v>36</v>
      </c>
      <c r="AA62">
        <v>36</v>
      </c>
      <c r="AB62">
        <v>36</v>
      </c>
      <c r="AC62">
        <v>36</v>
      </c>
    </row>
    <row r="63" spans="1:34">
      <c r="A63" t="s">
        <v>96</v>
      </c>
      <c r="B63" t="str">
        <f>IFERROR(_xlfn.XLOOKUP(A63,'CHECK DAO'!B:B,'CHECK DAO'!A:A),"")</f>
        <v>JC-104 (arch skive)</v>
      </c>
      <c r="H63">
        <v>58</v>
      </c>
      <c r="I63">
        <v>56</v>
      </c>
      <c r="J63">
        <v>56</v>
      </c>
      <c r="K63">
        <v>56</v>
      </c>
      <c r="L63">
        <v>49.5</v>
      </c>
      <c r="M63">
        <v>49.5</v>
      </c>
      <c r="N63">
        <v>47.5</v>
      </c>
      <c r="O63">
        <v>47.5</v>
      </c>
      <c r="P63">
        <v>47.5</v>
      </c>
      <c r="Q63">
        <v>45.5</v>
      </c>
      <c r="R63">
        <v>45.5</v>
      </c>
      <c r="S63">
        <v>42</v>
      </c>
      <c r="T63">
        <v>40.5</v>
      </c>
      <c r="U63">
        <v>39</v>
      </c>
      <c r="V63">
        <v>39</v>
      </c>
      <c r="W63">
        <v>39</v>
      </c>
      <c r="X63">
        <v>37.5</v>
      </c>
      <c r="Y63">
        <v>37.5</v>
      </c>
      <c r="Z63">
        <v>37.5</v>
      </c>
      <c r="AA63">
        <v>33</v>
      </c>
      <c r="AB63">
        <v>33</v>
      </c>
      <c r="AC63">
        <v>33</v>
      </c>
      <c r="AD63">
        <v>33</v>
      </c>
      <c r="AE63">
        <v>32</v>
      </c>
    </row>
    <row r="64" spans="1:34">
      <c r="A64" t="s">
        <v>97</v>
      </c>
      <c r="B64" t="str">
        <f>IFERROR(_xlfn.XLOOKUP(A64,'CHECK DAO'!B:B,'CHECK DAO'!A:A),"")</f>
        <v>JV1-0695-3(arch skive)</v>
      </c>
      <c r="I64">
        <v>52</v>
      </c>
      <c r="J64">
        <v>52</v>
      </c>
      <c r="K64">
        <v>52</v>
      </c>
      <c r="L64">
        <v>48</v>
      </c>
      <c r="M64">
        <v>46</v>
      </c>
      <c r="N64">
        <v>46</v>
      </c>
      <c r="O64">
        <v>44</v>
      </c>
      <c r="P64">
        <v>44</v>
      </c>
      <c r="Q64">
        <v>42</v>
      </c>
      <c r="R64">
        <v>42</v>
      </c>
      <c r="S64">
        <v>42</v>
      </c>
      <c r="T64">
        <v>39</v>
      </c>
      <c r="U64">
        <v>36</v>
      </c>
      <c r="V64">
        <v>36</v>
      </c>
      <c r="W64">
        <v>36</v>
      </c>
      <c r="X64">
        <v>34.5</v>
      </c>
      <c r="Y64">
        <v>34.5</v>
      </c>
      <c r="AA64">
        <v>33</v>
      </c>
    </row>
    <row r="65" spans="1:108">
      <c r="A65" t="s">
        <v>98</v>
      </c>
      <c r="B65" t="str">
        <f>IFERROR(_xlfn.XLOOKUP(A65,'CHECK DAO'!B:B,'CHECK DAO'!A:A),"")</f>
        <v>JVC6-027-1(Skive arch)</v>
      </c>
      <c r="H65">
        <v>54</v>
      </c>
      <c r="I65">
        <v>52</v>
      </c>
      <c r="J65">
        <v>52</v>
      </c>
      <c r="K65">
        <v>48</v>
      </c>
      <c r="L65">
        <v>46</v>
      </c>
      <c r="M65">
        <v>46</v>
      </c>
      <c r="N65">
        <v>44</v>
      </c>
      <c r="O65">
        <v>44</v>
      </c>
      <c r="P65">
        <v>42</v>
      </c>
      <c r="Q65">
        <v>42</v>
      </c>
      <c r="R65">
        <v>38</v>
      </c>
      <c r="S65">
        <v>38</v>
      </c>
      <c r="T65">
        <v>36</v>
      </c>
      <c r="U65">
        <v>36</v>
      </c>
      <c r="V65">
        <v>36</v>
      </c>
      <c r="W65">
        <v>36</v>
      </c>
      <c r="X65">
        <v>34</v>
      </c>
      <c r="Y65">
        <v>34</v>
      </c>
      <c r="Z65">
        <v>34</v>
      </c>
      <c r="AA65">
        <v>30</v>
      </c>
      <c r="AB65">
        <v>30</v>
      </c>
      <c r="AC65">
        <v>30</v>
      </c>
      <c r="AD65">
        <v>29.5</v>
      </c>
      <c r="AE65">
        <v>29.5</v>
      </c>
      <c r="AF65">
        <v>28</v>
      </c>
      <c r="AG65">
        <v>28</v>
      </c>
      <c r="AH65">
        <v>28</v>
      </c>
      <c r="AI65">
        <v>28</v>
      </c>
      <c r="AJ65">
        <v>26.5</v>
      </c>
      <c r="AK65">
        <v>26.5</v>
      </c>
      <c r="AL65">
        <v>26</v>
      </c>
      <c r="DD65">
        <v>56</v>
      </c>
    </row>
    <row r="66" spans="1:108">
      <c r="A66" t="s">
        <v>99</v>
      </c>
      <c r="B66" t="str">
        <f>IFERROR(_xlfn.XLOOKUP(A66,'CHECK DAO'!B:B,'CHECK DAO'!A:A),"")</f>
        <v>LS021L/XXH-1 (D-0591)</v>
      </c>
      <c r="G66">
        <v>58</v>
      </c>
      <c r="H66">
        <v>56</v>
      </c>
      <c r="I66">
        <v>56</v>
      </c>
      <c r="J66">
        <v>49.5</v>
      </c>
      <c r="K66">
        <v>49.5</v>
      </c>
      <c r="L66">
        <v>49.5</v>
      </c>
      <c r="M66">
        <v>47.5</v>
      </c>
      <c r="N66">
        <v>47.5</v>
      </c>
      <c r="O66">
        <v>45.5</v>
      </c>
      <c r="P66">
        <v>42</v>
      </c>
      <c r="Q66">
        <v>42</v>
      </c>
      <c r="R66">
        <v>42</v>
      </c>
      <c r="S66">
        <v>39</v>
      </c>
      <c r="T66">
        <v>39</v>
      </c>
      <c r="U66">
        <v>39</v>
      </c>
      <c r="V66">
        <v>37.5</v>
      </c>
      <c r="W66">
        <v>37.5</v>
      </c>
      <c r="X66">
        <v>34.5</v>
      </c>
      <c r="Y66">
        <v>33</v>
      </c>
      <c r="Z66">
        <v>33</v>
      </c>
      <c r="AA66">
        <v>33</v>
      </c>
      <c r="AB66">
        <v>33</v>
      </c>
      <c r="AC66">
        <v>33</v>
      </c>
      <c r="AD66">
        <v>32</v>
      </c>
      <c r="AE66">
        <v>30.5</v>
      </c>
      <c r="AF66">
        <v>30.5</v>
      </c>
      <c r="AG66">
        <v>28</v>
      </c>
      <c r="AH66">
        <v>28</v>
      </c>
    </row>
    <row r="67" spans="1:108">
      <c r="A67" t="s">
        <v>100</v>
      </c>
      <c r="B67" t="str">
        <f>IFERROR(_xlfn.XLOOKUP(A67,'CHECK DAO'!B:B,'CHECK DAO'!A:A),"")</f>
        <v>Y-173/YA-20 (D-0007)</v>
      </c>
      <c r="E67">
        <v>178.5</v>
      </c>
      <c r="G67">
        <v>158</v>
      </c>
      <c r="I67">
        <v>148</v>
      </c>
      <c r="K67">
        <v>133</v>
      </c>
      <c r="M67">
        <v>123.5</v>
      </c>
      <c r="O67">
        <v>111</v>
      </c>
      <c r="Q67">
        <v>105</v>
      </c>
      <c r="S67">
        <v>99</v>
      </c>
      <c r="U67">
        <v>90</v>
      </c>
    </row>
    <row r="68" spans="1:108">
      <c r="A68" t="s">
        <v>436</v>
      </c>
      <c r="B68" t="str">
        <f>IFERROR(_xlfn.XLOOKUP(A68,'CHECK DAO'!B:B,'CHECK DAO'!A:A),"")</f>
        <v>MR-10 (D-0638)</v>
      </c>
      <c r="H68">
        <v>58</v>
      </c>
      <c r="I68">
        <v>56</v>
      </c>
      <c r="J68">
        <v>56</v>
      </c>
      <c r="K68">
        <v>56</v>
      </c>
      <c r="L68">
        <v>53</v>
      </c>
      <c r="M68">
        <v>53</v>
      </c>
      <c r="N68">
        <v>49.5</v>
      </c>
      <c r="O68">
        <v>47</v>
      </c>
      <c r="P68">
        <v>47</v>
      </c>
      <c r="Q68">
        <v>45</v>
      </c>
      <c r="R68">
        <v>45</v>
      </c>
      <c r="S68">
        <v>45</v>
      </c>
      <c r="T68">
        <v>42</v>
      </c>
      <c r="U68">
        <v>39</v>
      </c>
      <c r="V68">
        <v>39</v>
      </c>
    </row>
    <row r="69" spans="1:108">
      <c r="A69" t="s">
        <v>230</v>
      </c>
      <c r="B69" t="s">
        <v>1376</v>
      </c>
    </row>
  </sheetData>
  <autoFilter ref="A1:AL64" xr:uid="{EA6F8EE5-2576-456C-9B92-22B1EA6DF8BF}">
    <sortState xmlns:xlrd2="http://schemas.microsoft.com/office/spreadsheetml/2017/richdata2" ref="A2:AL65">
      <sortCondition ref="A1:A64"/>
    </sortState>
  </autoFilter>
  <phoneticPr fontId="5" type="noConversion"/>
  <conditionalFormatting sqref="A1:A200">
    <cfRule type="duplicateValues" dxfId="58" priority="10"/>
  </conditionalFormatting>
  <pageMargins left="0.7" right="0.7" top="0.75" bottom="0.75" header="0.3" footer="0.3"/>
  <pageSetup paperSize="9" scale="1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652F0-9F2D-4C86-A407-3CD1812F43E5}">
  <sheetPr codeName="Sheet5">
    <tabColor theme="0"/>
  </sheetPr>
  <dimension ref="A1:G3941"/>
  <sheetViews>
    <sheetView topLeftCell="A316" workbookViewId="0">
      <selection activeCell="C322" sqref="C322"/>
    </sheetView>
  </sheetViews>
  <sheetFormatPr defaultRowHeight="14.4"/>
  <cols>
    <col min="1" max="1" width="51.21875" bestFit="1" customWidth="1"/>
    <col min="2" max="2" width="20.109375" style="2" customWidth="1"/>
    <col min="3" max="3" width="20.109375" customWidth="1"/>
  </cols>
  <sheetData>
    <row r="1" spans="1:7">
      <c r="A1" t="s">
        <v>101</v>
      </c>
      <c r="B1" s="2" t="s">
        <v>1</v>
      </c>
      <c r="G1" s="2" t="str">
        <f>TRIM(IFERROR(IFERROR(MID($A1,FIND("(D-",$A1)+1,6),LEFT($A1,FIND("(",$A1)-1)),$A1))</f>
        <v>Tên dao</v>
      </c>
    </row>
    <row r="3" spans="1:7">
      <c r="A3" t="s">
        <v>102</v>
      </c>
      <c r="B3" s="2" t="s">
        <v>102</v>
      </c>
    </row>
    <row r="4" spans="1:7">
      <c r="A4" t="s">
        <v>103</v>
      </c>
      <c r="B4" s="2" t="s">
        <v>104</v>
      </c>
    </row>
    <row r="5" spans="1:7">
      <c r="A5" t="s">
        <v>105</v>
      </c>
      <c r="B5" s="2" t="s">
        <v>105</v>
      </c>
    </row>
    <row r="6" spans="1:7">
      <c r="A6" t="s">
        <v>106</v>
      </c>
      <c r="B6" s="2" t="s">
        <v>106</v>
      </c>
    </row>
    <row r="7" spans="1:7">
      <c r="A7" t="s">
        <v>107</v>
      </c>
      <c r="B7" s="2" t="s">
        <v>107</v>
      </c>
    </row>
    <row r="8" spans="1:7">
      <c r="A8">
        <v>8</v>
      </c>
      <c r="B8" s="2" t="s">
        <v>108</v>
      </c>
    </row>
    <row r="9" spans="1:7">
      <c r="A9" t="s">
        <v>109</v>
      </c>
      <c r="B9" s="2" t="s">
        <v>109</v>
      </c>
    </row>
    <row r="10" spans="1:7">
      <c r="A10" t="s">
        <v>110</v>
      </c>
      <c r="B10" s="2" t="s">
        <v>110</v>
      </c>
    </row>
    <row r="11" spans="1:7">
      <c r="A11" t="s">
        <v>111</v>
      </c>
      <c r="B11" s="2" t="s">
        <v>111</v>
      </c>
    </row>
    <row r="12" spans="1:7">
      <c r="A12" t="s">
        <v>112</v>
      </c>
      <c r="B12" s="2" t="s">
        <v>112</v>
      </c>
    </row>
    <row r="13" spans="1:7">
      <c r="A13" t="s">
        <v>113</v>
      </c>
      <c r="B13" s="2" t="s">
        <v>113</v>
      </c>
    </row>
    <row r="14" spans="1:7">
      <c r="A14" t="s">
        <v>114</v>
      </c>
      <c r="B14" s="2" t="s">
        <v>115</v>
      </c>
    </row>
    <row r="15" spans="1:7">
      <c r="A15" t="s">
        <v>116</v>
      </c>
      <c r="B15" s="2" t="s">
        <v>37</v>
      </c>
    </row>
    <row r="16" spans="1:7">
      <c r="A16" t="s">
        <v>117</v>
      </c>
      <c r="B16" s="2" t="s">
        <v>38</v>
      </c>
    </row>
    <row r="17" spans="1:2">
      <c r="A17" t="s">
        <v>118</v>
      </c>
      <c r="B17" s="2" t="s">
        <v>38</v>
      </c>
    </row>
    <row r="18" spans="1:2">
      <c r="A18" t="s">
        <v>119</v>
      </c>
      <c r="B18" s="2" t="s">
        <v>100</v>
      </c>
    </row>
    <row r="19" spans="1:2">
      <c r="A19" t="s">
        <v>120</v>
      </c>
      <c r="B19" s="2" t="s">
        <v>121</v>
      </c>
    </row>
    <row r="20" spans="1:2">
      <c r="A20" t="s">
        <v>122</v>
      </c>
      <c r="B20" s="2" t="s">
        <v>123</v>
      </c>
    </row>
    <row r="21" spans="1:2">
      <c r="A21" t="s">
        <v>124</v>
      </c>
      <c r="B21" s="2" t="s">
        <v>125</v>
      </c>
    </row>
    <row r="22" spans="1:2">
      <c r="A22" t="s">
        <v>126</v>
      </c>
      <c r="B22" s="2" t="s">
        <v>127</v>
      </c>
    </row>
    <row r="23" spans="1:2">
      <c r="A23" t="s">
        <v>128</v>
      </c>
      <c r="B23" s="2" t="s">
        <v>129</v>
      </c>
    </row>
    <row r="24" spans="1:2">
      <c r="A24" t="s">
        <v>130</v>
      </c>
      <c r="B24" s="2" t="s">
        <v>131</v>
      </c>
    </row>
    <row r="25" spans="1:2">
      <c r="A25" t="s">
        <v>132</v>
      </c>
      <c r="B25" s="2" t="s">
        <v>39</v>
      </c>
    </row>
    <row r="26" spans="1:2">
      <c r="A26" t="s">
        <v>133</v>
      </c>
      <c r="B26" s="2" t="s">
        <v>39</v>
      </c>
    </row>
    <row r="27" spans="1:2">
      <c r="A27" t="s">
        <v>134</v>
      </c>
      <c r="B27" s="2" t="s">
        <v>40</v>
      </c>
    </row>
    <row r="28" spans="1:2">
      <c r="A28" t="s">
        <v>135</v>
      </c>
      <c r="B28" s="2" t="s">
        <v>40</v>
      </c>
    </row>
    <row r="29" spans="1:2">
      <c r="A29" t="s">
        <v>136</v>
      </c>
      <c r="B29" s="2" t="s">
        <v>41</v>
      </c>
    </row>
    <row r="30" spans="1:2">
      <c r="A30" t="s">
        <v>533</v>
      </c>
      <c r="B30" s="2" t="s">
        <v>41</v>
      </c>
    </row>
    <row r="31" spans="1:2">
      <c r="A31" t="s">
        <v>137</v>
      </c>
      <c r="B31" s="2" t="s">
        <v>42</v>
      </c>
    </row>
    <row r="32" spans="1:2">
      <c r="A32" t="s">
        <v>138</v>
      </c>
      <c r="B32" s="2" t="s">
        <v>43</v>
      </c>
    </row>
    <row r="33" spans="1:2">
      <c r="A33" t="s">
        <v>139</v>
      </c>
      <c r="B33" s="2" t="s">
        <v>43</v>
      </c>
    </row>
    <row r="34" spans="1:2">
      <c r="A34" t="s">
        <v>140</v>
      </c>
      <c r="B34" s="2" t="s">
        <v>141</v>
      </c>
    </row>
    <row r="35" spans="1:2">
      <c r="A35" t="s">
        <v>142</v>
      </c>
      <c r="B35" s="2" t="s">
        <v>143</v>
      </c>
    </row>
    <row r="36" spans="1:2">
      <c r="A36" t="s">
        <v>144</v>
      </c>
      <c r="B36" s="2" t="s">
        <v>145</v>
      </c>
    </row>
    <row r="37" spans="1:2">
      <c r="A37" t="s">
        <v>146</v>
      </c>
      <c r="B37" s="2" t="s">
        <v>147</v>
      </c>
    </row>
    <row r="38" spans="1:2">
      <c r="A38" t="s">
        <v>148</v>
      </c>
      <c r="B38" s="2" t="s">
        <v>149</v>
      </c>
    </row>
    <row r="39" spans="1:2">
      <c r="A39" t="s">
        <v>150</v>
      </c>
      <c r="B39" s="2" t="s">
        <v>151</v>
      </c>
    </row>
    <row r="40" spans="1:2">
      <c r="A40" t="s">
        <v>152</v>
      </c>
      <c r="B40" s="2" t="s">
        <v>153</v>
      </c>
    </row>
    <row r="41" spans="1:2">
      <c r="A41" t="s">
        <v>154</v>
      </c>
      <c r="B41" s="2" t="s">
        <v>155</v>
      </c>
    </row>
    <row r="42" spans="1:2">
      <c r="A42" t="s">
        <v>156</v>
      </c>
      <c r="B42" s="2" t="s">
        <v>155</v>
      </c>
    </row>
    <row r="43" spans="1:2">
      <c r="A43" t="s">
        <v>157</v>
      </c>
      <c r="B43" s="2" t="s">
        <v>158</v>
      </c>
    </row>
    <row r="44" spans="1:2">
      <c r="A44" t="s">
        <v>159</v>
      </c>
      <c r="B44" s="2" t="s">
        <v>158</v>
      </c>
    </row>
    <row r="45" spans="1:2">
      <c r="A45" t="s">
        <v>160</v>
      </c>
      <c r="B45" s="2" t="s">
        <v>161</v>
      </c>
    </row>
    <row r="46" spans="1:2">
      <c r="A46" t="s">
        <v>162</v>
      </c>
      <c r="B46" s="2" t="s">
        <v>163</v>
      </c>
    </row>
    <row r="47" spans="1:2">
      <c r="A47" t="s">
        <v>164</v>
      </c>
      <c r="B47" s="2" t="s">
        <v>165</v>
      </c>
    </row>
    <row r="48" spans="1:2">
      <c r="A48" t="s">
        <v>166</v>
      </c>
      <c r="B48" s="2" t="s">
        <v>167</v>
      </c>
    </row>
    <row r="49" spans="1:2">
      <c r="A49" t="s">
        <v>168</v>
      </c>
      <c r="B49" s="2" t="s">
        <v>169</v>
      </c>
    </row>
    <row r="50" spans="1:2">
      <c r="A50" t="s">
        <v>170</v>
      </c>
      <c r="B50" s="2" t="s">
        <v>169</v>
      </c>
    </row>
    <row r="51" spans="1:2">
      <c r="A51" t="s">
        <v>171</v>
      </c>
      <c r="B51" s="2" t="s">
        <v>169</v>
      </c>
    </row>
    <row r="52" spans="1:2">
      <c r="A52" t="s">
        <v>172</v>
      </c>
      <c r="B52" s="2" t="s">
        <v>169</v>
      </c>
    </row>
    <row r="53" spans="1:2">
      <c r="A53" t="s">
        <v>173</v>
      </c>
      <c r="B53" s="2" t="s">
        <v>169</v>
      </c>
    </row>
    <row r="54" spans="1:2">
      <c r="A54" t="s">
        <v>174</v>
      </c>
      <c r="B54" s="2" t="s">
        <v>44</v>
      </c>
    </row>
    <row r="55" spans="1:2">
      <c r="A55" t="s">
        <v>175</v>
      </c>
      <c r="B55" s="2" t="s">
        <v>176</v>
      </c>
    </row>
    <row r="56" spans="1:2">
      <c r="A56" t="s">
        <v>177</v>
      </c>
      <c r="B56" s="2" t="s">
        <v>176</v>
      </c>
    </row>
    <row r="57" spans="1:2">
      <c r="A57" t="s">
        <v>178</v>
      </c>
      <c r="B57" s="2" t="s">
        <v>179</v>
      </c>
    </row>
    <row r="58" spans="1:2">
      <c r="A58" t="s">
        <v>180</v>
      </c>
      <c r="B58" s="2" t="s">
        <v>45</v>
      </c>
    </row>
    <row r="59" spans="1:2">
      <c r="A59" t="s">
        <v>181</v>
      </c>
      <c r="B59" s="2" t="s">
        <v>46</v>
      </c>
    </row>
    <row r="60" spans="1:2">
      <c r="A60" t="s">
        <v>182</v>
      </c>
      <c r="B60" s="2" t="s">
        <v>47</v>
      </c>
    </row>
    <row r="61" spans="1:2">
      <c r="A61" t="s">
        <v>183</v>
      </c>
      <c r="B61" s="2" t="s">
        <v>184</v>
      </c>
    </row>
    <row r="62" spans="1:2">
      <c r="A62" t="s">
        <v>185</v>
      </c>
      <c r="B62" s="2" t="s">
        <v>184</v>
      </c>
    </row>
    <row r="63" spans="1:2">
      <c r="A63" t="s">
        <v>186</v>
      </c>
      <c r="B63" s="2" t="s">
        <v>187</v>
      </c>
    </row>
    <row r="64" spans="1:2">
      <c r="A64" t="s">
        <v>188</v>
      </c>
      <c r="B64" s="2" t="s">
        <v>189</v>
      </c>
    </row>
    <row r="65" spans="1:2">
      <c r="A65" t="s">
        <v>190</v>
      </c>
      <c r="B65" s="2" t="s">
        <v>48</v>
      </c>
    </row>
    <row r="66" spans="1:2">
      <c r="A66" t="s">
        <v>191</v>
      </c>
      <c r="B66" s="2" t="s">
        <v>48</v>
      </c>
    </row>
    <row r="67" spans="1:2">
      <c r="A67" t="s">
        <v>192</v>
      </c>
      <c r="B67" s="2" t="s">
        <v>49</v>
      </c>
    </row>
    <row r="68" spans="1:2">
      <c r="A68" t="s">
        <v>193</v>
      </c>
      <c r="B68" s="2" t="s">
        <v>49</v>
      </c>
    </row>
    <row r="69" spans="1:2">
      <c r="A69" t="s">
        <v>194</v>
      </c>
      <c r="B69" s="2" t="s">
        <v>49</v>
      </c>
    </row>
    <row r="70" spans="1:2">
      <c r="A70" t="s">
        <v>195</v>
      </c>
      <c r="B70" s="2" t="s">
        <v>49</v>
      </c>
    </row>
    <row r="71" spans="1:2">
      <c r="A71" t="s">
        <v>196</v>
      </c>
      <c r="B71" s="2" t="s">
        <v>197</v>
      </c>
    </row>
    <row r="72" spans="1:2">
      <c r="A72" t="s">
        <v>198</v>
      </c>
      <c r="B72" s="2" t="s">
        <v>50</v>
      </c>
    </row>
    <row r="73" spans="1:2">
      <c r="A73" t="s">
        <v>199</v>
      </c>
      <c r="B73" s="2" t="s">
        <v>51</v>
      </c>
    </row>
    <row r="74" spans="1:2">
      <c r="A74" t="s">
        <v>200</v>
      </c>
      <c r="B74" s="2" t="s">
        <v>52</v>
      </c>
    </row>
    <row r="75" spans="1:2">
      <c r="A75" t="s">
        <v>201</v>
      </c>
      <c r="B75" s="2" t="s">
        <v>52</v>
      </c>
    </row>
    <row r="76" spans="1:2">
      <c r="A76" t="s">
        <v>202</v>
      </c>
      <c r="B76" s="2" t="s">
        <v>52</v>
      </c>
    </row>
    <row r="77" spans="1:2">
      <c r="A77" t="s">
        <v>203</v>
      </c>
      <c r="B77" s="2" t="s">
        <v>204</v>
      </c>
    </row>
    <row r="78" spans="1:2">
      <c r="A78" t="s">
        <v>205</v>
      </c>
      <c r="B78" s="2" t="s">
        <v>206</v>
      </c>
    </row>
    <row r="79" spans="1:2">
      <c r="A79" t="s">
        <v>207</v>
      </c>
      <c r="B79" s="2" t="s">
        <v>53</v>
      </c>
    </row>
    <row r="80" spans="1:2">
      <c r="A80" t="s">
        <v>208</v>
      </c>
      <c r="B80" s="2" t="s">
        <v>53</v>
      </c>
    </row>
    <row r="81" spans="1:2">
      <c r="A81" t="s">
        <v>209</v>
      </c>
      <c r="B81" s="2" t="s">
        <v>54</v>
      </c>
    </row>
    <row r="82" spans="1:2">
      <c r="A82" t="s">
        <v>210</v>
      </c>
      <c r="B82" s="2" t="s">
        <v>55</v>
      </c>
    </row>
    <row r="83" spans="1:2">
      <c r="A83" t="s">
        <v>211</v>
      </c>
      <c r="B83" s="2" t="s">
        <v>55</v>
      </c>
    </row>
    <row r="84" spans="1:2">
      <c r="A84" t="s">
        <v>212</v>
      </c>
      <c r="B84" s="2" t="s">
        <v>55</v>
      </c>
    </row>
    <row r="85" spans="1:2">
      <c r="A85" t="s">
        <v>213</v>
      </c>
      <c r="B85" s="2" t="s">
        <v>56</v>
      </c>
    </row>
    <row r="86" spans="1:2">
      <c r="A86" t="s">
        <v>214</v>
      </c>
      <c r="B86" s="2" t="s">
        <v>57</v>
      </c>
    </row>
    <row r="87" spans="1:2">
      <c r="A87" t="s">
        <v>215</v>
      </c>
      <c r="B87" s="2" t="s">
        <v>57</v>
      </c>
    </row>
    <row r="88" spans="1:2">
      <c r="A88" t="s">
        <v>216</v>
      </c>
      <c r="B88" s="2" t="s">
        <v>57</v>
      </c>
    </row>
    <row r="89" spans="1:2">
      <c r="A89" t="s">
        <v>217</v>
      </c>
      <c r="B89" s="2" t="s">
        <v>58</v>
      </c>
    </row>
    <row r="90" spans="1:2">
      <c r="A90" t="s">
        <v>218</v>
      </c>
      <c r="B90" s="2" t="s">
        <v>58</v>
      </c>
    </row>
    <row r="91" spans="1:2">
      <c r="A91" t="s">
        <v>219</v>
      </c>
      <c r="B91" s="2" t="s">
        <v>58</v>
      </c>
    </row>
    <row r="92" spans="1:2">
      <c r="A92" t="s">
        <v>220</v>
      </c>
      <c r="B92" s="2" t="s">
        <v>59</v>
      </c>
    </row>
    <row r="93" spans="1:2">
      <c r="A93" t="s">
        <v>221</v>
      </c>
      <c r="B93" s="2" t="s">
        <v>59</v>
      </c>
    </row>
    <row r="94" spans="1:2">
      <c r="A94" t="s">
        <v>222</v>
      </c>
      <c r="B94" s="2" t="s">
        <v>60</v>
      </c>
    </row>
    <row r="95" spans="1:2">
      <c r="A95" t="s">
        <v>223</v>
      </c>
      <c r="B95" s="2" t="s">
        <v>61</v>
      </c>
    </row>
    <row r="96" spans="1:2">
      <c r="A96" t="s">
        <v>224</v>
      </c>
      <c r="B96" s="2" t="s">
        <v>62</v>
      </c>
    </row>
    <row r="97" spans="1:2">
      <c r="A97" t="s">
        <v>225</v>
      </c>
      <c r="B97" s="2" t="s">
        <v>62</v>
      </c>
    </row>
    <row r="98" spans="1:2">
      <c r="A98" t="s">
        <v>226</v>
      </c>
      <c r="B98" s="2" t="s">
        <v>62</v>
      </c>
    </row>
    <row r="99" spans="1:2">
      <c r="A99" t="s">
        <v>227</v>
      </c>
      <c r="B99" s="2" t="s">
        <v>62</v>
      </c>
    </row>
    <row r="100" spans="1:2">
      <c r="A100" t="s">
        <v>228</v>
      </c>
      <c r="B100" s="2" t="s">
        <v>62</v>
      </c>
    </row>
    <row r="101" spans="1:2">
      <c r="A101" t="s">
        <v>229</v>
      </c>
      <c r="B101" s="2" t="s">
        <v>230</v>
      </c>
    </row>
    <row r="102" spans="1:2">
      <c r="A102" t="s">
        <v>231</v>
      </c>
      <c r="B102" s="2" t="s">
        <v>230</v>
      </c>
    </row>
    <row r="103" spans="1:2">
      <c r="A103" t="s">
        <v>232</v>
      </c>
      <c r="B103" s="2" t="s">
        <v>230</v>
      </c>
    </row>
    <row r="104" spans="1:2">
      <c r="A104" t="s">
        <v>233</v>
      </c>
      <c r="B104" s="2" t="s">
        <v>230</v>
      </c>
    </row>
    <row r="105" spans="1:2">
      <c r="A105" t="s">
        <v>234</v>
      </c>
      <c r="B105" s="2" t="s">
        <v>63</v>
      </c>
    </row>
    <row r="106" spans="1:2">
      <c r="A106" t="s">
        <v>235</v>
      </c>
      <c r="B106" s="2" t="s">
        <v>63</v>
      </c>
    </row>
    <row r="107" spans="1:2">
      <c r="A107" t="s">
        <v>236</v>
      </c>
      <c r="B107" s="2" t="s">
        <v>64</v>
      </c>
    </row>
    <row r="108" spans="1:2">
      <c r="A108" t="s">
        <v>237</v>
      </c>
      <c r="B108" s="2" t="s">
        <v>64</v>
      </c>
    </row>
    <row r="109" spans="1:2">
      <c r="A109" t="s">
        <v>238</v>
      </c>
      <c r="B109" s="2" t="s">
        <v>64</v>
      </c>
    </row>
    <row r="110" spans="1:2">
      <c r="A110" t="s">
        <v>239</v>
      </c>
      <c r="B110" s="2" t="s">
        <v>64</v>
      </c>
    </row>
    <row r="111" spans="1:2">
      <c r="A111" t="s">
        <v>240</v>
      </c>
      <c r="B111" s="2" t="s">
        <v>64</v>
      </c>
    </row>
    <row r="112" spans="1:2">
      <c r="A112" t="s">
        <v>241</v>
      </c>
      <c r="B112" s="2" t="s">
        <v>64</v>
      </c>
    </row>
    <row r="113" spans="1:2">
      <c r="A113" t="s">
        <v>242</v>
      </c>
      <c r="B113" s="2" t="s">
        <v>64</v>
      </c>
    </row>
    <row r="114" spans="1:2">
      <c r="A114" t="s">
        <v>243</v>
      </c>
      <c r="B114" s="2" t="s">
        <v>65</v>
      </c>
    </row>
    <row r="115" spans="1:2">
      <c r="A115" t="s">
        <v>244</v>
      </c>
      <c r="B115" s="2" t="s">
        <v>65</v>
      </c>
    </row>
    <row r="116" spans="1:2">
      <c r="A116" t="s">
        <v>245</v>
      </c>
      <c r="B116" s="2" t="s">
        <v>66</v>
      </c>
    </row>
    <row r="117" spans="1:2">
      <c r="A117" t="s">
        <v>246</v>
      </c>
      <c r="B117" s="2" t="s">
        <v>66</v>
      </c>
    </row>
    <row r="118" spans="1:2">
      <c r="A118" t="s">
        <v>247</v>
      </c>
      <c r="B118" s="2" t="s">
        <v>67</v>
      </c>
    </row>
    <row r="119" spans="1:2">
      <c r="A119" t="s">
        <v>248</v>
      </c>
      <c r="B119" s="2" t="s">
        <v>68</v>
      </c>
    </row>
    <row r="120" spans="1:2">
      <c r="A120" t="s">
        <v>249</v>
      </c>
      <c r="B120" s="2" t="s">
        <v>68</v>
      </c>
    </row>
    <row r="121" spans="1:2">
      <c r="A121" t="s">
        <v>250</v>
      </c>
      <c r="B121" s="2" t="s">
        <v>68</v>
      </c>
    </row>
    <row r="122" spans="1:2">
      <c r="A122" t="s">
        <v>251</v>
      </c>
      <c r="B122" s="2" t="s">
        <v>69</v>
      </c>
    </row>
    <row r="123" spans="1:2">
      <c r="A123" t="s">
        <v>252</v>
      </c>
      <c r="B123" s="2" t="s">
        <v>253</v>
      </c>
    </row>
    <row r="124" spans="1:2">
      <c r="A124" t="s">
        <v>254</v>
      </c>
      <c r="B124" s="2" t="s">
        <v>70</v>
      </c>
    </row>
    <row r="125" spans="1:2">
      <c r="A125" t="s">
        <v>255</v>
      </c>
      <c r="B125" s="2" t="s">
        <v>71</v>
      </c>
    </row>
    <row r="126" spans="1:2">
      <c r="A126" t="s">
        <v>256</v>
      </c>
      <c r="B126" s="2" t="s">
        <v>71</v>
      </c>
    </row>
    <row r="127" spans="1:2">
      <c r="A127" t="s">
        <v>257</v>
      </c>
      <c r="B127" s="2" t="s">
        <v>258</v>
      </c>
    </row>
    <row r="128" spans="1:2">
      <c r="A128" t="s">
        <v>259</v>
      </c>
      <c r="B128" s="2" t="s">
        <v>72</v>
      </c>
    </row>
    <row r="129" spans="1:2">
      <c r="A129" t="s">
        <v>260</v>
      </c>
      <c r="B129" s="2" t="s">
        <v>73</v>
      </c>
    </row>
    <row r="130" spans="1:2">
      <c r="A130" t="s">
        <v>261</v>
      </c>
      <c r="B130" s="2" t="s">
        <v>2</v>
      </c>
    </row>
    <row r="131" spans="1:2">
      <c r="A131" t="s">
        <v>262</v>
      </c>
      <c r="B131" s="2" t="s">
        <v>2</v>
      </c>
    </row>
    <row r="132" spans="1:2">
      <c r="A132" t="s">
        <v>263</v>
      </c>
      <c r="B132" s="2" t="s">
        <v>264</v>
      </c>
    </row>
    <row r="133" spans="1:2">
      <c r="A133" t="s">
        <v>265</v>
      </c>
      <c r="B133" s="2" t="s">
        <v>75</v>
      </c>
    </row>
    <row r="134" spans="1:2">
      <c r="A134" t="s">
        <v>266</v>
      </c>
      <c r="B134" s="2" t="s">
        <v>267</v>
      </c>
    </row>
    <row r="135" spans="1:2">
      <c r="A135" t="s">
        <v>268</v>
      </c>
      <c r="B135" s="2" t="s">
        <v>269</v>
      </c>
    </row>
    <row r="136" spans="1:2">
      <c r="A136" t="s">
        <v>270</v>
      </c>
      <c r="B136" s="2" t="s">
        <v>76</v>
      </c>
    </row>
    <row r="137" spans="1:2">
      <c r="A137" t="s">
        <v>540</v>
      </c>
      <c r="B137" s="2" t="s">
        <v>541</v>
      </c>
    </row>
    <row r="138" spans="1:2">
      <c r="A138" t="s">
        <v>271</v>
      </c>
      <c r="B138" s="2" t="s">
        <v>272</v>
      </c>
    </row>
    <row r="139" spans="1:2">
      <c r="A139" t="s">
        <v>273</v>
      </c>
      <c r="B139" s="2" t="s">
        <v>274</v>
      </c>
    </row>
    <row r="140" spans="1:2">
      <c r="A140" t="s">
        <v>275</v>
      </c>
      <c r="B140" s="2" t="s">
        <v>276</v>
      </c>
    </row>
    <row r="141" spans="1:2">
      <c r="A141" t="s">
        <v>277</v>
      </c>
      <c r="B141" s="2" t="s">
        <v>278</v>
      </c>
    </row>
    <row r="142" spans="1:2">
      <c r="A142" t="s">
        <v>279</v>
      </c>
      <c r="B142" s="2" t="s">
        <v>280</v>
      </c>
    </row>
    <row r="143" spans="1:2">
      <c r="A143" t="s">
        <v>281</v>
      </c>
      <c r="B143" s="2" t="s">
        <v>280</v>
      </c>
    </row>
    <row r="144" spans="1:2">
      <c r="A144" t="s">
        <v>282</v>
      </c>
      <c r="B144" s="2" t="s">
        <v>283</v>
      </c>
    </row>
    <row r="145" spans="1:2">
      <c r="A145" t="s">
        <v>284</v>
      </c>
      <c r="B145" s="2" t="s">
        <v>285</v>
      </c>
    </row>
    <row r="146" spans="1:2">
      <c r="A146" t="s">
        <v>286</v>
      </c>
      <c r="B146" s="2" t="s">
        <v>285</v>
      </c>
    </row>
    <row r="147" spans="1:2">
      <c r="A147" t="s">
        <v>287</v>
      </c>
      <c r="B147" s="2" t="s">
        <v>77</v>
      </c>
    </row>
    <row r="148" spans="1:2">
      <c r="A148" t="s">
        <v>288</v>
      </c>
      <c r="B148" s="2" t="s">
        <v>77</v>
      </c>
    </row>
    <row r="149" spans="1:2">
      <c r="A149" t="s">
        <v>289</v>
      </c>
      <c r="B149" s="2" t="s">
        <v>290</v>
      </c>
    </row>
    <row r="150" spans="1:2">
      <c r="A150" t="s">
        <v>291</v>
      </c>
      <c r="B150" s="2" t="s">
        <v>78</v>
      </c>
    </row>
    <row r="151" spans="1:2">
      <c r="A151" t="s">
        <v>292</v>
      </c>
      <c r="B151" s="2" t="s">
        <v>293</v>
      </c>
    </row>
    <row r="152" spans="1:2">
      <c r="A152" t="s">
        <v>294</v>
      </c>
      <c r="B152" s="2" t="s">
        <v>293</v>
      </c>
    </row>
    <row r="153" spans="1:2">
      <c r="A153" t="s">
        <v>295</v>
      </c>
      <c r="B153" s="2" t="s">
        <v>296</v>
      </c>
    </row>
    <row r="154" spans="1:2">
      <c r="A154" t="s">
        <v>297</v>
      </c>
      <c r="B154" s="2" t="s">
        <v>298</v>
      </c>
    </row>
    <row r="155" spans="1:2">
      <c r="A155" t="s">
        <v>299</v>
      </c>
      <c r="B155" s="2" t="s">
        <v>79</v>
      </c>
    </row>
    <row r="156" spans="1:2">
      <c r="A156" t="s">
        <v>300</v>
      </c>
      <c r="B156" s="2" t="s">
        <v>79</v>
      </c>
    </row>
    <row r="157" spans="1:2">
      <c r="A157" t="s">
        <v>301</v>
      </c>
      <c r="B157" s="2" t="s">
        <v>79</v>
      </c>
    </row>
    <row r="158" spans="1:2">
      <c r="A158" t="s">
        <v>302</v>
      </c>
      <c r="B158" s="2" t="s">
        <v>303</v>
      </c>
    </row>
    <row r="159" spans="1:2">
      <c r="A159" t="s">
        <v>304</v>
      </c>
      <c r="B159" s="2" t="s">
        <v>80</v>
      </c>
    </row>
    <row r="160" spans="1:2">
      <c r="A160" t="s">
        <v>305</v>
      </c>
      <c r="B160" s="2" t="s">
        <v>81</v>
      </c>
    </row>
    <row r="161" spans="1:2">
      <c r="A161" t="s">
        <v>306</v>
      </c>
      <c r="B161" s="2" t="s">
        <v>307</v>
      </c>
    </row>
    <row r="162" spans="1:2">
      <c r="A162" t="s">
        <v>308</v>
      </c>
      <c r="B162" s="2" t="s">
        <v>82</v>
      </c>
    </row>
    <row r="163" spans="1:2">
      <c r="A163" t="s">
        <v>309</v>
      </c>
      <c r="B163" s="2" t="s">
        <v>310</v>
      </c>
    </row>
    <row r="164" spans="1:2">
      <c r="A164" t="s">
        <v>311</v>
      </c>
      <c r="B164" s="2" t="s">
        <v>312</v>
      </c>
    </row>
    <row r="165" spans="1:2">
      <c r="A165" t="s">
        <v>313</v>
      </c>
      <c r="B165" s="2" t="s">
        <v>84</v>
      </c>
    </row>
    <row r="166" spans="1:2">
      <c r="A166" t="s">
        <v>314</v>
      </c>
      <c r="B166" s="2" t="s">
        <v>84</v>
      </c>
    </row>
    <row r="167" spans="1:2">
      <c r="A167" t="s">
        <v>315</v>
      </c>
      <c r="B167" s="2" t="s">
        <v>84</v>
      </c>
    </row>
    <row r="168" spans="1:2">
      <c r="A168" t="s">
        <v>316</v>
      </c>
      <c r="B168" s="2" t="s">
        <v>317</v>
      </c>
    </row>
    <row r="169" spans="1:2">
      <c r="A169" t="s">
        <v>318</v>
      </c>
      <c r="B169" s="2" t="s">
        <v>317</v>
      </c>
    </row>
    <row r="170" spans="1:2">
      <c r="A170" t="s">
        <v>319</v>
      </c>
      <c r="B170" s="2" t="s">
        <v>85</v>
      </c>
    </row>
    <row r="171" spans="1:2">
      <c r="A171" t="s">
        <v>320</v>
      </c>
      <c r="B171" s="2" t="s">
        <v>86</v>
      </c>
    </row>
    <row r="172" spans="1:2">
      <c r="A172" t="s">
        <v>321</v>
      </c>
      <c r="B172" s="2" t="s">
        <v>322</v>
      </c>
    </row>
    <row r="173" spans="1:2">
      <c r="A173" t="s">
        <v>323</v>
      </c>
      <c r="B173" s="2" t="s">
        <v>324</v>
      </c>
    </row>
    <row r="174" spans="1:2">
      <c r="A174" t="s">
        <v>325</v>
      </c>
      <c r="B174" s="2" t="s">
        <v>324</v>
      </c>
    </row>
    <row r="175" spans="1:2">
      <c r="A175" t="s">
        <v>326</v>
      </c>
      <c r="B175" s="2" t="s">
        <v>327</v>
      </c>
    </row>
    <row r="176" spans="1:2">
      <c r="A176" t="s">
        <v>328</v>
      </c>
      <c r="B176" s="2" t="s">
        <v>329</v>
      </c>
    </row>
    <row r="177" spans="1:2">
      <c r="A177" t="s">
        <v>330</v>
      </c>
      <c r="B177" s="2" t="s">
        <v>331</v>
      </c>
    </row>
    <row r="178" spans="1:2">
      <c r="A178" t="s">
        <v>332</v>
      </c>
      <c r="B178" s="2" t="s">
        <v>333</v>
      </c>
    </row>
    <row r="179" spans="1:2">
      <c r="A179" t="s">
        <v>334</v>
      </c>
      <c r="B179" s="2" t="s">
        <v>335</v>
      </c>
    </row>
    <row r="180" spans="1:2">
      <c r="A180" t="s">
        <v>336</v>
      </c>
      <c r="B180" s="2" t="s">
        <v>335</v>
      </c>
    </row>
    <row r="181" spans="1:2">
      <c r="A181" t="s">
        <v>529</v>
      </c>
      <c r="B181" s="2" t="s">
        <v>530</v>
      </c>
    </row>
    <row r="182" spans="1:2">
      <c r="A182" t="s">
        <v>337</v>
      </c>
      <c r="B182" s="2" t="s">
        <v>338</v>
      </c>
    </row>
    <row r="183" spans="1:2">
      <c r="A183" t="s">
        <v>339</v>
      </c>
      <c r="B183" s="2" t="s">
        <v>340</v>
      </c>
    </row>
    <row r="184" spans="1:2">
      <c r="A184" t="s">
        <v>341</v>
      </c>
      <c r="B184" s="2" t="s">
        <v>342</v>
      </c>
    </row>
    <row r="185" spans="1:2">
      <c r="A185" t="s">
        <v>343</v>
      </c>
      <c r="B185" s="2" t="s">
        <v>344</v>
      </c>
    </row>
    <row r="186" spans="1:2">
      <c r="A186" t="s">
        <v>345</v>
      </c>
      <c r="B186" s="2" t="s">
        <v>346</v>
      </c>
    </row>
    <row r="187" spans="1:2">
      <c r="A187" t="s">
        <v>347</v>
      </c>
      <c r="B187" s="2" t="s">
        <v>348</v>
      </c>
    </row>
    <row r="188" spans="1:2">
      <c r="A188" t="s">
        <v>349</v>
      </c>
      <c r="B188" s="2" t="s">
        <v>348</v>
      </c>
    </row>
    <row r="189" spans="1:2">
      <c r="A189" t="s">
        <v>350</v>
      </c>
      <c r="B189" s="2" t="s">
        <v>87</v>
      </c>
    </row>
    <row r="190" spans="1:2">
      <c r="A190" t="s">
        <v>351</v>
      </c>
      <c r="B190" s="2" t="s">
        <v>87</v>
      </c>
    </row>
    <row r="191" spans="1:2">
      <c r="A191" t="s">
        <v>352</v>
      </c>
      <c r="B191" s="2" t="s">
        <v>87</v>
      </c>
    </row>
    <row r="192" spans="1:2">
      <c r="A192" t="s">
        <v>353</v>
      </c>
      <c r="B192" s="2" t="s">
        <v>354</v>
      </c>
    </row>
    <row r="193" spans="1:2">
      <c r="A193" t="s">
        <v>355</v>
      </c>
      <c r="B193" s="2" t="s">
        <v>88</v>
      </c>
    </row>
    <row r="194" spans="1:2">
      <c r="A194" t="s">
        <v>539</v>
      </c>
      <c r="B194" s="2" t="s">
        <v>88</v>
      </c>
    </row>
    <row r="195" spans="1:2">
      <c r="A195" t="s">
        <v>356</v>
      </c>
      <c r="B195" s="2" t="s">
        <v>357</v>
      </c>
    </row>
    <row r="196" spans="1:2">
      <c r="A196" t="s">
        <v>358</v>
      </c>
      <c r="B196" s="2" t="s">
        <v>357</v>
      </c>
    </row>
    <row r="197" spans="1:2">
      <c r="A197" t="s">
        <v>359</v>
      </c>
      <c r="B197" s="2" t="s">
        <v>89</v>
      </c>
    </row>
    <row r="198" spans="1:2">
      <c r="A198" t="s">
        <v>360</v>
      </c>
      <c r="B198" s="2" t="s">
        <v>89</v>
      </c>
    </row>
    <row r="199" spans="1:2">
      <c r="A199" t="s">
        <v>361</v>
      </c>
      <c r="B199" s="2" t="s">
        <v>362</v>
      </c>
    </row>
    <row r="200" spans="1:2">
      <c r="A200" t="s">
        <v>363</v>
      </c>
      <c r="B200" s="2" t="s">
        <v>362</v>
      </c>
    </row>
    <row r="201" spans="1:2">
      <c r="A201" t="s">
        <v>364</v>
      </c>
      <c r="B201" s="2" t="s">
        <v>362</v>
      </c>
    </row>
    <row r="202" spans="1:2">
      <c r="A202" t="s">
        <v>365</v>
      </c>
      <c r="B202" s="2" t="s">
        <v>90</v>
      </c>
    </row>
    <row r="203" spans="1:2">
      <c r="A203" t="s">
        <v>366</v>
      </c>
      <c r="B203" s="2" t="s">
        <v>91</v>
      </c>
    </row>
    <row r="204" spans="1:2">
      <c r="A204" t="s">
        <v>367</v>
      </c>
      <c r="B204" s="2" t="s">
        <v>91</v>
      </c>
    </row>
    <row r="205" spans="1:2">
      <c r="A205" t="s">
        <v>368</v>
      </c>
      <c r="B205" s="2" t="s">
        <v>92</v>
      </c>
    </row>
    <row r="206" spans="1:2">
      <c r="A206" t="s">
        <v>369</v>
      </c>
      <c r="B206" s="2" t="s">
        <v>92</v>
      </c>
    </row>
    <row r="207" spans="1:2">
      <c r="A207" t="s">
        <v>370</v>
      </c>
      <c r="B207" s="2" t="s">
        <v>371</v>
      </c>
    </row>
    <row r="208" spans="1:2">
      <c r="A208" t="s">
        <v>372</v>
      </c>
      <c r="B208" s="2" t="s">
        <v>373</v>
      </c>
    </row>
    <row r="209" spans="1:2">
      <c r="A209" t="s">
        <v>374</v>
      </c>
      <c r="B209" s="2" t="s">
        <v>375</v>
      </c>
    </row>
    <row r="210" spans="1:2">
      <c r="A210" t="s">
        <v>376</v>
      </c>
      <c r="B210" s="2" t="s">
        <v>377</v>
      </c>
    </row>
    <row r="211" spans="1:2">
      <c r="A211" t="s">
        <v>378</v>
      </c>
      <c r="B211" s="2" t="s">
        <v>379</v>
      </c>
    </row>
    <row r="212" spans="1:2">
      <c r="A212" t="s">
        <v>380</v>
      </c>
      <c r="B212" s="2" t="s">
        <v>381</v>
      </c>
    </row>
    <row r="213" spans="1:2">
      <c r="A213" t="s">
        <v>382</v>
      </c>
      <c r="B213" s="2" t="s">
        <v>383</v>
      </c>
    </row>
    <row r="214" spans="1:2">
      <c r="A214" t="s">
        <v>384</v>
      </c>
      <c r="B214" s="2" t="s">
        <v>385</v>
      </c>
    </row>
    <row r="215" spans="1:2">
      <c r="A215" t="s">
        <v>386</v>
      </c>
      <c r="B215" s="2" t="s">
        <v>387</v>
      </c>
    </row>
    <row r="216" spans="1:2">
      <c r="A216" t="s">
        <v>388</v>
      </c>
      <c r="B216" s="2" t="s">
        <v>389</v>
      </c>
    </row>
    <row r="217" spans="1:2">
      <c r="A217" t="s">
        <v>390</v>
      </c>
      <c r="B217" s="2" t="s">
        <v>391</v>
      </c>
    </row>
    <row r="218" spans="1:2">
      <c r="A218" t="s">
        <v>392</v>
      </c>
      <c r="B218" s="2" t="s">
        <v>393</v>
      </c>
    </row>
    <row r="219" spans="1:2">
      <c r="A219" t="s">
        <v>394</v>
      </c>
      <c r="B219" s="2" t="s">
        <v>393</v>
      </c>
    </row>
    <row r="220" spans="1:2">
      <c r="A220" t="s">
        <v>395</v>
      </c>
      <c r="B220" s="2" t="s">
        <v>396</v>
      </c>
    </row>
    <row r="221" spans="1:2">
      <c r="A221" t="s">
        <v>397</v>
      </c>
      <c r="B221" s="2" t="s">
        <v>398</v>
      </c>
    </row>
    <row r="222" spans="1:2">
      <c r="A222" t="s">
        <v>399</v>
      </c>
      <c r="B222" s="2" t="s">
        <v>400</v>
      </c>
    </row>
    <row r="223" spans="1:2">
      <c r="A223" t="s">
        <v>401</v>
      </c>
      <c r="B223" s="2" t="s">
        <v>402</v>
      </c>
    </row>
    <row r="224" spans="1:2">
      <c r="A224" t="s">
        <v>403</v>
      </c>
      <c r="B224" s="2" t="s">
        <v>402</v>
      </c>
    </row>
    <row r="225" spans="1:2">
      <c r="A225" t="s">
        <v>404</v>
      </c>
      <c r="B225" s="2" t="s">
        <v>405</v>
      </c>
    </row>
    <row r="226" spans="1:2">
      <c r="A226" t="s">
        <v>406</v>
      </c>
      <c r="B226" s="2" t="s">
        <v>407</v>
      </c>
    </row>
    <row r="227" spans="1:2">
      <c r="A227" t="s">
        <v>408</v>
      </c>
      <c r="B227" s="2" t="s">
        <v>409</v>
      </c>
    </row>
    <row r="228" spans="1:2">
      <c r="A228" t="s">
        <v>410</v>
      </c>
      <c r="B228" s="2" t="s">
        <v>99</v>
      </c>
    </row>
    <row r="229" spans="1:2">
      <c r="A229" t="s">
        <v>411</v>
      </c>
      <c r="B229" s="2" t="s">
        <v>412</v>
      </c>
    </row>
    <row r="230" spans="1:2">
      <c r="A230" t="s">
        <v>413</v>
      </c>
      <c r="B230" s="2" t="s">
        <v>414</v>
      </c>
    </row>
    <row r="231" spans="1:2">
      <c r="A231" t="s">
        <v>415</v>
      </c>
      <c r="B231" s="2" t="s">
        <v>416</v>
      </c>
    </row>
    <row r="232" spans="1:2">
      <c r="A232" t="s">
        <v>417</v>
      </c>
      <c r="B232" s="2" t="s">
        <v>418</v>
      </c>
    </row>
    <row r="233" spans="1:2">
      <c r="A233" t="s">
        <v>419</v>
      </c>
      <c r="B233" s="2" t="s">
        <v>420</v>
      </c>
    </row>
    <row r="234" spans="1:2">
      <c r="A234" t="s">
        <v>421</v>
      </c>
      <c r="B234" s="2" t="s">
        <v>422</v>
      </c>
    </row>
    <row r="235" spans="1:2">
      <c r="A235" t="s">
        <v>423</v>
      </c>
      <c r="B235" s="2" t="s">
        <v>424</v>
      </c>
    </row>
    <row r="236" spans="1:2">
      <c r="A236" t="s">
        <v>425</v>
      </c>
      <c r="B236" s="2" t="s">
        <v>426</v>
      </c>
    </row>
    <row r="237" spans="1:2">
      <c r="A237" t="s">
        <v>427</v>
      </c>
      <c r="B237" s="2" t="s">
        <v>428</v>
      </c>
    </row>
    <row r="238" spans="1:2">
      <c r="A238" t="s">
        <v>429</v>
      </c>
      <c r="B238" s="2" t="s">
        <v>93</v>
      </c>
    </row>
    <row r="239" spans="1:2">
      <c r="A239" t="s">
        <v>430</v>
      </c>
      <c r="B239" s="2" t="s">
        <v>94</v>
      </c>
    </row>
    <row r="240" spans="1:2">
      <c r="A240" t="s">
        <v>431</v>
      </c>
      <c r="B240" s="2" t="s">
        <v>432</v>
      </c>
    </row>
    <row r="241" spans="1:2">
      <c r="A241" t="s">
        <v>433</v>
      </c>
      <c r="B241" s="2" t="s">
        <v>434</v>
      </c>
    </row>
    <row r="242" spans="1:2">
      <c r="A242" t="s">
        <v>435</v>
      </c>
      <c r="B242" s="2" t="s">
        <v>436</v>
      </c>
    </row>
    <row r="243" spans="1:2">
      <c r="A243" t="s">
        <v>437</v>
      </c>
      <c r="B243" s="2" t="s">
        <v>438</v>
      </c>
    </row>
    <row r="244" spans="1:2">
      <c r="A244" t="s">
        <v>531</v>
      </c>
      <c r="B244" s="2" t="s">
        <v>532</v>
      </c>
    </row>
    <row r="245" spans="1:2">
      <c r="A245" t="s">
        <v>534</v>
      </c>
      <c r="B245" s="2" t="s">
        <v>535</v>
      </c>
    </row>
    <row r="246" spans="1:2">
      <c r="A246" t="s">
        <v>536</v>
      </c>
      <c r="B246" s="2" t="s">
        <v>537</v>
      </c>
    </row>
    <row r="247" spans="1:2">
      <c r="A247" t="s">
        <v>439</v>
      </c>
      <c r="B247" s="2" t="s">
        <v>440</v>
      </c>
    </row>
    <row r="248" spans="1:2">
      <c r="A248" t="s">
        <v>441</v>
      </c>
      <c r="B248" s="2" t="s">
        <v>442</v>
      </c>
    </row>
    <row r="249" spans="1:2">
      <c r="A249" t="s">
        <v>443</v>
      </c>
      <c r="B249" s="2" t="s">
        <v>442</v>
      </c>
    </row>
    <row r="250" spans="1:2">
      <c r="A250" t="s">
        <v>444</v>
      </c>
      <c r="B250" s="2" t="s">
        <v>17</v>
      </c>
    </row>
    <row r="251" spans="1:2">
      <c r="A251" t="s">
        <v>445</v>
      </c>
      <c r="B251" s="2" t="s">
        <v>17</v>
      </c>
    </row>
    <row r="252" spans="1:2">
      <c r="A252" t="s">
        <v>446</v>
      </c>
      <c r="B252" s="2" t="s">
        <v>17</v>
      </c>
    </row>
    <row r="253" spans="1:2">
      <c r="A253" t="s">
        <v>447</v>
      </c>
      <c r="B253" s="2" t="s">
        <v>17</v>
      </c>
    </row>
    <row r="254" spans="1:2">
      <c r="A254" t="s">
        <v>448</v>
      </c>
      <c r="B254" s="2" t="s">
        <v>449</v>
      </c>
    </row>
    <row r="255" spans="1:2">
      <c r="A255" t="s">
        <v>450</v>
      </c>
      <c r="B255" s="2" t="s">
        <v>450</v>
      </c>
    </row>
    <row r="256" spans="1:2">
      <c r="A256" t="s">
        <v>95</v>
      </c>
      <c r="B256" s="2" t="s">
        <v>95</v>
      </c>
    </row>
    <row r="257" spans="1:2">
      <c r="A257" t="s">
        <v>451</v>
      </c>
      <c r="B257" s="2" t="s">
        <v>451</v>
      </c>
    </row>
    <row r="258" spans="1:2">
      <c r="A258" t="s">
        <v>452</v>
      </c>
      <c r="B258" s="2" t="s">
        <v>452</v>
      </c>
    </row>
    <row r="259" spans="1:2">
      <c r="A259" t="s">
        <v>453</v>
      </c>
      <c r="B259" s="2" t="s">
        <v>453</v>
      </c>
    </row>
    <row r="260" spans="1:2">
      <c r="A260" t="s">
        <v>454</v>
      </c>
      <c r="B260" s="2" t="s">
        <v>454</v>
      </c>
    </row>
    <row r="261" spans="1:2">
      <c r="A261" t="s">
        <v>455</v>
      </c>
      <c r="B261" s="2" t="s">
        <v>96</v>
      </c>
    </row>
    <row r="262" spans="1:2">
      <c r="A262" t="s">
        <v>456</v>
      </c>
      <c r="B262" s="2" t="s">
        <v>456</v>
      </c>
    </row>
    <row r="263" spans="1:2">
      <c r="A263" t="s">
        <v>457</v>
      </c>
      <c r="B263" s="2" t="s">
        <v>97</v>
      </c>
    </row>
    <row r="264" spans="1:2">
      <c r="A264" t="s">
        <v>458</v>
      </c>
      <c r="B264" s="2" t="s">
        <v>97</v>
      </c>
    </row>
    <row r="265" spans="1:2">
      <c r="A265" t="s">
        <v>459</v>
      </c>
      <c r="B265" s="2" t="s">
        <v>97</v>
      </c>
    </row>
    <row r="266" spans="1:2">
      <c r="A266" t="s">
        <v>460</v>
      </c>
      <c r="B266" s="2" t="s">
        <v>97</v>
      </c>
    </row>
    <row r="267" spans="1:2">
      <c r="A267" t="s">
        <v>538</v>
      </c>
      <c r="B267" s="2" t="s">
        <v>97</v>
      </c>
    </row>
    <row r="268" spans="1:2">
      <c r="A268" t="s">
        <v>461</v>
      </c>
      <c r="B268" s="2" t="s">
        <v>461</v>
      </c>
    </row>
    <row r="269" spans="1:2">
      <c r="A269" t="s">
        <v>462</v>
      </c>
      <c r="B269" s="2" t="s">
        <v>462</v>
      </c>
    </row>
    <row r="270" spans="1:2">
      <c r="A270" t="s">
        <v>463</v>
      </c>
      <c r="B270" s="2" t="s">
        <v>98</v>
      </c>
    </row>
    <row r="271" spans="1:2">
      <c r="A271" t="s">
        <v>464</v>
      </c>
      <c r="B271" s="2" t="s">
        <v>98</v>
      </c>
    </row>
    <row r="272" spans="1:2">
      <c r="A272" t="s">
        <v>465</v>
      </c>
      <c r="B272" s="2" t="s">
        <v>465</v>
      </c>
    </row>
    <row r="273" spans="1:2">
      <c r="A273" t="s">
        <v>466</v>
      </c>
      <c r="B273" s="2" t="s">
        <v>466</v>
      </c>
    </row>
    <row r="274" spans="1:2">
      <c r="A274" t="s">
        <v>467</v>
      </c>
      <c r="B274" s="2" t="s">
        <v>468</v>
      </c>
    </row>
    <row r="275" spans="1:2">
      <c r="A275" t="s">
        <v>468</v>
      </c>
      <c r="B275" s="2" t="s">
        <v>468</v>
      </c>
    </row>
    <row r="276" spans="1:2">
      <c r="A276" t="s">
        <v>469</v>
      </c>
      <c r="B276" s="2" t="s">
        <v>468</v>
      </c>
    </row>
    <row r="277" spans="1:2">
      <c r="A277" t="s">
        <v>470</v>
      </c>
      <c r="B277" s="2" t="s">
        <v>471</v>
      </c>
    </row>
    <row r="278" spans="1:2">
      <c r="A278" t="s">
        <v>472</v>
      </c>
      <c r="B278" s="2" t="s">
        <v>471</v>
      </c>
    </row>
    <row r="279" spans="1:2">
      <c r="A279" t="s">
        <v>473</v>
      </c>
      <c r="B279" s="2" t="s">
        <v>474</v>
      </c>
    </row>
    <row r="280" spans="1:2">
      <c r="A280" t="s">
        <v>475</v>
      </c>
      <c r="B280" s="2" t="s">
        <v>215</v>
      </c>
    </row>
    <row r="281" spans="1:2">
      <c r="A281" t="s">
        <v>476</v>
      </c>
      <c r="B281" s="2" t="s">
        <v>215</v>
      </c>
    </row>
    <row r="282" spans="1:2">
      <c r="A282" t="s">
        <v>477</v>
      </c>
      <c r="B282" s="2" t="s">
        <v>478</v>
      </c>
    </row>
    <row r="283" spans="1:2">
      <c r="A283" t="s">
        <v>479</v>
      </c>
      <c r="B283" s="2" t="s">
        <v>479</v>
      </c>
    </row>
    <row r="284" spans="1:2">
      <c r="A284" t="s">
        <v>480</v>
      </c>
      <c r="B284" s="2" t="s">
        <v>481</v>
      </c>
    </row>
    <row r="285" spans="1:2">
      <c r="A285" t="s">
        <v>482</v>
      </c>
      <c r="B285" s="2" t="s">
        <v>483</v>
      </c>
    </row>
    <row r="286" spans="1:2">
      <c r="A286" t="s">
        <v>484</v>
      </c>
      <c r="B286" s="2" t="s">
        <v>484</v>
      </c>
    </row>
    <row r="287" spans="1:2">
      <c r="A287" t="s">
        <v>485</v>
      </c>
      <c r="B287" s="2" t="s">
        <v>485</v>
      </c>
    </row>
    <row r="288" spans="1:2">
      <c r="A288" t="s">
        <v>486</v>
      </c>
      <c r="B288" s="2" t="s">
        <v>487</v>
      </c>
    </row>
    <row r="289" spans="1:2">
      <c r="A289" t="s">
        <v>488</v>
      </c>
      <c r="B289" s="2" t="s">
        <v>488</v>
      </c>
    </row>
    <row r="290" spans="1:2">
      <c r="A290" t="s">
        <v>489</v>
      </c>
      <c r="B290" s="2" t="s">
        <v>490</v>
      </c>
    </row>
    <row r="291" spans="1:2">
      <c r="A291" t="s">
        <v>490</v>
      </c>
      <c r="B291" s="2" t="s">
        <v>490</v>
      </c>
    </row>
    <row r="292" spans="1:2">
      <c r="A292" t="s">
        <v>491</v>
      </c>
      <c r="B292" s="2" t="s">
        <v>491</v>
      </c>
    </row>
    <row r="293" spans="1:2">
      <c r="A293" t="s">
        <v>492</v>
      </c>
      <c r="B293" s="2" t="s">
        <v>492</v>
      </c>
    </row>
    <row r="294" spans="1:2">
      <c r="A294" t="s">
        <v>493</v>
      </c>
      <c r="B294" s="2" t="s">
        <v>493</v>
      </c>
    </row>
    <row r="295" spans="1:2">
      <c r="A295" t="s">
        <v>494</v>
      </c>
      <c r="B295" s="2" t="s">
        <v>495</v>
      </c>
    </row>
    <row r="296" spans="1:2">
      <c r="A296" t="s">
        <v>496</v>
      </c>
      <c r="B296" s="2" t="s">
        <v>495</v>
      </c>
    </row>
    <row r="297" spans="1:2">
      <c r="A297" t="s">
        <v>497</v>
      </c>
      <c r="B297" s="2" t="s">
        <v>495</v>
      </c>
    </row>
    <row r="298" spans="1:2">
      <c r="A298" t="s">
        <v>498</v>
      </c>
      <c r="B298" s="2" t="s">
        <v>495</v>
      </c>
    </row>
    <row r="299" spans="1:2">
      <c r="A299" t="s">
        <v>499</v>
      </c>
      <c r="B299" s="2" t="s">
        <v>495</v>
      </c>
    </row>
    <row r="300" spans="1:2">
      <c r="A300" t="s">
        <v>500</v>
      </c>
      <c r="B300" s="2" t="s">
        <v>501</v>
      </c>
    </row>
    <row r="301" spans="1:2">
      <c r="A301" t="s">
        <v>502</v>
      </c>
      <c r="B301" s="2" t="s">
        <v>502</v>
      </c>
    </row>
    <row r="302" spans="1:2">
      <c r="A302" t="s">
        <v>503</v>
      </c>
      <c r="B302" s="2" t="s">
        <v>190</v>
      </c>
    </row>
    <row r="303" spans="1:2">
      <c r="A303" t="s">
        <v>504</v>
      </c>
      <c r="B303" s="2" t="s">
        <v>504</v>
      </c>
    </row>
    <row r="304" spans="1:2">
      <c r="A304" t="s">
        <v>505</v>
      </c>
      <c r="B304" s="2" t="s">
        <v>250</v>
      </c>
    </row>
    <row r="305" spans="1:2">
      <c r="A305" t="s">
        <v>506</v>
      </c>
      <c r="B305" s="2" t="s">
        <v>506</v>
      </c>
    </row>
    <row r="306" spans="1:2">
      <c r="A306" t="s">
        <v>507</v>
      </c>
      <c r="B306" s="2" t="s">
        <v>507</v>
      </c>
    </row>
    <row r="307" spans="1:2">
      <c r="A307" t="s">
        <v>508</v>
      </c>
      <c r="B307" s="2" t="s">
        <v>507</v>
      </c>
    </row>
    <row r="308" spans="1:2">
      <c r="A308" t="s">
        <v>509</v>
      </c>
      <c r="B308" s="2" t="s">
        <v>509</v>
      </c>
    </row>
    <row r="309" spans="1:2">
      <c r="A309" t="s">
        <v>510</v>
      </c>
      <c r="B309" s="2" t="s">
        <v>510</v>
      </c>
    </row>
    <row r="310" spans="1:2">
      <c r="A310" t="s">
        <v>511</v>
      </c>
      <c r="B310" s="2" t="s">
        <v>512</v>
      </c>
    </row>
    <row r="311" spans="1:2">
      <c r="A311" t="s">
        <v>513</v>
      </c>
      <c r="B311" s="2" t="s">
        <v>512</v>
      </c>
    </row>
    <row r="312" spans="1:2">
      <c r="A312" t="s">
        <v>512</v>
      </c>
      <c r="B312" s="2" t="s">
        <v>512</v>
      </c>
    </row>
    <row r="313" spans="1:2">
      <c r="A313" t="s">
        <v>514</v>
      </c>
      <c r="B313" s="2" t="s">
        <v>515</v>
      </c>
    </row>
    <row r="314" spans="1:2">
      <c r="A314" t="s">
        <v>516</v>
      </c>
      <c r="B314" s="2" t="s">
        <v>517</v>
      </c>
    </row>
    <row r="315" spans="1:2">
      <c r="A315" t="s">
        <v>518</v>
      </c>
      <c r="B315" s="2" t="s">
        <v>519</v>
      </c>
    </row>
    <row r="316" spans="1:2">
      <c r="A316" t="s">
        <v>520</v>
      </c>
      <c r="B316" s="2" t="s">
        <v>520</v>
      </c>
    </row>
    <row r="317" spans="1:2">
      <c r="A317" s="58" t="s">
        <v>521</v>
      </c>
      <c r="B317" s="2" t="s">
        <v>521</v>
      </c>
    </row>
    <row r="318" spans="1:2">
      <c r="A318" t="s">
        <v>522</v>
      </c>
      <c r="B318" s="2" t="s">
        <v>522</v>
      </c>
    </row>
    <row r="319" spans="1:2">
      <c r="A319" t="s">
        <v>523</v>
      </c>
      <c r="B319" s="2" t="s">
        <v>523</v>
      </c>
    </row>
    <row r="320" spans="1:2">
      <c r="A320" t="s">
        <v>524</v>
      </c>
      <c r="B320" s="2" t="s">
        <v>524</v>
      </c>
    </row>
    <row r="321" spans="1:2">
      <c r="A321" t="s">
        <v>525</v>
      </c>
      <c r="B321" s="2" t="s">
        <v>525</v>
      </c>
    </row>
    <row r="322" spans="1:2">
      <c r="A322" t="s">
        <v>526</v>
      </c>
      <c r="B322" s="2" t="s">
        <v>220</v>
      </c>
    </row>
    <row r="323" spans="1:2">
      <c r="A323" t="s">
        <v>527</v>
      </c>
      <c r="B323" s="2" t="s">
        <v>527</v>
      </c>
    </row>
    <row r="324" spans="1:2">
      <c r="A324" t="s">
        <v>528</v>
      </c>
      <c r="B324" s="2" t="s">
        <v>528</v>
      </c>
    </row>
    <row r="325" spans="1:2">
      <c r="A325" t="s">
        <v>1002</v>
      </c>
      <c r="B325" s="2" t="str">
        <f t="shared" ref="B325:B334" si="0">TRIM(IFERROR(IFERROR(MID($A325,FIND("(D-",$A325)+1,6),LEFT($A325,FIND("(",$A325)-1)),$A325))</f>
        <v>D-0493</v>
      </c>
    </row>
    <row r="326" spans="1:2">
      <c r="A326" t="s">
        <v>1147</v>
      </c>
      <c r="B326" s="2" t="str">
        <f t="shared" si="0"/>
        <v>D-0725</v>
      </c>
    </row>
    <row r="327" spans="1:2">
      <c r="A327" t="s">
        <v>1148</v>
      </c>
      <c r="B327" s="2" t="str">
        <f t="shared" si="0"/>
        <v>D-0664</v>
      </c>
    </row>
    <row r="328" spans="1:2">
      <c r="A328" t="s">
        <v>1149</v>
      </c>
      <c r="B328" s="2" t="str">
        <f t="shared" si="0"/>
        <v>D-0667</v>
      </c>
    </row>
    <row r="329" spans="1:2">
      <c r="A329" t="s">
        <v>1150</v>
      </c>
      <c r="B329" s="2" t="str">
        <f t="shared" si="0"/>
        <v>D-0663</v>
      </c>
    </row>
    <row r="330" spans="1:2">
      <c r="A330" t="s">
        <v>1151</v>
      </c>
      <c r="B330" s="2" t="str">
        <f t="shared" si="0"/>
        <v>D-0662</v>
      </c>
    </row>
    <row r="331" spans="1:2">
      <c r="A331" t="s">
        <v>1058</v>
      </c>
      <c r="B331" s="2" t="str">
        <f t="shared" si="0"/>
        <v>D-0728</v>
      </c>
    </row>
    <row r="332" spans="1:2">
      <c r="A332" t="s">
        <v>1059</v>
      </c>
      <c r="B332" s="2" t="str">
        <f t="shared" si="0"/>
        <v>D-0727</v>
      </c>
    </row>
    <row r="333" spans="1:2">
      <c r="A333" t="s">
        <v>1125</v>
      </c>
      <c r="B333" s="2" t="str">
        <f t="shared" si="0"/>
        <v>D-0604</v>
      </c>
    </row>
    <row r="334" spans="1:2">
      <c r="A334" t="s">
        <v>1173</v>
      </c>
      <c r="B334" s="2" t="str">
        <f t="shared" si="0"/>
        <v>JV1-0695-3</v>
      </c>
    </row>
    <row r="335" spans="1:2">
      <c r="B335"/>
    </row>
    <row r="336" spans="1:2">
      <c r="B336"/>
    </row>
    <row r="337" spans="2:2">
      <c r="B337"/>
    </row>
    <row r="338" spans="2:2">
      <c r="B338"/>
    </row>
    <row r="339" spans="2:2">
      <c r="B339"/>
    </row>
    <row r="340" spans="2:2">
      <c r="B340"/>
    </row>
    <row r="341" spans="2:2">
      <c r="B341"/>
    </row>
    <row r="342" spans="2:2">
      <c r="B342"/>
    </row>
    <row r="343" spans="2:2">
      <c r="B343"/>
    </row>
    <row r="344" spans="2:2">
      <c r="B344"/>
    </row>
    <row r="345" spans="2:2">
      <c r="B345"/>
    </row>
    <row r="346" spans="2:2">
      <c r="B346"/>
    </row>
    <row r="347" spans="2:2">
      <c r="B347"/>
    </row>
    <row r="348" spans="2:2">
      <c r="B348"/>
    </row>
    <row r="349" spans="2:2">
      <c r="B349"/>
    </row>
    <row r="350" spans="2:2">
      <c r="B350"/>
    </row>
    <row r="351" spans="2:2">
      <c r="B351"/>
    </row>
    <row r="352" spans="2:2">
      <c r="B352"/>
    </row>
    <row r="353" spans="2:2">
      <c r="B353"/>
    </row>
    <row r="354" spans="2:2">
      <c r="B354"/>
    </row>
    <row r="355" spans="2:2">
      <c r="B355"/>
    </row>
    <row r="356" spans="2:2">
      <c r="B356"/>
    </row>
    <row r="357" spans="2:2">
      <c r="B357"/>
    </row>
    <row r="358" spans="2:2">
      <c r="B358"/>
    </row>
    <row r="359" spans="2:2">
      <c r="B359"/>
    </row>
    <row r="360" spans="2:2">
      <c r="B360"/>
    </row>
    <row r="361" spans="2:2">
      <c r="B361"/>
    </row>
    <row r="362" spans="2:2">
      <c r="B362"/>
    </row>
    <row r="363" spans="2:2">
      <c r="B363"/>
    </row>
    <row r="364" spans="2:2">
      <c r="B364"/>
    </row>
    <row r="365" spans="2:2">
      <c r="B365"/>
    </row>
    <row r="366" spans="2:2">
      <c r="B366"/>
    </row>
    <row r="367" spans="2:2">
      <c r="B367"/>
    </row>
    <row r="368" spans="2:2">
      <c r="B368"/>
    </row>
    <row r="369" spans="2:2">
      <c r="B369"/>
    </row>
    <row r="370" spans="2:2">
      <c r="B370"/>
    </row>
    <row r="371" spans="2:2">
      <c r="B371"/>
    </row>
    <row r="372" spans="2:2">
      <c r="B372"/>
    </row>
    <row r="373" spans="2:2">
      <c r="B373"/>
    </row>
    <row r="374" spans="2:2">
      <c r="B374"/>
    </row>
    <row r="375" spans="2:2">
      <c r="B375"/>
    </row>
    <row r="376" spans="2:2">
      <c r="B376"/>
    </row>
    <row r="377" spans="2:2">
      <c r="B377"/>
    </row>
    <row r="378" spans="2:2">
      <c r="B378"/>
    </row>
    <row r="379" spans="2:2">
      <c r="B379"/>
    </row>
    <row r="380" spans="2:2">
      <c r="B380"/>
    </row>
    <row r="381" spans="2:2">
      <c r="B381"/>
    </row>
    <row r="382" spans="2:2">
      <c r="B382"/>
    </row>
    <row r="383" spans="2:2">
      <c r="B383"/>
    </row>
    <row r="384" spans="2:2">
      <c r="B384"/>
    </row>
    <row r="385" spans="2:2">
      <c r="B385"/>
    </row>
    <row r="386" spans="2:2">
      <c r="B386"/>
    </row>
    <row r="387" spans="2:2">
      <c r="B387"/>
    </row>
    <row r="388" spans="2:2">
      <c r="B388"/>
    </row>
    <row r="389" spans="2:2">
      <c r="B389"/>
    </row>
    <row r="390" spans="2:2">
      <c r="B390"/>
    </row>
    <row r="391" spans="2:2">
      <c r="B391"/>
    </row>
    <row r="392" spans="2:2">
      <c r="B392"/>
    </row>
    <row r="393" spans="2:2">
      <c r="B393"/>
    </row>
    <row r="394" spans="2:2">
      <c r="B394"/>
    </row>
    <row r="395" spans="2:2">
      <c r="B395"/>
    </row>
    <row r="396" spans="2:2">
      <c r="B396"/>
    </row>
    <row r="397" spans="2:2">
      <c r="B397"/>
    </row>
    <row r="398" spans="2:2">
      <c r="B398"/>
    </row>
    <row r="399" spans="2:2">
      <c r="B399"/>
    </row>
    <row r="400" spans="2:2">
      <c r="B400"/>
    </row>
    <row r="401" spans="2:2">
      <c r="B401"/>
    </row>
    <row r="402" spans="2:2">
      <c r="B402"/>
    </row>
    <row r="403" spans="2:2">
      <c r="B403"/>
    </row>
    <row r="404" spans="2:2">
      <c r="B404"/>
    </row>
    <row r="405" spans="2:2">
      <c r="B405"/>
    </row>
    <row r="406" spans="2:2">
      <c r="B406"/>
    </row>
    <row r="407" spans="2:2">
      <c r="B407"/>
    </row>
    <row r="408" spans="2:2">
      <c r="B408"/>
    </row>
    <row r="409" spans="2:2">
      <c r="B409"/>
    </row>
    <row r="410" spans="2:2">
      <c r="B410"/>
    </row>
    <row r="411" spans="2:2">
      <c r="B411"/>
    </row>
    <row r="412" spans="2:2">
      <c r="B412"/>
    </row>
    <row r="413" spans="2:2">
      <c r="B413"/>
    </row>
    <row r="414" spans="2:2">
      <c r="B414"/>
    </row>
    <row r="415" spans="2:2">
      <c r="B415"/>
    </row>
    <row r="416" spans="2:2">
      <c r="B416"/>
    </row>
    <row r="417" spans="2:2">
      <c r="B417"/>
    </row>
    <row r="418" spans="2:2">
      <c r="B418"/>
    </row>
    <row r="419" spans="2:2">
      <c r="B419"/>
    </row>
    <row r="420" spans="2:2">
      <c r="B420"/>
    </row>
    <row r="421" spans="2:2">
      <c r="B421"/>
    </row>
    <row r="422" spans="2:2">
      <c r="B422"/>
    </row>
    <row r="423" spans="2:2">
      <c r="B423"/>
    </row>
    <row r="424" spans="2:2">
      <c r="B424"/>
    </row>
    <row r="425" spans="2:2">
      <c r="B425"/>
    </row>
    <row r="426" spans="2:2">
      <c r="B426"/>
    </row>
    <row r="427" spans="2:2">
      <c r="B427"/>
    </row>
    <row r="428" spans="2:2">
      <c r="B428"/>
    </row>
    <row r="429" spans="2:2">
      <c r="B429"/>
    </row>
    <row r="430" spans="2:2">
      <c r="B430"/>
    </row>
    <row r="431" spans="2:2">
      <c r="B431"/>
    </row>
    <row r="432" spans="2:2">
      <c r="B432"/>
    </row>
    <row r="433" spans="2:2">
      <c r="B433"/>
    </row>
    <row r="434" spans="2:2">
      <c r="B434"/>
    </row>
    <row r="435" spans="2:2">
      <c r="B435"/>
    </row>
    <row r="436" spans="2:2">
      <c r="B436"/>
    </row>
    <row r="437" spans="2:2">
      <c r="B437"/>
    </row>
    <row r="438" spans="2:2">
      <c r="B438"/>
    </row>
    <row r="439" spans="2:2">
      <c r="B439"/>
    </row>
    <row r="440" spans="2:2">
      <c r="B440"/>
    </row>
    <row r="441" spans="2:2">
      <c r="B441"/>
    </row>
    <row r="442" spans="2:2">
      <c r="B442"/>
    </row>
    <row r="443" spans="2:2">
      <c r="B443"/>
    </row>
    <row r="444" spans="2:2">
      <c r="B444"/>
    </row>
    <row r="445" spans="2:2">
      <c r="B445"/>
    </row>
    <row r="446" spans="2:2">
      <c r="B446"/>
    </row>
    <row r="447" spans="2:2">
      <c r="B447"/>
    </row>
    <row r="448" spans="2:2">
      <c r="B448"/>
    </row>
    <row r="449" spans="2:2">
      <c r="B449"/>
    </row>
    <row r="450" spans="2:2">
      <c r="B450"/>
    </row>
    <row r="451" spans="2:2">
      <c r="B451"/>
    </row>
    <row r="452" spans="2:2">
      <c r="B452"/>
    </row>
    <row r="453" spans="2:2">
      <c r="B453"/>
    </row>
    <row r="454" spans="2:2">
      <c r="B454"/>
    </row>
    <row r="455" spans="2:2">
      <c r="B455"/>
    </row>
    <row r="456" spans="2:2">
      <c r="B456"/>
    </row>
    <row r="457" spans="2:2">
      <c r="B457"/>
    </row>
    <row r="458" spans="2:2">
      <c r="B458"/>
    </row>
    <row r="459" spans="2:2">
      <c r="B459"/>
    </row>
    <row r="460" spans="2:2">
      <c r="B460"/>
    </row>
    <row r="461" spans="2:2">
      <c r="B461"/>
    </row>
    <row r="462" spans="2:2">
      <c r="B462"/>
    </row>
    <row r="463" spans="2:2">
      <c r="B463"/>
    </row>
    <row r="464" spans="2:2">
      <c r="B464"/>
    </row>
    <row r="465" spans="2:2">
      <c r="B465"/>
    </row>
    <row r="466" spans="2:2">
      <c r="B466"/>
    </row>
    <row r="467" spans="2:2">
      <c r="B467"/>
    </row>
    <row r="468" spans="2:2">
      <c r="B468"/>
    </row>
    <row r="469" spans="2:2">
      <c r="B469"/>
    </row>
    <row r="470" spans="2:2">
      <c r="B470"/>
    </row>
    <row r="471" spans="2:2">
      <c r="B471"/>
    </row>
    <row r="472" spans="2:2">
      <c r="B472"/>
    </row>
    <row r="473" spans="2:2">
      <c r="B473"/>
    </row>
    <row r="474" spans="2:2">
      <c r="B474"/>
    </row>
    <row r="475" spans="2:2">
      <c r="B475"/>
    </row>
    <row r="476" spans="2:2">
      <c r="B476"/>
    </row>
    <row r="477" spans="2:2">
      <c r="B477"/>
    </row>
    <row r="478" spans="2:2">
      <c r="B478"/>
    </row>
    <row r="479" spans="2:2">
      <c r="B479"/>
    </row>
    <row r="480" spans="2:2">
      <c r="B480"/>
    </row>
    <row r="481" spans="2:2">
      <c r="B481"/>
    </row>
    <row r="482" spans="2:2">
      <c r="B482"/>
    </row>
    <row r="483" spans="2:2">
      <c r="B483"/>
    </row>
    <row r="484" spans="2:2">
      <c r="B484"/>
    </row>
    <row r="485" spans="2:2">
      <c r="B485"/>
    </row>
    <row r="486" spans="2:2">
      <c r="B486"/>
    </row>
    <row r="487" spans="2:2">
      <c r="B487"/>
    </row>
    <row r="488" spans="2:2">
      <c r="B488"/>
    </row>
    <row r="489" spans="2:2">
      <c r="B489"/>
    </row>
    <row r="490" spans="2:2">
      <c r="B490"/>
    </row>
    <row r="491" spans="2:2">
      <c r="B491"/>
    </row>
    <row r="492" spans="2:2">
      <c r="B492"/>
    </row>
    <row r="493" spans="2:2">
      <c r="B493"/>
    </row>
    <row r="494" spans="2:2">
      <c r="B494"/>
    </row>
    <row r="495" spans="2:2">
      <c r="B495"/>
    </row>
    <row r="496" spans="2:2">
      <c r="B496"/>
    </row>
    <row r="497" spans="2:2">
      <c r="B497"/>
    </row>
    <row r="498" spans="2:2">
      <c r="B498"/>
    </row>
    <row r="499" spans="2:2">
      <c r="B499"/>
    </row>
    <row r="500" spans="2:2">
      <c r="B500"/>
    </row>
    <row r="501" spans="2:2">
      <c r="B501"/>
    </row>
    <row r="502" spans="2:2">
      <c r="B502"/>
    </row>
    <row r="503" spans="2:2">
      <c r="B503"/>
    </row>
    <row r="504" spans="2:2">
      <c r="B504"/>
    </row>
    <row r="505" spans="2:2">
      <c r="B505"/>
    </row>
    <row r="506" spans="2:2">
      <c r="B506"/>
    </row>
    <row r="507" spans="2:2">
      <c r="B507"/>
    </row>
    <row r="508" spans="2:2">
      <c r="B508"/>
    </row>
    <row r="509" spans="2:2">
      <c r="B509"/>
    </row>
    <row r="510" spans="2:2">
      <c r="B510"/>
    </row>
    <row r="511" spans="2:2">
      <c r="B511"/>
    </row>
    <row r="512" spans="2:2">
      <c r="B512"/>
    </row>
    <row r="513" spans="2:2">
      <c r="B513"/>
    </row>
    <row r="514" spans="2:2">
      <c r="B514"/>
    </row>
    <row r="515" spans="2:2">
      <c r="B515"/>
    </row>
    <row r="516" spans="2:2">
      <c r="B516"/>
    </row>
    <row r="517" spans="2:2">
      <c r="B517"/>
    </row>
    <row r="518" spans="2:2">
      <c r="B518"/>
    </row>
    <row r="519" spans="2:2">
      <c r="B519"/>
    </row>
    <row r="520" spans="2:2">
      <c r="B520"/>
    </row>
    <row r="521" spans="2:2">
      <c r="B521"/>
    </row>
    <row r="522" spans="2:2">
      <c r="B522"/>
    </row>
    <row r="523" spans="2:2">
      <c r="B523"/>
    </row>
    <row r="524" spans="2:2">
      <c r="B524"/>
    </row>
    <row r="525" spans="2:2">
      <c r="B525"/>
    </row>
    <row r="526" spans="2:2">
      <c r="B526"/>
    </row>
    <row r="527" spans="2:2">
      <c r="B527"/>
    </row>
    <row r="528" spans="2:2">
      <c r="B528"/>
    </row>
    <row r="529" spans="2:2">
      <c r="B529"/>
    </row>
    <row r="530" spans="2:2">
      <c r="B530"/>
    </row>
    <row r="531" spans="2:2">
      <c r="B531"/>
    </row>
    <row r="532" spans="2:2">
      <c r="B532"/>
    </row>
    <row r="533" spans="2:2">
      <c r="B533"/>
    </row>
    <row r="534" spans="2:2">
      <c r="B534"/>
    </row>
    <row r="535" spans="2:2">
      <c r="B535"/>
    </row>
    <row r="536" spans="2:2">
      <c r="B536"/>
    </row>
    <row r="537" spans="2:2">
      <c r="B537"/>
    </row>
    <row r="538" spans="2:2">
      <c r="B538"/>
    </row>
    <row r="539" spans="2:2">
      <c r="B539"/>
    </row>
    <row r="540" spans="2:2">
      <c r="B540"/>
    </row>
    <row r="541" spans="2:2">
      <c r="B541"/>
    </row>
    <row r="542" spans="2:2">
      <c r="B542"/>
    </row>
    <row r="543" spans="2:2">
      <c r="B543"/>
    </row>
    <row r="544" spans="2:2">
      <c r="B544"/>
    </row>
    <row r="545" spans="2:2">
      <c r="B545"/>
    </row>
    <row r="546" spans="2:2">
      <c r="B546"/>
    </row>
    <row r="547" spans="2:2">
      <c r="B547"/>
    </row>
    <row r="548" spans="2:2">
      <c r="B548"/>
    </row>
    <row r="549" spans="2:2">
      <c r="B549"/>
    </row>
    <row r="550" spans="2:2">
      <c r="B550"/>
    </row>
    <row r="551" spans="2:2">
      <c r="B551"/>
    </row>
    <row r="552" spans="2:2">
      <c r="B552"/>
    </row>
    <row r="553" spans="2:2">
      <c r="B553"/>
    </row>
    <row r="554" spans="2:2">
      <c r="B554"/>
    </row>
    <row r="555" spans="2:2">
      <c r="B555"/>
    </row>
    <row r="556" spans="2:2">
      <c r="B556"/>
    </row>
    <row r="557" spans="2:2">
      <c r="B557"/>
    </row>
    <row r="558" spans="2:2">
      <c r="B558"/>
    </row>
    <row r="559" spans="2:2">
      <c r="B559"/>
    </row>
    <row r="560" spans="2:2">
      <c r="B560"/>
    </row>
    <row r="561" spans="2:2">
      <c r="B561"/>
    </row>
    <row r="562" spans="2:2">
      <c r="B562"/>
    </row>
    <row r="563" spans="2:2">
      <c r="B563"/>
    </row>
    <row r="564" spans="2:2">
      <c r="B564"/>
    </row>
    <row r="565" spans="2:2">
      <c r="B565"/>
    </row>
    <row r="566" spans="2:2">
      <c r="B566"/>
    </row>
    <row r="567" spans="2:2">
      <c r="B567"/>
    </row>
    <row r="568" spans="2:2">
      <c r="B568"/>
    </row>
    <row r="569" spans="2:2">
      <c r="B569"/>
    </row>
    <row r="570" spans="2:2">
      <c r="B570"/>
    </row>
    <row r="571" spans="2:2">
      <c r="B571"/>
    </row>
    <row r="572" spans="2:2">
      <c r="B572"/>
    </row>
    <row r="573" spans="2:2">
      <c r="B573"/>
    </row>
    <row r="574" spans="2:2">
      <c r="B574"/>
    </row>
    <row r="575" spans="2:2">
      <c r="B575"/>
    </row>
    <row r="576" spans="2:2">
      <c r="B576"/>
    </row>
    <row r="577" spans="2:2">
      <c r="B577"/>
    </row>
    <row r="578" spans="2:2">
      <c r="B578"/>
    </row>
    <row r="579" spans="2:2">
      <c r="B579"/>
    </row>
    <row r="580" spans="2:2">
      <c r="B580"/>
    </row>
    <row r="581" spans="2:2">
      <c r="B581"/>
    </row>
    <row r="582" spans="2:2">
      <c r="B582"/>
    </row>
    <row r="583" spans="2:2">
      <c r="B583"/>
    </row>
    <row r="584" spans="2:2">
      <c r="B584"/>
    </row>
    <row r="585" spans="2:2">
      <c r="B585"/>
    </row>
    <row r="586" spans="2:2">
      <c r="B586"/>
    </row>
    <row r="587" spans="2:2">
      <c r="B587"/>
    </row>
    <row r="588" spans="2:2">
      <c r="B588"/>
    </row>
    <row r="589" spans="2:2">
      <c r="B589"/>
    </row>
    <row r="590" spans="2:2">
      <c r="B590"/>
    </row>
    <row r="591" spans="2:2">
      <c r="B591"/>
    </row>
    <row r="592" spans="2:2">
      <c r="B592"/>
    </row>
    <row r="593" spans="2:2">
      <c r="B593"/>
    </row>
    <row r="594" spans="2:2">
      <c r="B594"/>
    </row>
    <row r="595" spans="2:2">
      <c r="B595"/>
    </row>
    <row r="596" spans="2:2">
      <c r="B596"/>
    </row>
    <row r="597" spans="2:2">
      <c r="B597"/>
    </row>
    <row r="598" spans="2:2">
      <c r="B598"/>
    </row>
    <row r="599" spans="2:2">
      <c r="B599"/>
    </row>
    <row r="600" spans="2:2">
      <c r="B600"/>
    </row>
    <row r="601" spans="2:2">
      <c r="B601"/>
    </row>
    <row r="602" spans="2:2">
      <c r="B602"/>
    </row>
    <row r="603" spans="2:2">
      <c r="B603"/>
    </row>
    <row r="604" spans="2:2">
      <c r="B604"/>
    </row>
    <row r="605" spans="2:2">
      <c r="B605"/>
    </row>
    <row r="606" spans="2:2">
      <c r="B606"/>
    </row>
    <row r="607" spans="2:2">
      <c r="B607"/>
    </row>
    <row r="608" spans="2:2">
      <c r="B608"/>
    </row>
    <row r="609" spans="2:2">
      <c r="B609"/>
    </row>
    <row r="610" spans="2:2">
      <c r="B610"/>
    </row>
    <row r="611" spans="2:2">
      <c r="B611"/>
    </row>
    <row r="612" spans="2:2">
      <c r="B612"/>
    </row>
    <row r="613" spans="2:2">
      <c r="B613"/>
    </row>
    <row r="614" spans="2:2">
      <c r="B614"/>
    </row>
    <row r="615" spans="2:2">
      <c r="B615"/>
    </row>
    <row r="616" spans="2:2">
      <c r="B616"/>
    </row>
    <row r="617" spans="2:2">
      <c r="B617"/>
    </row>
    <row r="618" spans="2:2">
      <c r="B618"/>
    </row>
    <row r="619" spans="2:2">
      <c r="B619"/>
    </row>
    <row r="620" spans="2:2">
      <c r="B620"/>
    </row>
    <row r="621" spans="2:2">
      <c r="B621"/>
    </row>
    <row r="622" spans="2:2">
      <c r="B622"/>
    </row>
    <row r="623" spans="2:2">
      <c r="B623"/>
    </row>
    <row r="624" spans="2:2">
      <c r="B624"/>
    </row>
    <row r="625" spans="2:2">
      <c r="B625"/>
    </row>
    <row r="626" spans="2:2">
      <c r="B626"/>
    </row>
    <row r="627" spans="2:2">
      <c r="B627"/>
    </row>
    <row r="628" spans="2:2">
      <c r="B628"/>
    </row>
    <row r="629" spans="2:2">
      <c r="B629"/>
    </row>
    <row r="630" spans="2:2">
      <c r="B630"/>
    </row>
    <row r="631" spans="2:2">
      <c r="B631"/>
    </row>
    <row r="632" spans="2:2">
      <c r="B632"/>
    </row>
    <row r="633" spans="2:2">
      <c r="B633"/>
    </row>
    <row r="634" spans="2:2">
      <c r="B634"/>
    </row>
    <row r="635" spans="2:2">
      <c r="B635"/>
    </row>
    <row r="636" spans="2:2">
      <c r="B636"/>
    </row>
    <row r="637" spans="2:2">
      <c r="B637"/>
    </row>
    <row r="638" spans="2:2">
      <c r="B638"/>
    </row>
    <row r="639" spans="2:2">
      <c r="B639"/>
    </row>
    <row r="640" spans="2:2">
      <c r="B640"/>
    </row>
    <row r="641" spans="2:2">
      <c r="B641"/>
    </row>
    <row r="642" spans="2:2">
      <c r="B642"/>
    </row>
    <row r="643" spans="2:2">
      <c r="B643"/>
    </row>
    <row r="644" spans="2:2">
      <c r="B644"/>
    </row>
    <row r="645" spans="2:2">
      <c r="B645"/>
    </row>
    <row r="646" spans="2:2">
      <c r="B646"/>
    </row>
    <row r="647" spans="2:2">
      <c r="B647"/>
    </row>
    <row r="648" spans="2:2">
      <c r="B648"/>
    </row>
    <row r="649" spans="2:2">
      <c r="B649"/>
    </row>
    <row r="650" spans="2:2">
      <c r="B650"/>
    </row>
    <row r="651" spans="2:2">
      <c r="B651"/>
    </row>
    <row r="652" spans="2:2">
      <c r="B652"/>
    </row>
    <row r="653" spans="2:2">
      <c r="B653"/>
    </row>
    <row r="654" spans="2:2">
      <c r="B654"/>
    </row>
    <row r="655" spans="2:2">
      <c r="B655"/>
    </row>
    <row r="656" spans="2:2">
      <c r="B656"/>
    </row>
    <row r="657" spans="2:2">
      <c r="B657"/>
    </row>
    <row r="658" spans="2:2">
      <c r="B658"/>
    </row>
    <row r="659" spans="2:2">
      <c r="B659"/>
    </row>
    <row r="660" spans="2:2">
      <c r="B660"/>
    </row>
    <row r="661" spans="2:2">
      <c r="B661"/>
    </row>
    <row r="662" spans="2:2">
      <c r="B662"/>
    </row>
    <row r="663" spans="2:2">
      <c r="B663"/>
    </row>
    <row r="664" spans="2:2">
      <c r="B664"/>
    </row>
    <row r="665" spans="2:2">
      <c r="B665"/>
    </row>
    <row r="666" spans="2:2">
      <c r="B666"/>
    </row>
    <row r="667" spans="2:2">
      <c r="B667"/>
    </row>
    <row r="668" spans="2:2">
      <c r="B668"/>
    </row>
    <row r="669" spans="2:2">
      <c r="B669"/>
    </row>
    <row r="670" spans="2:2">
      <c r="B670"/>
    </row>
    <row r="671" spans="2:2">
      <c r="B671"/>
    </row>
    <row r="672" spans="2:2">
      <c r="B672"/>
    </row>
    <row r="673" spans="2:2">
      <c r="B673"/>
    </row>
    <row r="674" spans="2:2">
      <c r="B674"/>
    </row>
    <row r="675" spans="2:2">
      <c r="B675"/>
    </row>
    <row r="676" spans="2:2">
      <c r="B676"/>
    </row>
    <row r="677" spans="2:2">
      <c r="B677"/>
    </row>
    <row r="678" spans="2:2">
      <c r="B678"/>
    </row>
    <row r="679" spans="2:2">
      <c r="B679"/>
    </row>
    <row r="680" spans="2:2">
      <c r="B680"/>
    </row>
    <row r="681" spans="2:2">
      <c r="B681"/>
    </row>
    <row r="682" spans="2:2">
      <c r="B682"/>
    </row>
    <row r="683" spans="2:2">
      <c r="B683"/>
    </row>
    <row r="684" spans="2:2">
      <c r="B684"/>
    </row>
    <row r="685" spans="2:2">
      <c r="B685"/>
    </row>
    <row r="686" spans="2:2">
      <c r="B686"/>
    </row>
    <row r="687" spans="2:2">
      <c r="B687"/>
    </row>
    <row r="688" spans="2:2">
      <c r="B688"/>
    </row>
    <row r="689" spans="2:2">
      <c r="B689"/>
    </row>
    <row r="690" spans="2:2">
      <c r="B690"/>
    </row>
    <row r="691" spans="2:2">
      <c r="B691"/>
    </row>
    <row r="692" spans="2:2">
      <c r="B692"/>
    </row>
    <row r="693" spans="2:2">
      <c r="B693"/>
    </row>
    <row r="694" spans="2:2">
      <c r="B694"/>
    </row>
    <row r="695" spans="2:2">
      <c r="B695"/>
    </row>
    <row r="696" spans="2:2">
      <c r="B696"/>
    </row>
    <row r="697" spans="2:2">
      <c r="B697"/>
    </row>
    <row r="698" spans="2:2">
      <c r="B698"/>
    </row>
    <row r="699" spans="2:2">
      <c r="B699"/>
    </row>
    <row r="700" spans="2:2">
      <c r="B700"/>
    </row>
    <row r="701" spans="2:2">
      <c r="B701"/>
    </row>
    <row r="702" spans="2:2">
      <c r="B702"/>
    </row>
    <row r="703" spans="2:2">
      <c r="B703"/>
    </row>
    <row r="704" spans="2:2">
      <c r="B704"/>
    </row>
    <row r="705" spans="2:2">
      <c r="B705"/>
    </row>
    <row r="706" spans="2:2">
      <c r="B706"/>
    </row>
    <row r="707" spans="2:2">
      <c r="B707"/>
    </row>
    <row r="708" spans="2:2">
      <c r="B708"/>
    </row>
    <row r="709" spans="2:2">
      <c r="B709"/>
    </row>
    <row r="710" spans="2:2">
      <c r="B710"/>
    </row>
    <row r="711" spans="2:2">
      <c r="B711"/>
    </row>
    <row r="712" spans="2:2">
      <c r="B712"/>
    </row>
    <row r="713" spans="2:2">
      <c r="B713"/>
    </row>
    <row r="714" spans="2:2">
      <c r="B714"/>
    </row>
    <row r="715" spans="2:2">
      <c r="B715"/>
    </row>
    <row r="716" spans="2:2">
      <c r="B716"/>
    </row>
    <row r="717" spans="2:2">
      <c r="B717"/>
    </row>
    <row r="718" spans="2:2">
      <c r="B718"/>
    </row>
    <row r="719" spans="2:2">
      <c r="B719"/>
    </row>
    <row r="720" spans="2:2">
      <c r="B720"/>
    </row>
    <row r="721" spans="2:2">
      <c r="B721"/>
    </row>
    <row r="722" spans="2:2">
      <c r="B722"/>
    </row>
    <row r="723" spans="2:2">
      <c r="B723"/>
    </row>
    <row r="724" spans="2:2">
      <c r="B724"/>
    </row>
    <row r="725" spans="2:2">
      <c r="B725"/>
    </row>
    <row r="726" spans="2:2">
      <c r="B726"/>
    </row>
    <row r="727" spans="2:2">
      <c r="B727"/>
    </row>
    <row r="728" spans="2:2">
      <c r="B728"/>
    </row>
    <row r="729" spans="2:2">
      <c r="B729"/>
    </row>
    <row r="730" spans="2:2">
      <c r="B730"/>
    </row>
    <row r="731" spans="2:2">
      <c r="B731"/>
    </row>
    <row r="732" spans="2:2">
      <c r="B732"/>
    </row>
    <row r="733" spans="2:2">
      <c r="B733"/>
    </row>
    <row r="734" spans="2:2">
      <c r="B734"/>
    </row>
    <row r="735" spans="2:2">
      <c r="B735"/>
    </row>
    <row r="736" spans="2:2">
      <c r="B736"/>
    </row>
    <row r="737" spans="2:2">
      <c r="B737"/>
    </row>
    <row r="738" spans="2:2">
      <c r="B738"/>
    </row>
    <row r="739" spans="2:2">
      <c r="B739"/>
    </row>
    <row r="740" spans="2:2">
      <c r="B740"/>
    </row>
    <row r="741" spans="2:2">
      <c r="B741"/>
    </row>
    <row r="742" spans="2:2">
      <c r="B742"/>
    </row>
    <row r="743" spans="2:2">
      <c r="B743"/>
    </row>
    <row r="744" spans="2:2">
      <c r="B744"/>
    </row>
    <row r="745" spans="2:2">
      <c r="B745"/>
    </row>
    <row r="746" spans="2:2">
      <c r="B746"/>
    </row>
    <row r="747" spans="2:2">
      <c r="B747"/>
    </row>
    <row r="748" spans="2:2">
      <c r="B748"/>
    </row>
    <row r="749" spans="2:2">
      <c r="B749"/>
    </row>
    <row r="750" spans="2:2">
      <c r="B750"/>
    </row>
    <row r="751" spans="2:2">
      <c r="B751"/>
    </row>
    <row r="752" spans="2:2">
      <c r="B752"/>
    </row>
    <row r="753" spans="2:2">
      <c r="B753"/>
    </row>
    <row r="754" spans="2:2">
      <c r="B754"/>
    </row>
    <row r="755" spans="2:2">
      <c r="B755"/>
    </row>
    <row r="756" spans="2:2">
      <c r="B756"/>
    </row>
    <row r="757" spans="2:2">
      <c r="B757"/>
    </row>
    <row r="758" spans="2:2">
      <c r="B758"/>
    </row>
    <row r="759" spans="2:2">
      <c r="B759"/>
    </row>
    <row r="760" spans="2:2">
      <c r="B760"/>
    </row>
    <row r="761" spans="2:2">
      <c r="B761"/>
    </row>
    <row r="762" spans="2:2">
      <c r="B762"/>
    </row>
    <row r="763" spans="2:2">
      <c r="B763"/>
    </row>
    <row r="764" spans="2:2">
      <c r="B764"/>
    </row>
    <row r="765" spans="2:2">
      <c r="B765"/>
    </row>
    <row r="766" spans="2:2">
      <c r="B766"/>
    </row>
    <row r="767" spans="2:2">
      <c r="B767"/>
    </row>
    <row r="768" spans="2:2">
      <c r="B768"/>
    </row>
    <row r="769" spans="2:2">
      <c r="B769"/>
    </row>
    <row r="770" spans="2:2">
      <c r="B770"/>
    </row>
    <row r="771" spans="2:2">
      <c r="B771"/>
    </row>
    <row r="772" spans="2:2">
      <c r="B772"/>
    </row>
    <row r="773" spans="2:2">
      <c r="B773"/>
    </row>
    <row r="774" spans="2:2">
      <c r="B774"/>
    </row>
    <row r="775" spans="2:2">
      <c r="B775"/>
    </row>
    <row r="776" spans="2:2">
      <c r="B776"/>
    </row>
    <row r="777" spans="2:2">
      <c r="B777"/>
    </row>
    <row r="778" spans="2:2">
      <c r="B778"/>
    </row>
    <row r="779" spans="2:2">
      <c r="B779"/>
    </row>
    <row r="780" spans="2:2">
      <c r="B780"/>
    </row>
    <row r="781" spans="2:2">
      <c r="B781"/>
    </row>
    <row r="782" spans="2:2">
      <c r="B782"/>
    </row>
    <row r="783" spans="2:2">
      <c r="B783"/>
    </row>
    <row r="784" spans="2:2">
      <c r="B784"/>
    </row>
    <row r="785" spans="2:2">
      <c r="B785"/>
    </row>
    <row r="786" spans="2:2">
      <c r="B786"/>
    </row>
    <row r="787" spans="2:2">
      <c r="B787"/>
    </row>
    <row r="788" spans="2:2">
      <c r="B788"/>
    </row>
    <row r="789" spans="2:2">
      <c r="B789"/>
    </row>
    <row r="790" spans="2:2">
      <c r="B790"/>
    </row>
    <row r="791" spans="2:2">
      <c r="B791"/>
    </row>
    <row r="792" spans="2:2">
      <c r="B792"/>
    </row>
    <row r="793" spans="2:2">
      <c r="B793"/>
    </row>
    <row r="794" spans="2:2">
      <c r="B794"/>
    </row>
    <row r="795" spans="2:2">
      <c r="B795"/>
    </row>
    <row r="796" spans="2:2">
      <c r="B796"/>
    </row>
    <row r="797" spans="2:2">
      <c r="B797"/>
    </row>
    <row r="798" spans="2:2">
      <c r="B798"/>
    </row>
    <row r="799" spans="2:2">
      <c r="B799"/>
    </row>
    <row r="800" spans="2:2">
      <c r="B800"/>
    </row>
    <row r="801" spans="2:2">
      <c r="B801"/>
    </row>
    <row r="802" spans="2:2">
      <c r="B802"/>
    </row>
    <row r="803" spans="2:2">
      <c r="B803"/>
    </row>
    <row r="804" spans="2:2">
      <c r="B804"/>
    </row>
    <row r="805" spans="2:2">
      <c r="B805"/>
    </row>
    <row r="806" spans="2:2">
      <c r="B806"/>
    </row>
    <row r="807" spans="2:2">
      <c r="B807"/>
    </row>
    <row r="808" spans="2:2">
      <c r="B808"/>
    </row>
    <row r="809" spans="2:2">
      <c r="B809"/>
    </row>
    <row r="810" spans="2:2">
      <c r="B810"/>
    </row>
    <row r="811" spans="2:2">
      <c r="B811"/>
    </row>
    <row r="812" spans="2:2">
      <c r="B812"/>
    </row>
    <row r="813" spans="2:2">
      <c r="B813"/>
    </row>
    <row r="814" spans="2:2">
      <c r="B814"/>
    </row>
    <row r="815" spans="2:2">
      <c r="B815"/>
    </row>
    <row r="816" spans="2:2">
      <c r="B816"/>
    </row>
    <row r="817" spans="2:2">
      <c r="B817"/>
    </row>
    <row r="818" spans="2:2">
      <c r="B818"/>
    </row>
    <row r="819" spans="2:2">
      <c r="B819"/>
    </row>
    <row r="820" spans="2:2">
      <c r="B820"/>
    </row>
    <row r="821" spans="2:2">
      <c r="B821"/>
    </row>
    <row r="822" spans="2:2">
      <c r="B822"/>
    </row>
    <row r="823" spans="2:2">
      <c r="B823"/>
    </row>
    <row r="824" spans="2:2">
      <c r="B824"/>
    </row>
    <row r="825" spans="2:2">
      <c r="B825"/>
    </row>
    <row r="826" spans="2:2">
      <c r="B826"/>
    </row>
    <row r="827" spans="2:2">
      <c r="B827"/>
    </row>
    <row r="828" spans="2:2">
      <c r="B828"/>
    </row>
    <row r="829" spans="2:2">
      <c r="B829"/>
    </row>
    <row r="830" spans="2:2">
      <c r="B830"/>
    </row>
    <row r="831" spans="2:2">
      <c r="B831"/>
    </row>
    <row r="832" spans="2:2">
      <c r="B832"/>
    </row>
    <row r="833" spans="2:2">
      <c r="B833"/>
    </row>
    <row r="834" spans="2:2">
      <c r="B834"/>
    </row>
    <row r="835" spans="2:2">
      <c r="B835"/>
    </row>
    <row r="836" spans="2:2">
      <c r="B836"/>
    </row>
    <row r="837" spans="2:2">
      <c r="B837"/>
    </row>
    <row r="838" spans="2:2">
      <c r="B838"/>
    </row>
    <row r="839" spans="2:2">
      <c r="B839"/>
    </row>
    <row r="840" spans="2:2">
      <c r="B840"/>
    </row>
    <row r="841" spans="2:2">
      <c r="B841"/>
    </row>
    <row r="842" spans="2:2">
      <c r="B842"/>
    </row>
    <row r="843" spans="2:2">
      <c r="B843"/>
    </row>
    <row r="844" spans="2:2">
      <c r="B844"/>
    </row>
    <row r="845" spans="2:2">
      <c r="B845"/>
    </row>
    <row r="846" spans="2:2">
      <c r="B846"/>
    </row>
    <row r="847" spans="2:2">
      <c r="B847"/>
    </row>
    <row r="848" spans="2:2">
      <c r="B848"/>
    </row>
    <row r="849" spans="2:2">
      <c r="B849"/>
    </row>
    <row r="850" spans="2:2">
      <c r="B850"/>
    </row>
    <row r="851" spans="2:2">
      <c r="B851"/>
    </row>
    <row r="852" spans="2:2">
      <c r="B852"/>
    </row>
    <row r="853" spans="2:2">
      <c r="B853"/>
    </row>
    <row r="854" spans="2:2">
      <c r="B854"/>
    </row>
    <row r="855" spans="2:2">
      <c r="B855"/>
    </row>
    <row r="856" spans="2:2">
      <c r="B856"/>
    </row>
    <row r="857" spans="2:2">
      <c r="B857"/>
    </row>
    <row r="858" spans="2:2">
      <c r="B858"/>
    </row>
    <row r="859" spans="2:2">
      <c r="B859"/>
    </row>
    <row r="860" spans="2:2">
      <c r="B860"/>
    </row>
    <row r="861" spans="2:2">
      <c r="B861"/>
    </row>
    <row r="862" spans="2:2">
      <c r="B862"/>
    </row>
    <row r="863" spans="2:2">
      <c r="B863"/>
    </row>
    <row r="864" spans="2:2">
      <c r="B864"/>
    </row>
    <row r="865" spans="2:2">
      <c r="B865"/>
    </row>
    <row r="866" spans="2:2">
      <c r="B866"/>
    </row>
    <row r="867" spans="2:2">
      <c r="B867"/>
    </row>
    <row r="868" spans="2:2">
      <c r="B868"/>
    </row>
    <row r="869" spans="2:2">
      <c r="B869"/>
    </row>
    <row r="870" spans="2:2">
      <c r="B870"/>
    </row>
    <row r="871" spans="2:2">
      <c r="B871"/>
    </row>
    <row r="872" spans="2:2">
      <c r="B872"/>
    </row>
    <row r="873" spans="2:2">
      <c r="B873"/>
    </row>
    <row r="874" spans="2:2">
      <c r="B874"/>
    </row>
    <row r="875" spans="2:2">
      <c r="B875"/>
    </row>
    <row r="876" spans="2:2">
      <c r="B876"/>
    </row>
    <row r="877" spans="2:2">
      <c r="B877"/>
    </row>
    <row r="878" spans="2:2">
      <c r="B878"/>
    </row>
    <row r="879" spans="2:2">
      <c r="B879"/>
    </row>
    <row r="880" spans="2:2">
      <c r="B880"/>
    </row>
    <row r="881" spans="2:2">
      <c r="B881"/>
    </row>
    <row r="882" spans="2:2">
      <c r="B882"/>
    </row>
    <row r="883" spans="2:2">
      <c r="B883"/>
    </row>
    <row r="884" spans="2:2">
      <c r="B884"/>
    </row>
    <row r="885" spans="2:2">
      <c r="B885"/>
    </row>
    <row r="886" spans="2:2">
      <c r="B886"/>
    </row>
    <row r="887" spans="2:2">
      <c r="B887"/>
    </row>
    <row r="888" spans="2:2">
      <c r="B888"/>
    </row>
    <row r="889" spans="2:2">
      <c r="B889"/>
    </row>
    <row r="890" spans="2:2">
      <c r="B890"/>
    </row>
    <row r="891" spans="2:2">
      <c r="B891"/>
    </row>
    <row r="892" spans="2:2">
      <c r="B892"/>
    </row>
    <row r="893" spans="2:2">
      <c r="B893"/>
    </row>
    <row r="894" spans="2:2">
      <c r="B894"/>
    </row>
    <row r="895" spans="2:2">
      <c r="B895"/>
    </row>
    <row r="896" spans="2:2">
      <c r="B896"/>
    </row>
    <row r="897" spans="2:2">
      <c r="B897"/>
    </row>
    <row r="898" spans="2:2">
      <c r="B898"/>
    </row>
    <row r="899" spans="2:2">
      <c r="B899"/>
    </row>
    <row r="900" spans="2:2">
      <c r="B900"/>
    </row>
    <row r="901" spans="2:2">
      <c r="B901"/>
    </row>
    <row r="902" spans="2:2">
      <c r="B902"/>
    </row>
    <row r="903" spans="2:2">
      <c r="B903"/>
    </row>
    <row r="904" spans="2:2">
      <c r="B904"/>
    </row>
    <row r="905" spans="2:2">
      <c r="B905"/>
    </row>
    <row r="906" spans="2:2">
      <c r="B906"/>
    </row>
    <row r="907" spans="2:2">
      <c r="B907"/>
    </row>
    <row r="908" spans="2:2">
      <c r="B908"/>
    </row>
    <row r="909" spans="2:2">
      <c r="B909"/>
    </row>
    <row r="910" spans="2:2">
      <c r="B910"/>
    </row>
    <row r="911" spans="2:2">
      <c r="B911"/>
    </row>
    <row r="912" spans="2:2">
      <c r="B912"/>
    </row>
    <row r="913" spans="2:2">
      <c r="B913"/>
    </row>
    <row r="914" spans="2:2">
      <c r="B914"/>
    </row>
    <row r="915" spans="2:2">
      <c r="B915"/>
    </row>
    <row r="916" spans="2:2">
      <c r="B916"/>
    </row>
    <row r="917" spans="2:2">
      <c r="B917"/>
    </row>
    <row r="918" spans="2:2">
      <c r="B918"/>
    </row>
    <row r="919" spans="2:2">
      <c r="B919"/>
    </row>
    <row r="920" spans="2:2">
      <c r="B920"/>
    </row>
    <row r="921" spans="2:2">
      <c r="B921"/>
    </row>
    <row r="922" spans="2:2">
      <c r="B922"/>
    </row>
    <row r="923" spans="2:2">
      <c r="B923"/>
    </row>
    <row r="924" spans="2:2">
      <c r="B924"/>
    </row>
    <row r="925" spans="2:2">
      <c r="B925"/>
    </row>
    <row r="926" spans="2:2">
      <c r="B926"/>
    </row>
    <row r="927" spans="2:2">
      <c r="B927"/>
    </row>
    <row r="928" spans="2:2">
      <c r="B928"/>
    </row>
    <row r="929" spans="2:2">
      <c r="B929"/>
    </row>
    <row r="930" spans="2:2">
      <c r="B930"/>
    </row>
    <row r="931" spans="2:2">
      <c r="B931"/>
    </row>
    <row r="932" spans="2:2">
      <c r="B932"/>
    </row>
    <row r="933" spans="2:2">
      <c r="B933"/>
    </row>
    <row r="934" spans="2:2">
      <c r="B934"/>
    </row>
    <row r="935" spans="2:2">
      <c r="B935"/>
    </row>
    <row r="936" spans="2:2">
      <c r="B936"/>
    </row>
    <row r="937" spans="2:2">
      <c r="B937"/>
    </row>
    <row r="938" spans="2:2">
      <c r="B938"/>
    </row>
    <row r="939" spans="2:2">
      <c r="B939"/>
    </row>
    <row r="940" spans="2:2">
      <c r="B940"/>
    </row>
    <row r="941" spans="2:2">
      <c r="B941"/>
    </row>
    <row r="942" spans="2:2">
      <c r="B942"/>
    </row>
    <row r="943" spans="2:2">
      <c r="B943"/>
    </row>
    <row r="944" spans="2:2">
      <c r="B944"/>
    </row>
    <row r="945" spans="2:2">
      <c r="B945"/>
    </row>
    <row r="946" spans="2:2">
      <c r="B946"/>
    </row>
    <row r="947" spans="2:2">
      <c r="B947"/>
    </row>
    <row r="948" spans="2:2">
      <c r="B948"/>
    </row>
    <row r="949" spans="2:2">
      <c r="B949"/>
    </row>
    <row r="950" spans="2:2">
      <c r="B950"/>
    </row>
    <row r="951" spans="2:2">
      <c r="B951"/>
    </row>
    <row r="952" spans="2:2">
      <c r="B952"/>
    </row>
    <row r="953" spans="2:2">
      <c r="B953"/>
    </row>
    <row r="954" spans="2:2">
      <c r="B954"/>
    </row>
    <row r="955" spans="2:2">
      <c r="B955"/>
    </row>
    <row r="956" spans="2:2">
      <c r="B956"/>
    </row>
    <row r="957" spans="2:2">
      <c r="B957"/>
    </row>
    <row r="958" spans="2:2">
      <c r="B958"/>
    </row>
    <row r="959" spans="2:2">
      <c r="B959"/>
    </row>
    <row r="960" spans="2:2">
      <c r="B960"/>
    </row>
    <row r="961" spans="2:2">
      <c r="B961"/>
    </row>
    <row r="962" spans="2:2">
      <c r="B962"/>
    </row>
    <row r="963" spans="2:2">
      <c r="B963"/>
    </row>
    <row r="964" spans="2:2">
      <c r="B964"/>
    </row>
    <row r="965" spans="2:2">
      <c r="B965"/>
    </row>
    <row r="966" spans="2:2">
      <c r="B966"/>
    </row>
    <row r="967" spans="2:2">
      <c r="B967"/>
    </row>
    <row r="968" spans="2:2">
      <c r="B968"/>
    </row>
    <row r="969" spans="2:2">
      <c r="B969"/>
    </row>
    <row r="970" spans="2:2">
      <c r="B970"/>
    </row>
    <row r="971" spans="2:2">
      <c r="B971"/>
    </row>
    <row r="972" spans="2:2">
      <c r="B972"/>
    </row>
    <row r="973" spans="2:2">
      <c r="B973"/>
    </row>
    <row r="974" spans="2:2">
      <c r="B974"/>
    </row>
    <row r="975" spans="2:2">
      <c r="B975"/>
    </row>
    <row r="976" spans="2:2">
      <c r="B976"/>
    </row>
    <row r="977" spans="2:2">
      <c r="B977"/>
    </row>
    <row r="978" spans="2:2">
      <c r="B978"/>
    </row>
    <row r="979" spans="2:2">
      <c r="B979"/>
    </row>
    <row r="980" spans="2:2">
      <c r="B980"/>
    </row>
    <row r="981" spans="2:2">
      <c r="B981"/>
    </row>
    <row r="982" spans="2:2">
      <c r="B982"/>
    </row>
    <row r="983" spans="2:2">
      <c r="B983"/>
    </row>
    <row r="984" spans="2:2">
      <c r="B984"/>
    </row>
    <row r="985" spans="2:2">
      <c r="B985"/>
    </row>
    <row r="986" spans="2:2">
      <c r="B986"/>
    </row>
    <row r="987" spans="2:2">
      <c r="B987"/>
    </row>
    <row r="988" spans="2:2">
      <c r="B988"/>
    </row>
    <row r="989" spans="2:2">
      <c r="B989"/>
    </row>
    <row r="990" spans="2:2">
      <c r="B990"/>
    </row>
    <row r="991" spans="2:2">
      <c r="B991"/>
    </row>
    <row r="992" spans="2:2">
      <c r="B992"/>
    </row>
    <row r="993" spans="2:2">
      <c r="B993"/>
    </row>
    <row r="994" spans="2:2">
      <c r="B994"/>
    </row>
    <row r="995" spans="2:2">
      <c r="B995"/>
    </row>
    <row r="996" spans="2:2">
      <c r="B996"/>
    </row>
    <row r="997" spans="2:2">
      <c r="B997"/>
    </row>
    <row r="998" spans="2:2">
      <c r="B998"/>
    </row>
    <row r="999" spans="2:2">
      <c r="B999"/>
    </row>
    <row r="1000" spans="2:2">
      <c r="B1000"/>
    </row>
    <row r="1001" spans="2:2">
      <c r="B1001"/>
    </row>
    <row r="1002" spans="2:2">
      <c r="B1002"/>
    </row>
    <row r="1003" spans="2:2">
      <c r="B1003"/>
    </row>
    <row r="1004" spans="2:2">
      <c r="B1004"/>
    </row>
    <row r="1005" spans="2:2">
      <c r="B1005"/>
    </row>
    <row r="1006" spans="2:2">
      <c r="B1006"/>
    </row>
    <row r="1007" spans="2:2">
      <c r="B1007"/>
    </row>
    <row r="1008" spans="2:2">
      <c r="B1008"/>
    </row>
    <row r="1009" spans="2:2">
      <c r="B1009"/>
    </row>
    <row r="1010" spans="2:2">
      <c r="B1010"/>
    </row>
    <row r="1011" spans="2:2">
      <c r="B1011"/>
    </row>
    <row r="1012" spans="2:2">
      <c r="B1012"/>
    </row>
    <row r="1013" spans="2:2">
      <c r="B1013"/>
    </row>
    <row r="1014" spans="2:2">
      <c r="B1014"/>
    </row>
    <row r="1015" spans="2:2">
      <c r="B1015"/>
    </row>
    <row r="1016" spans="2:2">
      <c r="B1016"/>
    </row>
    <row r="1017" spans="2:2">
      <c r="B1017"/>
    </row>
    <row r="1018" spans="2:2">
      <c r="B1018"/>
    </row>
    <row r="1019" spans="2:2">
      <c r="B1019"/>
    </row>
    <row r="1020" spans="2:2">
      <c r="B1020"/>
    </row>
    <row r="1021" spans="2:2">
      <c r="B1021"/>
    </row>
    <row r="1022" spans="2:2">
      <c r="B1022"/>
    </row>
    <row r="1023" spans="2:2">
      <c r="B1023"/>
    </row>
    <row r="1024" spans="2:2">
      <c r="B1024"/>
    </row>
    <row r="1025" spans="2:2">
      <c r="B1025"/>
    </row>
    <row r="1026" spans="2:2">
      <c r="B1026"/>
    </row>
    <row r="1027" spans="2:2">
      <c r="B1027"/>
    </row>
    <row r="1028" spans="2:2">
      <c r="B1028"/>
    </row>
    <row r="1029" spans="2:2">
      <c r="B1029"/>
    </row>
    <row r="1030" spans="2:2">
      <c r="B1030"/>
    </row>
    <row r="1031" spans="2:2">
      <c r="B1031"/>
    </row>
    <row r="1032" spans="2:2">
      <c r="B1032"/>
    </row>
    <row r="1033" spans="2:2">
      <c r="B1033"/>
    </row>
    <row r="1034" spans="2:2">
      <c r="B1034"/>
    </row>
    <row r="1035" spans="2:2">
      <c r="B1035"/>
    </row>
    <row r="1036" spans="2:2">
      <c r="B1036"/>
    </row>
    <row r="1037" spans="2:2">
      <c r="B1037"/>
    </row>
    <row r="1038" spans="2:2">
      <c r="B1038"/>
    </row>
    <row r="1039" spans="2:2">
      <c r="B1039"/>
    </row>
    <row r="1040" spans="2:2">
      <c r="B1040"/>
    </row>
    <row r="1041" spans="2:2">
      <c r="B1041"/>
    </row>
    <row r="1042" spans="2:2">
      <c r="B1042"/>
    </row>
    <row r="1043" spans="2:2">
      <c r="B1043"/>
    </row>
    <row r="1044" spans="2:2">
      <c r="B1044"/>
    </row>
    <row r="1045" spans="2:2">
      <c r="B1045"/>
    </row>
    <row r="1046" spans="2:2">
      <c r="B1046"/>
    </row>
    <row r="1047" spans="2:2">
      <c r="B1047"/>
    </row>
    <row r="1048" spans="2:2">
      <c r="B1048"/>
    </row>
    <row r="1049" spans="2:2">
      <c r="B1049"/>
    </row>
    <row r="1050" spans="2:2">
      <c r="B1050"/>
    </row>
    <row r="1051" spans="2:2">
      <c r="B1051"/>
    </row>
    <row r="1052" spans="2:2">
      <c r="B1052"/>
    </row>
    <row r="1053" spans="2:2">
      <c r="B1053"/>
    </row>
    <row r="1054" spans="2:2">
      <c r="B1054"/>
    </row>
    <row r="1055" spans="2:2">
      <c r="B1055"/>
    </row>
    <row r="1056" spans="2:2">
      <c r="B1056"/>
    </row>
    <row r="1057" spans="2:2">
      <c r="B1057"/>
    </row>
    <row r="1058" spans="2:2">
      <c r="B1058"/>
    </row>
    <row r="1059" spans="2:2">
      <c r="B1059"/>
    </row>
    <row r="1060" spans="2:2">
      <c r="B1060"/>
    </row>
    <row r="1061" spans="2:2">
      <c r="B1061"/>
    </row>
    <row r="1062" spans="2:2">
      <c r="B1062"/>
    </row>
    <row r="1063" spans="2:2">
      <c r="B1063"/>
    </row>
    <row r="1064" spans="2:2">
      <c r="B1064"/>
    </row>
    <row r="1065" spans="2:2">
      <c r="B1065"/>
    </row>
    <row r="1066" spans="2:2">
      <c r="B1066"/>
    </row>
    <row r="1067" spans="2:2">
      <c r="B1067"/>
    </row>
    <row r="1068" spans="2:2">
      <c r="B1068"/>
    </row>
    <row r="1069" spans="2:2">
      <c r="B1069"/>
    </row>
    <row r="1070" spans="2:2">
      <c r="B1070"/>
    </row>
    <row r="1071" spans="2:2">
      <c r="B1071"/>
    </row>
    <row r="1072" spans="2:2">
      <c r="B1072"/>
    </row>
    <row r="1073" spans="2:2">
      <c r="B1073"/>
    </row>
    <row r="1074" spans="2:2">
      <c r="B1074"/>
    </row>
    <row r="1075" spans="2:2">
      <c r="B1075"/>
    </row>
    <row r="1076" spans="2:2">
      <c r="B1076"/>
    </row>
    <row r="1077" spans="2:2">
      <c r="B1077"/>
    </row>
    <row r="1078" spans="2:2">
      <c r="B1078"/>
    </row>
    <row r="1079" spans="2:2">
      <c r="B1079"/>
    </row>
    <row r="1080" spans="2:2">
      <c r="B1080"/>
    </row>
    <row r="1081" spans="2:2">
      <c r="B1081"/>
    </row>
    <row r="1082" spans="2:2">
      <c r="B1082"/>
    </row>
    <row r="1083" spans="2:2">
      <c r="B1083"/>
    </row>
    <row r="1084" spans="2:2">
      <c r="B1084"/>
    </row>
    <row r="1085" spans="2:2">
      <c r="B1085"/>
    </row>
    <row r="1086" spans="2:2">
      <c r="B1086"/>
    </row>
    <row r="1087" spans="2:2">
      <c r="B1087"/>
    </row>
    <row r="1088" spans="2:2">
      <c r="B1088"/>
    </row>
    <row r="1089" spans="2:2">
      <c r="B1089"/>
    </row>
    <row r="1090" spans="2:2">
      <c r="B1090"/>
    </row>
    <row r="1091" spans="2:2">
      <c r="B1091"/>
    </row>
    <row r="1092" spans="2:2">
      <c r="B1092"/>
    </row>
    <row r="1093" spans="2:2">
      <c r="B1093"/>
    </row>
    <row r="1094" spans="2:2">
      <c r="B1094"/>
    </row>
    <row r="1095" spans="2:2">
      <c r="B1095"/>
    </row>
    <row r="1096" spans="2:2">
      <c r="B1096"/>
    </row>
    <row r="1097" spans="2:2">
      <c r="B1097"/>
    </row>
    <row r="1098" spans="2:2">
      <c r="B1098"/>
    </row>
    <row r="1099" spans="2:2">
      <c r="B1099"/>
    </row>
    <row r="1100" spans="2:2">
      <c r="B1100"/>
    </row>
    <row r="1101" spans="2:2">
      <c r="B1101"/>
    </row>
    <row r="1102" spans="2:2">
      <c r="B1102"/>
    </row>
    <row r="1103" spans="2:2">
      <c r="B1103"/>
    </row>
    <row r="1104" spans="2:2">
      <c r="B1104"/>
    </row>
    <row r="1105" spans="2:2">
      <c r="B1105"/>
    </row>
    <row r="1106" spans="2:2">
      <c r="B1106"/>
    </row>
    <row r="1107" spans="2:2">
      <c r="B1107"/>
    </row>
    <row r="1108" spans="2:2">
      <c r="B1108"/>
    </row>
    <row r="1109" spans="2:2">
      <c r="B1109"/>
    </row>
    <row r="1110" spans="2:2">
      <c r="B1110"/>
    </row>
    <row r="1111" spans="2:2">
      <c r="B1111"/>
    </row>
    <row r="1112" spans="2:2">
      <c r="B1112"/>
    </row>
    <row r="1113" spans="2:2">
      <c r="B1113"/>
    </row>
    <row r="1114" spans="2:2">
      <c r="B1114"/>
    </row>
    <row r="1115" spans="2:2">
      <c r="B1115"/>
    </row>
    <row r="1116" spans="2:2">
      <c r="B1116"/>
    </row>
    <row r="1117" spans="2:2">
      <c r="B1117"/>
    </row>
    <row r="1118" spans="2:2">
      <c r="B1118"/>
    </row>
    <row r="1119" spans="2:2">
      <c r="B1119"/>
    </row>
    <row r="1120" spans="2:2">
      <c r="B1120"/>
    </row>
    <row r="1121" spans="2:2">
      <c r="B1121"/>
    </row>
    <row r="1122" spans="2:2">
      <c r="B1122"/>
    </row>
    <row r="1123" spans="2:2">
      <c r="B1123"/>
    </row>
    <row r="1124" spans="2:2">
      <c r="B1124"/>
    </row>
    <row r="1125" spans="2:2">
      <c r="B1125"/>
    </row>
    <row r="1126" spans="2:2">
      <c r="B1126"/>
    </row>
    <row r="1127" spans="2:2">
      <c r="B1127"/>
    </row>
    <row r="1128" spans="2:2">
      <c r="B1128"/>
    </row>
    <row r="1129" spans="2:2">
      <c r="B1129"/>
    </row>
    <row r="1130" spans="2:2">
      <c r="B1130"/>
    </row>
    <row r="1131" spans="2:2">
      <c r="B1131"/>
    </row>
    <row r="1132" spans="2:2">
      <c r="B1132"/>
    </row>
    <row r="1133" spans="2:2">
      <c r="B1133"/>
    </row>
    <row r="1134" spans="2:2">
      <c r="B1134"/>
    </row>
    <row r="1135" spans="2:2">
      <c r="B1135"/>
    </row>
    <row r="1136" spans="2:2">
      <c r="B1136"/>
    </row>
    <row r="1137" spans="2:2">
      <c r="B1137"/>
    </row>
    <row r="1138" spans="2:2">
      <c r="B1138"/>
    </row>
    <row r="1139" spans="2:2">
      <c r="B1139"/>
    </row>
    <row r="1140" spans="2:2">
      <c r="B1140"/>
    </row>
    <row r="1141" spans="2:2">
      <c r="B1141"/>
    </row>
    <row r="1142" spans="2:2">
      <c r="B1142"/>
    </row>
    <row r="1143" spans="2:2">
      <c r="B1143"/>
    </row>
    <row r="1144" spans="2:2">
      <c r="B1144"/>
    </row>
    <row r="1145" spans="2:2">
      <c r="B1145"/>
    </row>
    <row r="1146" spans="2:2">
      <c r="B1146"/>
    </row>
    <row r="1147" spans="2:2">
      <c r="B1147"/>
    </row>
    <row r="1148" spans="2:2">
      <c r="B1148"/>
    </row>
    <row r="1149" spans="2:2">
      <c r="B1149"/>
    </row>
    <row r="1150" spans="2:2">
      <c r="B1150"/>
    </row>
    <row r="1151" spans="2:2">
      <c r="B1151"/>
    </row>
    <row r="1152" spans="2:2">
      <c r="B1152"/>
    </row>
    <row r="1153" spans="2:2">
      <c r="B1153"/>
    </row>
    <row r="1154" spans="2:2">
      <c r="B1154"/>
    </row>
    <row r="1155" spans="2:2">
      <c r="B1155"/>
    </row>
    <row r="1156" spans="2:2">
      <c r="B1156"/>
    </row>
    <row r="1157" spans="2:2">
      <c r="B1157"/>
    </row>
    <row r="1158" spans="2:2">
      <c r="B1158"/>
    </row>
    <row r="1159" spans="2:2">
      <c r="B1159"/>
    </row>
    <row r="1160" spans="2:2">
      <c r="B1160"/>
    </row>
    <row r="1161" spans="2:2">
      <c r="B1161"/>
    </row>
    <row r="1162" spans="2:2">
      <c r="B1162"/>
    </row>
    <row r="1163" spans="2:2">
      <c r="B1163"/>
    </row>
    <row r="1164" spans="2:2">
      <c r="B1164"/>
    </row>
    <row r="1165" spans="2:2">
      <c r="B1165"/>
    </row>
    <row r="1166" spans="2:2">
      <c r="B1166"/>
    </row>
    <row r="1167" spans="2:2">
      <c r="B1167"/>
    </row>
    <row r="1168" spans="2:2">
      <c r="B1168"/>
    </row>
    <row r="1169" spans="2:2">
      <c r="B1169"/>
    </row>
    <row r="1170" spans="2:2">
      <c r="B1170"/>
    </row>
    <row r="1171" spans="2:2">
      <c r="B1171"/>
    </row>
    <row r="1172" spans="2:2">
      <c r="B1172"/>
    </row>
    <row r="1173" spans="2:2">
      <c r="B1173"/>
    </row>
    <row r="1174" spans="2:2">
      <c r="B1174"/>
    </row>
    <row r="1175" spans="2:2">
      <c r="B1175"/>
    </row>
    <row r="1176" spans="2:2">
      <c r="B1176"/>
    </row>
    <row r="1177" spans="2:2">
      <c r="B1177"/>
    </row>
    <row r="1178" spans="2:2">
      <c r="B1178"/>
    </row>
    <row r="1179" spans="2:2">
      <c r="B1179"/>
    </row>
    <row r="1180" spans="2:2">
      <c r="B1180"/>
    </row>
    <row r="1181" spans="2:2">
      <c r="B1181"/>
    </row>
    <row r="1182" spans="2:2">
      <c r="B1182"/>
    </row>
    <row r="1183" spans="2:2">
      <c r="B1183"/>
    </row>
    <row r="1184" spans="2:2">
      <c r="B1184"/>
    </row>
    <row r="1185" spans="2:2">
      <c r="B1185"/>
    </row>
    <row r="1186" spans="2:2">
      <c r="B1186"/>
    </row>
    <row r="1187" spans="2:2">
      <c r="B1187"/>
    </row>
    <row r="1188" spans="2:2">
      <c r="B1188"/>
    </row>
    <row r="1189" spans="2:2">
      <c r="B1189"/>
    </row>
    <row r="1190" spans="2:2">
      <c r="B1190"/>
    </row>
    <row r="1191" spans="2:2">
      <c r="B1191"/>
    </row>
    <row r="1192" spans="2:2">
      <c r="B1192"/>
    </row>
    <row r="1193" spans="2:2">
      <c r="B1193"/>
    </row>
    <row r="1194" spans="2:2">
      <c r="B1194"/>
    </row>
    <row r="1195" spans="2:2">
      <c r="B1195"/>
    </row>
    <row r="1196" spans="2:2">
      <c r="B1196"/>
    </row>
    <row r="1197" spans="2:2">
      <c r="B1197"/>
    </row>
    <row r="1198" spans="2:2">
      <c r="B1198"/>
    </row>
    <row r="1199" spans="2:2">
      <c r="B1199"/>
    </row>
    <row r="1200" spans="2:2">
      <c r="B1200"/>
    </row>
    <row r="1201" spans="2:2">
      <c r="B1201"/>
    </row>
    <row r="1202" spans="2:2">
      <c r="B1202"/>
    </row>
    <row r="1203" spans="2:2">
      <c r="B1203"/>
    </row>
    <row r="1204" spans="2:2">
      <c r="B1204"/>
    </row>
    <row r="1205" spans="2:2">
      <c r="B1205"/>
    </row>
    <row r="1206" spans="2:2">
      <c r="B1206"/>
    </row>
    <row r="1207" spans="2:2">
      <c r="B1207"/>
    </row>
    <row r="1208" spans="2:2">
      <c r="B1208"/>
    </row>
    <row r="1209" spans="2:2">
      <c r="B1209"/>
    </row>
    <row r="1210" spans="2:2">
      <c r="B1210"/>
    </row>
    <row r="1211" spans="2:2">
      <c r="B1211"/>
    </row>
    <row r="1212" spans="2:2">
      <c r="B1212"/>
    </row>
    <row r="1213" spans="2:2">
      <c r="B1213"/>
    </row>
    <row r="1214" spans="2:2">
      <c r="B1214"/>
    </row>
    <row r="1215" spans="2:2">
      <c r="B1215"/>
    </row>
    <row r="1216" spans="2:2">
      <c r="B1216"/>
    </row>
    <row r="1217" spans="2:2">
      <c r="B1217"/>
    </row>
    <row r="1218" spans="2:2">
      <c r="B1218"/>
    </row>
    <row r="1219" spans="2:2">
      <c r="B1219"/>
    </row>
    <row r="1220" spans="2:2">
      <c r="B1220"/>
    </row>
    <row r="1221" spans="2:2">
      <c r="B1221"/>
    </row>
    <row r="1222" spans="2:2">
      <c r="B1222"/>
    </row>
    <row r="1223" spans="2:2">
      <c r="B1223"/>
    </row>
    <row r="1224" spans="2:2">
      <c r="B1224"/>
    </row>
    <row r="1225" spans="2:2">
      <c r="B1225"/>
    </row>
    <row r="1226" spans="2:2">
      <c r="B1226"/>
    </row>
    <row r="1227" spans="2:2">
      <c r="B1227"/>
    </row>
    <row r="1228" spans="2:2">
      <c r="B1228"/>
    </row>
    <row r="1229" spans="2:2">
      <c r="B1229"/>
    </row>
    <row r="1230" spans="2:2">
      <c r="B1230"/>
    </row>
    <row r="1231" spans="2:2">
      <c r="B1231"/>
    </row>
    <row r="1232" spans="2:2">
      <c r="B1232"/>
    </row>
    <row r="1233" spans="2:2">
      <c r="B1233"/>
    </row>
    <row r="1234" spans="2:2">
      <c r="B1234"/>
    </row>
    <row r="1235" spans="2:2">
      <c r="B1235"/>
    </row>
    <row r="1236" spans="2:2">
      <c r="B1236"/>
    </row>
    <row r="1237" spans="2:2">
      <c r="B1237"/>
    </row>
    <row r="1238" spans="2:2">
      <c r="B1238"/>
    </row>
    <row r="1239" spans="2:2">
      <c r="B1239"/>
    </row>
    <row r="1240" spans="2:2">
      <c r="B1240"/>
    </row>
    <row r="1241" spans="2:2">
      <c r="B1241"/>
    </row>
    <row r="1242" spans="2:2">
      <c r="B1242"/>
    </row>
    <row r="1243" spans="2:2">
      <c r="B1243"/>
    </row>
    <row r="1244" spans="2:2">
      <c r="B1244"/>
    </row>
    <row r="1245" spans="2:2">
      <c r="B1245"/>
    </row>
    <row r="1246" spans="2:2">
      <c r="B1246"/>
    </row>
    <row r="1247" spans="2:2">
      <c r="B1247"/>
    </row>
    <row r="1248" spans="2:2">
      <c r="B1248"/>
    </row>
    <row r="1249" spans="2:2">
      <c r="B1249"/>
    </row>
    <row r="1250" spans="2:2">
      <c r="B1250"/>
    </row>
    <row r="1251" spans="2:2">
      <c r="B1251"/>
    </row>
    <row r="1252" spans="2:2">
      <c r="B1252"/>
    </row>
    <row r="1253" spans="2:2">
      <c r="B1253"/>
    </row>
    <row r="1254" spans="2:2">
      <c r="B1254"/>
    </row>
    <row r="1255" spans="2:2">
      <c r="B1255"/>
    </row>
    <row r="1256" spans="2:2">
      <c r="B1256"/>
    </row>
    <row r="1257" spans="2:2">
      <c r="B1257"/>
    </row>
    <row r="1258" spans="2:2">
      <c r="B1258"/>
    </row>
    <row r="1259" spans="2:2">
      <c r="B1259"/>
    </row>
    <row r="1260" spans="2:2">
      <c r="B1260"/>
    </row>
    <row r="1261" spans="2:2">
      <c r="B1261"/>
    </row>
    <row r="1262" spans="2:2">
      <c r="B1262"/>
    </row>
    <row r="1263" spans="2:2">
      <c r="B1263"/>
    </row>
    <row r="1264" spans="2:2">
      <c r="B1264"/>
    </row>
    <row r="1265" spans="2:2">
      <c r="B1265"/>
    </row>
    <row r="1266" spans="2:2">
      <c r="B1266"/>
    </row>
    <row r="1267" spans="2:2">
      <c r="B1267"/>
    </row>
    <row r="1268" spans="2:2">
      <c r="B1268"/>
    </row>
    <row r="1269" spans="2:2">
      <c r="B1269"/>
    </row>
    <row r="1270" spans="2:2">
      <c r="B1270"/>
    </row>
    <row r="1271" spans="2:2">
      <c r="B1271"/>
    </row>
    <row r="1272" spans="2:2">
      <c r="B1272"/>
    </row>
    <row r="1273" spans="2:2">
      <c r="B1273"/>
    </row>
    <row r="1274" spans="2:2">
      <c r="B1274"/>
    </row>
    <row r="1275" spans="2:2">
      <c r="B1275"/>
    </row>
    <row r="1276" spans="2:2">
      <c r="B1276"/>
    </row>
    <row r="1277" spans="2:2">
      <c r="B1277"/>
    </row>
    <row r="1278" spans="2:2">
      <c r="B1278"/>
    </row>
    <row r="1279" spans="2:2">
      <c r="B1279"/>
    </row>
    <row r="1280" spans="2:2">
      <c r="B1280"/>
    </row>
    <row r="1281" spans="2:2">
      <c r="B1281"/>
    </row>
    <row r="1282" spans="2:2">
      <c r="B1282"/>
    </row>
    <row r="1283" spans="2:2">
      <c r="B1283"/>
    </row>
    <row r="1284" spans="2:2">
      <c r="B1284"/>
    </row>
    <row r="1285" spans="2:2">
      <c r="B1285"/>
    </row>
    <row r="1286" spans="2:2">
      <c r="B1286"/>
    </row>
    <row r="1287" spans="2:2">
      <c r="B1287"/>
    </row>
    <row r="1288" spans="2:2">
      <c r="B1288"/>
    </row>
    <row r="1289" spans="2:2">
      <c r="B1289"/>
    </row>
    <row r="1290" spans="2:2">
      <c r="B1290"/>
    </row>
    <row r="1291" spans="2:2">
      <c r="B1291"/>
    </row>
    <row r="1292" spans="2:2">
      <c r="B1292"/>
    </row>
    <row r="1293" spans="2:2">
      <c r="B1293"/>
    </row>
    <row r="1294" spans="2:2">
      <c r="B1294"/>
    </row>
    <row r="1295" spans="2:2">
      <c r="B1295"/>
    </row>
    <row r="1296" spans="2:2">
      <c r="B1296"/>
    </row>
    <row r="1297" spans="2:2">
      <c r="B1297"/>
    </row>
    <row r="1298" spans="2:2">
      <c r="B1298"/>
    </row>
    <row r="1299" spans="2:2">
      <c r="B1299"/>
    </row>
    <row r="1300" spans="2:2">
      <c r="B1300"/>
    </row>
    <row r="1301" spans="2:2">
      <c r="B1301"/>
    </row>
    <row r="1302" spans="2:2">
      <c r="B1302"/>
    </row>
    <row r="1303" spans="2:2">
      <c r="B1303"/>
    </row>
    <row r="1304" spans="2:2">
      <c r="B1304"/>
    </row>
    <row r="1305" spans="2:2">
      <c r="B1305"/>
    </row>
    <row r="1306" spans="2:2">
      <c r="B1306"/>
    </row>
    <row r="1307" spans="2:2">
      <c r="B1307"/>
    </row>
    <row r="1308" spans="2:2">
      <c r="B1308"/>
    </row>
    <row r="1309" spans="2:2">
      <c r="B1309"/>
    </row>
    <row r="1310" spans="2:2">
      <c r="B1310"/>
    </row>
    <row r="1311" spans="2:2">
      <c r="B1311"/>
    </row>
    <row r="1312" spans="2:2">
      <c r="B1312"/>
    </row>
    <row r="1313" spans="2:2">
      <c r="B1313"/>
    </row>
    <row r="1314" spans="2:2">
      <c r="B1314"/>
    </row>
    <row r="1315" spans="2:2">
      <c r="B1315"/>
    </row>
    <row r="1316" spans="2:2">
      <c r="B1316"/>
    </row>
    <row r="1317" spans="2:2">
      <c r="B1317"/>
    </row>
    <row r="1318" spans="2:2">
      <c r="B1318"/>
    </row>
    <row r="1319" spans="2:2">
      <c r="B1319"/>
    </row>
    <row r="1320" spans="2:2">
      <c r="B1320"/>
    </row>
    <row r="1321" spans="2:2">
      <c r="B1321"/>
    </row>
    <row r="1322" spans="2:2">
      <c r="B1322"/>
    </row>
    <row r="1323" spans="2:2">
      <c r="B1323"/>
    </row>
    <row r="1324" spans="2:2">
      <c r="B1324"/>
    </row>
    <row r="1325" spans="2:2">
      <c r="B1325"/>
    </row>
    <row r="1326" spans="2:2">
      <c r="B1326"/>
    </row>
    <row r="1327" spans="2:2">
      <c r="B1327"/>
    </row>
    <row r="1328" spans="2:2">
      <c r="B1328"/>
    </row>
    <row r="1329" spans="2:2">
      <c r="B1329"/>
    </row>
    <row r="1330" spans="2:2">
      <c r="B1330"/>
    </row>
    <row r="1331" spans="2:2">
      <c r="B1331"/>
    </row>
    <row r="1332" spans="2:2">
      <c r="B1332"/>
    </row>
    <row r="1333" spans="2:2">
      <c r="B1333"/>
    </row>
    <row r="1334" spans="2:2">
      <c r="B1334"/>
    </row>
    <row r="1335" spans="2:2">
      <c r="B1335"/>
    </row>
    <row r="1336" spans="2:2">
      <c r="B1336"/>
    </row>
    <row r="1337" spans="2:2">
      <c r="B1337"/>
    </row>
    <row r="1338" spans="2:2">
      <c r="B1338"/>
    </row>
    <row r="1339" spans="2:2">
      <c r="B1339"/>
    </row>
    <row r="1340" spans="2:2">
      <c r="B1340"/>
    </row>
    <row r="1341" spans="2:2">
      <c r="B1341"/>
    </row>
    <row r="1342" spans="2:2">
      <c r="B1342"/>
    </row>
    <row r="1343" spans="2:2">
      <c r="B1343"/>
    </row>
    <row r="1344" spans="2:2">
      <c r="B1344"/>
    </row>
    <row r="1345" spans="2:2">
      <c r="B1345"/>
    </row>
    <row r="1346" spans="2:2">
      <c r="B1346"/>
    </row>
    <row r="1347" spans="2:2">
      <c r="B1347"/>
    </row>
    <row r="1348" spans="2:2">
      <c r="B1348"/>
    </row>
    <row r="1349" spans="2:2">
      <c r="B1349"/>
    </row>
    <row r="1350" spans="2:2">
      <c r="B1350"/>
    </row>
    <row r="1351" spans="2:2">
      <c r="B1351"/>
    </row>
    <row r="1352" spans="2:2">
      <c r="B1352"/>
    </row>
    <row r="1353" spans="2:2">
      <c r="B1353"/>
    </row>
    <row r="1354" spans="2:2">
      <c r="B1354"/>
    </row>
    <row r="1355" spans="2:2">
      <c r="B1355"/>
    </row>
    <row r="1356" spans="2:2">
      <c r="B1356"/>
    </row>
    <row r="1357" spans="2:2">
      <c r="B1357"/>
    </row>
    <row r="1358" spans="2:2">
      <c r="B1358"/>
    </row>
    <row r="1359" spans="2:2">
      <c r="B1359"/>
    </row>
    <row r="1360" spans="2:2">
      <c r="B1360"/>
    </row>
    <row r="1361" spans="2:2">
      <c r="B1361"/>
    </row>
    <row r="1362" spans="2:2">
      <c r="B1362"/>
    </row>
    <row r="1363" spans="2:2">
      <c r="B1363"/>
    </row>
    <row r="1364" spans="2:2">
      <c r="B1364"/>
    </row>
    <row r="1365" spans="2:2">
      <c r="B1365"/>
    </row>
    <row r="1366" spans="2:2">
      <c r="B1366"/>
    </row>
    <row r="1367" spans="2:2">
      <c r="B1367"/>
    </row>
    <row r="1368" spans="2:2">
      <c r="B1368"/>
    </row>
    <row r="1369" spans="2:2">
      <c r="B1369"/>
    </row>
    <row r="1370" spans="2:2">
      <c r="B1370"/>
    </row>
    <row r="1371" spans="2:2">
      <c r="B1371"/>
    </row>
    <row r="1372" spans="2:2">
      <c r="B1372"/>
    </row>
    <row r="1373" spans="2:2">
      <c r="B1373"/>
    </row>
    <row r="1374" spans="2:2">
      <c r="B1374"/>
    </row>
    <row r="1375" spans="2:2">
      <c r="B1375"/>
    </row>
    <row r="1376" spans="2:2">
      <c r="B1376"/>
    </row>
    <row r="1377" spans="2:2">
      <c r="B1377"/>
    </row>
    <row r="1378" spans="2:2">
      <c r="B1378"/>
    </row>
    <row r="1379" spans="2:2">
      <c r="B1379"/>
    </row>
    <row r="1380" spans="2:2">
      <c r="B1380"/>
    </row>
    <row r="1381" spans="2:2">
      <c r="B1381"/>
    </row>
    <row r="1382" spans="2:2">
      <c r="B1382"/>
    </row>
    <row r="1383" spans="2:2">
      <c r="B1383"/>
    </row>
    <row r="1384" spans="2:2">
      <c r="B1384"/>
    </row>
    <row r="1385" spans="2:2">
      <c r="B1385"/>
    </row>
    <row r="1386" spans="2:2">
      <c r="B1386"/>
    </row>
    <row r="1387" spans="2:2">
      <c r="B1387"/>
    </row>
    <row r="1388" spans="2:2">
      <c r="B1388"/>
    </row>
    <row r="1389" spans="2:2">
      <c r="B1389"/>
    </row>
    <row r="1390" spans="2:2">
      <c r="B1390"/>
    </row>
    <row r="1391" spans="2:2">
      <c r="B1391"/>
    </row>
    <row r="1392" spans="2:2">
      <c r="B1392"/>
    </row>
    <row r="1393" spans="2:2">
      <c r="B1393"/>
    </row>
    <row r="1394" spans="2:2">
      <c r="B1394"/>
    </row>
    <row r="1395" spans="2:2">
      <c r="B1395"/>
    </row>
    <row r="1396" spans="2:2">
      <c r="B1396"/>
    </row>
    <row r="1397" spans="2:2">
      <c r="B1397"/>
    </row>
    <row r="1398" spans="2:2">
      <c r="B1398"/>
    </row>
    <row r="1399" spans="2:2">
      <c r="B1399"/>
    </row>
    <row r="1400" spans="2:2">
      <c r="B1400"/>
    </row>
    <row r="1401" spans="2:2">
      <c r="B1401"/>
    </row>
    <row r="1402" spans="2:2">
      <c r="B1402"/>
    </row>
    <row r="1403" spans="2:2">
      <c r="B1403"/>
    </row>
    <row r="1404" spans="2:2">
      <c r="B1404"/>
    </row>
    <row r="1405" spans="2:2">
      <c r="B1405"/>
    </row>
    <row r="1406" spans="2:2">
      <c r="B1406"/>
    </row>
    <row r="1407" spans="2:2">
      <c r="B1407"/>
    </row>
    <row r="1408" spans="2:2">
      <c r="B1408"/>
    </row>
    <row r="1409" spans="2:2">
      <c r="B1409"/>
    </row>
    <row r="1410" spans="2:2">
      <c r="B1410"/>
    </row>
    <row r="1411" spans="2:2">
      <c r="B1411"/>
    </row>
    <row r="1412" spans="2:2">
      <c r="B1412"/>
    </row>
    <row r="1413" spans="2:2">
      <c r="B1413"/>
    </row>
    <row r="1414" spans="2:2">
      <c r="B1414"/>
    </row>
    <row r="1415" spans="2:2">
      <c r="B1415"/>
    </row>
    <row r="1416" spans="2:2">
      <c r="B1416"/>
    </row>
    <row r="1417" spans="2:2">
      <c r="B1417"/>
    </row>
    <row r="1418" spans="2:2">
      <c r="B1418"/>
    </row>
    <row r="1419" spans="2:2">
      <c r="B1419"/>
    </row>
    <row r="1420" spans="2:2">
      <c r="B1420"/>
    </row>
    <row r="1421" spans="2:2">
      <c r="B1421"/>
    </row>
    <row r="1422" spans="2:2">
      <c r="B1422"/>
    </row>
    <row r="1423" spans="2:2">
      <c r="B1423"/>
    </row>
    <row r="1424" spans="2:2">
      <c r="B1424"/>
    </row>
    <row r="1425" spans="2:2">
      <c r="B1425"/>
    </row>
    <row r="1426" spans="2:2">
      <c r="B1426"/>
    </row>
    <row r="1427" spans="2:2">
      <c r="B1427"/>
    </row>
    <row r="1428" spans="2:2">
      <c r="B1428"/>
    </row>
    <row r="1429" spans="2:2">
      <c r="B1429"/>
    </row>
    <row r="1430" spans="2:2">
      <c r="B1430"/>
    </row>
    <row r="1431" spans="2:2">
      <c r="B1431"/>
    </row>
    <row r="1432" spans="2:2">
      <c r="B1432"/>
    </row>
    <row r="1433" spans="2:2">
      <c r="B1433"/>
    </row>
    <row r="1434" spans="2:2">
      <c r="B1434"/>
    </row>
    <row r="1435" spans="2:2">
      <c r="B1435"/>
    </row>
    <row r="1436" spans="2:2">
      <c r="B1436"/>
    </row>
    <row r="1437" spans="2:2">
      <c r="B1437"/>
    </row>
    <row r="1438" spans="2:2">
      <c r="B1438"/>
    </row>
    <row r="1439" spans="2:2">
      <c r="B1439"/>
    </row>
    <row r="1440" spans="2:2">
      <c r="B1440"/>
    </row>
    <row r="1441" spans="2:2">
      <c r="B1441"/>
    </row>
    <row r="1442" spans="2:2">
      <c r="B1442"/>
    </row>
    <row r="1443" spans="2:2">
      <c r="B1443"/>
    </row>
    <row r="1444" spans="2:2">
      <c r="B1444"/>
    </row>
    <row r="1445" spans="2:2">
      <c r="B1445"/>
    </row>
    <row r="1446" spans="2:2">
      <c r="B1446"/>
    </row>
    <row r="1447" spans="2:2">
      <c r="B1447"/>
    </row>
    <row r="1448" spans="2:2">
      <c r="B1448"/>
    </row>
    <row r="1449" spans="2:2">
      <c r="B1449"/>
    </row>
    <row r="1450" spans="2:2">
      <c r="B1450"/>
    </row>
    <row r="1451" spans="2:2">
      <c r="B1451"/>
    </row>
    <row r="1452" spans="2:2">
      <c r="B1452"/>
    </row>
    <row r="1453" spans="2:2">
      <c r="B1453"/>
    </row>
    <row r="1454" spans="2:2">
      <c r="B1454"/>
    </row>
    <row r="1455" spans="2:2">
      <c r="B1455"/>
    </row>
    <row r="1456" spans="2:2">
      <c r="B1456"/>
    </row>
    <row r="1457" spans="2:2">
      <c r="B1457"/>
    </row>
    <row r="1458" spans="2:2">
      <c r="B1458"/>
    </row>
    <row r="1459" spans="2:2">
      <c r="B1459"/>
    </row>
    <row r="1460" spans="2:2">
      <c r="B1460"/>
    </row>
    <row r="1461" spans="2:2">
      <c r="B1461"/>
    </row>
    <row r="1462" spans="2:2">
      <c r="B1462"/>
    </row>
    <row r="1463" spans="2:2">
      <c r="B1463"/>
    </row>
    <row r="1464" spans="2:2">
      <c r="B1464"/>
    </row>
    <row r="1465" spans="2:2">
      <c r="B1465"/>
    </row>
    <row r="1466" spans="2:2">
      <c r="B1466"/>
    </row>
    <row r="1467" spans="2:2">
      <c r="B1467"/>
    </row>
    <row r="1468" spans="2:2">
      <c r="B1468"/>
    </row>
    <row r="1469" spans="2:2">
      <c r="B1469"/>
    </row>
    <row r="1470" spans="2:2">
      <c r="B1470"/>
    </row>
    <row r="1471" spans="2:2">
      <c r="B1471"/>
    </row>
    <row r="1472" spans="2:2">
      <c r="B1472"/>
    </row>
    <row r="1473" spans="2:2">
      <c r="B1473"/>
    </row>
    <row r="1474" spans="2:2">
      <c r="B1474"/>
    </row>
    <row r="1475" spans="2:2">
      <c r="B1475"/>
    </row>
    <row r="1476" spans="2:2">
      <c r="B1476"/>
    </row>
    <row r="1477" spans="2:2">
      <c r="B1477"/>
    </row>
    <row r="1478" spans="2:2">
      <c r="B1478"/>
    </row>
    <row r="1479" spans="2:2">
      <c r="B1479"/>
    </row>
    <row r="1480" spans="2:2">
      <c r="B1480"/>
    </row>
    <row r="1481" spans="2:2">
      <c r="B1481"/>
    </row>
    <row r="1482" spans="2:2">
      <c r="B1482"/>
    </row>
    <row r="1483" spans="2:2">
      <c r="B1483"/>
    </row>
    <row r="1484" spans="2:2">
      <c r="B1484"/>
    </row>
    <row r="1485" spans="2:2">
      <c r="B1485"/>
    </row>
    <row r="1486" spans="2:2">
      <c r="B1486"/>
    </row>
    <row r="1487" spans="2:2">
      <c r="B1487"/>
    </row>
    <row r="1488" spans="2:2">
      <c r="B1488"/>
    </row>
    <row r="1489" spans="2:2">
      <c r="B1489"/>
    </row>
    <row r="1490" spans="2:2">
      <c r="B1490"/>
    </row>
    <row r="1491" spans="2:2">
      <c r="B1491"/>
    </row>
    <row r="1492" spans="2:2">
      <c r="B1492"/>
    </row>
    <row r="1493" spans="2:2">
      <c r="B1493"/>
    </row>
    <row r="1494" spans="2:2">
      <c r="B1494"/>
    </row>
    <row r="1495" spans="2:2">
      <c r="B1495"/>
    </row>
    <row r="1496" spans="2:2">
      <c r="B1496"/>
    </row>
    <row r="1497" spans="2:2">
      <c r="B1497"/>
    </row>
    <row r="1498" spans="2:2">
      <c r="B1498"/>
    </row>
    <row r="1499" spans="2:2">
      <c r="B1499"/>
    </row>
    <row r="1500" spans="2:2">
      <c r="B1500"/>
    </row>
    <row r="1501" spans="2:2">
      <c r="B1501"/>
    </row>
    <row r="1502" spans="2:2">
      <c r="B1502"/>
    </row>
    <row r="1503" spans="2:2">
      <c r="B1503"/>
    </row>
    <row r="1504" spans="2:2">
      <c r="B1504"/>
    </row>
    <row r="1505" spans="2:2">
      <c r="B1505"/>
    </row>
    <row r="1506" spans="2:2">
      <c r="B1506"/>
    </row>
    <row r="1507" spans="2:2">
      <c r="B1507"/>
    </row>
    <row r="1508" spans="2:2">
      <c r="B1508"/>
    </row>
    <row r="1509" spans="2:2">
      <c r="B1509"/>
    </row>
    <row r="1510" spans="2:2">
      <c r="B1510"/>
    </row>
    <row r="1511" spans="2:2">
      <c r="B1511"/>
    </row>
    <row r="1512" spans="2:2">
      <c r="B1512"/>
    </row>
    <row r="1513" spans="2:2">
      <c r="B1513"/>
    </row>
    <row r="1514" spans="2:2">
      <c r="B1514"/>
    </row>
    <row r="1515" spans="2:2">
      <c r="B1515"/>
    </row>
    <row r="1516" spans="2:2">
      <c r="B1516"/>
    </row>
    <row r="1517" spans="2:2">
      <c r="B1517"/>
    </row>
    <row r="1518" spans="2:2">
      <c r="B1518"/>
    </row>
    <row r="1519" spans="2:2">
      <c r="B1519"/>
    </row>
    <row r="1520" spans="2:2">
      <c r="B1520"/>
    </row>
    <row r="1521" spans="2:2">
      <c r="B1521"/>
    </row>
    <row r="1522" spans="2:2">
      <c r="B1522"/>
    </row>
    <row r="1523" spans="2:2">
      <c r="B1523"/>
    </row>
    <row r="1524" spans="2:2">
      <c r="B1524"/>
    </row>
    <row r="1525" spans="2:2">
      <c r="B1525"/>
    </row>
    <row r="1526" spans="2:2">
      <c r="B1526"/>
    </row>
    <row r="1527" spans="2:2">
      <c r="B1527"/>
    </row>
    <row r="1528" spans="2:2">
      <c r="B1528"/>
    </row>
    <row r="1529" spans="2:2">
      <c r="B1529"/>
    </row>
    <row r="1530" spans="2:2">
      <c r="B1530"/>
    </row>
    <row r="1531" spans="2:2">
      <c r="B1531"/>
    </row>
    <row r="1532" spans="2:2">
      <c r="B1532"/>
    </row>
    <row r="1533" spans="2:2">
      <c r="B1533"/>
    </row>
    <row r="1534" spans="2:2">
      <c r="B1534"/>
    </row>
    <row r="1535" spans="2:2">
      <c r="B1535"/>
    </row>
    <row r="1536" spans="2:2">
      <c r="B1536"/>
    </row>
    <row r="1537" spans="2:2">
      <c r="B1537"/>
    </row>
    <row r="1538" spans="2:2">
      <c r="B1538"/>
    </row>
    <row r="1539" spans="2:2">
      <c r="B1539"/>
    </row>
    <row r="1540" spans="2:2">
      <c r="B1540"/>
    </row>
    <row r="1541" spans="2:2">
      <c r="B1541"/>
    </row>
    <row r="1542" spans="2:2">
      <c r="B1542"/>
    </row>
    <row r="1543" spans="2:2">
      <c r="B1543"/>
    </row>
    <row r="1544" spans="2:2">
      <c r="B1544"/>
    </row>
    <row r="1545" spans="2:2">
      <c r="B1545"/>
    </row>
    <row r="1546" spans="2:2">
      <c r="B1546"/>
    </row>
    <row r="1547" spans="2:2">
      <c r="B1547"/>
    </row>
    <row r="1548" spans="2:2">
      <c r="B1548"/>
    </row>
    <row r="1549" spans="2:2">
      <c r="B1549"/>
    </row>
    <row r="1550" spans="2:2">
      <c r="B1550"/>
    </row>
    <row r="1551" spans="2:2">
      <c r="B1551"/>
    </row>
    <row r="1552" spans="2:2">
      <c r="B1552"/>
    </row>
    <row r="1553" spans="2:2">
      <c r="B1553"/>
    </row>
    <row r="1554" spans="2:2">
      <c r="B1554"/>
    </row>
    <row r="1555" spans="2:2">
      <c r="B1555"/>
    </row>
    <row r="1556" spans="2:2">
      <c r="B1556"/>
    </row>
    <row r="1557" spans="2:2">
      <c r="B1557"/>
    </row>
    <row r="1558" spans="2:2">
      <c r="B1558"/>
    </row>
    <row r="1559" spans="2:2">
      <c r="B1559"/>
    </row>
    <row r="1560" spans="2:2">
      <c r="B1560"/>
    </row>
    <row r="1561" spans="2:2">
      <c r="B1561"/>
    </row>
    <row r="1562" spans="2:2">
      <c r="B1562"/>
    </row>
    <row r="1563" spans="2:2">
      <c r="B1563"/>
    </row>
    <row r="1564" spans="2:2">
      <c r="B1564"/>
    </row>
    <row r="1565" spans="2:2">
      <c r="B1565"/>
    </row>
    <row r="1566" spans="2:2">
      <c r="B1566"/>
    </row>
    <row r="1567" spans="2:2">
      <c r="B1567"/>
    </row>
    <row r="1568" spans="2:2">
      <c r="B1568"/>
    </row>
    <row r="1569" spans="2:2">
      <c r="B1569"/>
    </row>
    <row r="1570" spans="2:2">
      <c r="B1570"/>
    </row>
    <row r="1571" spans="2:2">
      <c r="B1571"/>
    </row>
    <row r="1572" spans="2:2">
      <c r="B1572"/>
    </row>
    <row r="1573" spans="2:2">
      <c r="B1573"/>
    </row>
    <row r="1574" spans="2:2">
      <c r="B1574"/>
    </row>
    <row r="1575" spans="2:2">
      <c r="B1575"/>
    </row>
    <row r="1576" spans="2:2">
      <c r="B1576"/>
    </row>
    <row r="1577" spans="2:2">
      <c r="B1577"/>
    </row>
    <row r="1578" spans="2:2">
      <c r="B1578"/>
    </row>
    <row r="1579" spans="2:2">
      <c r="B1579"/>
    </row>
    <row r="1580" spans="2:2">
      <c r="B1580"/>
    </row>
    <row r="1581" spans="2:2">
      <c r="B1581"/>
    </row>
    <row r="1582" spans="2:2">
      <c r="B1582"/>
    </row>
    <row r="1583" spans="2:2">
      <c r="B1583"/>
    </row>
    <row r="1584" spans="2:2">
      <c r="B1584"/>
    </row>
    <row r="1585" spans="2:2">
      <c r="B1585"/>
    </row>
    <row r="1586" spans="2:2">
      <c r="B1586"/>
    </row>
    <row r="1587" spans="2:2">
      <c r="B1587"/>
    </row>
    <row r="1588" spans="2:2">
      <c r="B1588"/>
    </row>
    <row r="1589" spans="2:2">
      <c r="B1589"/>
    </row>
    <row r="1590" spans="2:2">
      <c r="B1590"/>
    </row>
    <row r="1591" spans="2:2">
      <c r="B1591"/>
    </row>
    <row r="1592" spans="2:2">
      <c r="B1592"/>
    </row>
    <row r="1593" spans="2:2">
      <c r="B1593"/>
    </row>
    <row r="1594" spans="2:2">
      <c r="B1594"/>
    </row>
    <row r="1595" spans="2:2">
      <c r="B1595"/>
    </row>
    <row r="1596" spans="2:2">
      <c r="B1596"/>
    </row>
    <row r="1597" spans="2:2">
      <c r="B1597"/>
    </row>
    <row r="1598" spans="2:2">
      <c r="B1598"/>
    </row>
    <row r="1599" spans="2:2">
      <c r="B1599"/>
    </row>
    <row r="1600" spans="2:2">
      <c r="B1600"/>
    </row>
    <row r="1601" spans="2:2">
      <c r="B1601"/>
    </row>
    <row r="1602" spans="2:2">
      <c r="B1602"/>
    </row>
    <row r="1603" spans="2:2">
      <c r="B1603"/>
    </row>
    <row r="1604" spans="2:2">
      <c r="B1604"/>
    </row>
    <row r="1605" spans="2:2">
      <c r="B1605"/>
    </row>
    <row r="1606" spans="2:2">
      <c r="B1606"/>
    </row>
    <row r="1607" spans="2:2">
      <c r="B1607"/>
    </row>
    <row r="1608" spans="2:2">
      <c r="B1608"/>
    </row>
    <row r="1609" spans="2:2">
      <c r="B1609"/>
    </row>
    <row r="1610" spans="2:2">
      <c r="B1610"/>
    </row>
    <row r="1611" spans="2:2">
      <c r="B1611"/>
    </row>
    <row r="1612" spans="2:2">
      <c r="B1612"/>
    </row>
    <row r="1613" spans="2:2">
      <c r="B1613"/>
    </row>
    <row r="1614" spans="2:2">
      <c r="B1614"/>
    </row>
    <row r="1615" spans="2:2">
      <c r="B1615"/>
    </row>
    <row r="1616" spans="2:2">
      <c r="B1616"/>
    </row>
    <row r="1617" spans="2:2">
      <c r="B1617"/>
    </row>
    <row r="1618" spans="2:2">
      <c r="B1618"/>
    </row>
    <row r="1619" spans="2:2">
      <c r="B1619"/>
    </row>
    <row r="1620" spans="2:2">
      <c r="B1620"/>
    </row>
    <row r="1621" spans="2:2">
      <c r="B1621"/>
    </row>
    <row r="1622" spans="2:2">
      <c r="B1622"/>
    </row>
    <row r="1623" spans="2:2">
      <c r="B1623"/>
    </row>
    <row r="1624" spans="2:2">
      <c r="B1624"/>
    </row>
    <row r="1625" spans="2:2">
      <c r="B1625"/>
    </row>
    <row r="1626" spans="2:2">
      <c r="B1626"/>
    </row>
    <row r="1627" spans="2:2">
      <c r="B1627"/>
    </row>
    <row r="1628" spans="2:2">
      <c r="B1628"/>
    </row>
    <row r="1629" spans="2:2">
      <c r="B1629"/>
    </row>
    <row r="1630" spans="2:2">
      <c r="B1630"/>
    </row>
    <row r="1631" spans="2:2">
      <c r="B1631"/>
    </row>
    <row r="1632" spans="2:2">
      <c r="B1632"/>
    </row>
    <row r="1633" spans="2:2">
      <c r="B1633"/>
    </row>
    <row r="1634" spans="2:2">
      <c r="B1634"/>
    </row>
    <row r="1635" spans="2:2">
      <c r="B1635"/>
    </row>
    <row r="1636" spans="2:2">
      <c r="B1636"/>
    </row>
    <row r="1637" spans="2:2">
      <c r="B1637"/>
    </row>
    <row r="1638" spans="2:2">
      <c r="B1638"/>
    </row>
    <row r="1639" spans="2:2">
      <c r="B1639"/>
    </row>
    <row r="1640" spans="2:2">
      <c r="B1640"/>
    </row>
    <row r="1641" spans="2:2">
      <c r="B1641"/>
    </row>
    <row r="1642" spans="2:2">
      <c r="B1642"/>
    </row>
    <row r="1643" spans="2:2">
      <c r="B1643"/>
    </row>
    <row r="1644" spans="2:2">
      <c r="B1644"/>
    </row>
    <row r="1645" spans="2:2">
      <c r="B1645"/>
    </row>
    <row r="1646" spans="2:2">
      <c r="B1646"/>
    </row>
    <row r="1647" spans="2:2">
      <c r="B1647"/>
    </row>
    <row r="1648" spans="2:2">
      <c r="B1648"/>
    </row>
    <row r="1649" spans="2:2">
      <c r="B1649"/>
    </row>
    <row r="1650" spans="2:2">
      <c r="B1650"/>
    </row>
    <row r="1651" spans="2:2">
      <c r="B1651"/>
    </row>
    <row r="1652" spans="2:2">
      <c r="B1652"/>
    </row>
    <row r="1653" spans="2:2">
      <c r="B1653"/>
    </row>
    <row r="1654" spans="2:2">
      <c r="B1654"/>
    </row>
    <row r="1655" spans="2:2">
      <c r="B1655"/>
    </row>
    <row r="1656" spans="2:2">
      <c r="B1656"/>
    </row>
    <row r="1657" spans="2:2">
      <c r="B1657"/>
    </row>
    <row r="1658" spans="2:2">
      <c r="B1658"/>
    </row>
    <row r="1659" spans="2:2">
      <c r="B1659"/>
    </row>
    <row r="1660" spans="2:2">
      <c r="B1660"/>
    </row>
    <row r="1661" spans="2:2">
      <c r="B1661"/>
    </row>
    <row r="1662" spans="2:2">
      <c r="B1662"/>
    </row>
    <row r="1663" spans="2:2">
      <c r="B1663"/>
    </row>
    <row r="1664" spans="2:2">
      <c r="B1664"/>
    </row>
    <row r="1665" spans="2:2">
      <c r="B1665"/>
    </row>
    <row r="1666" spans="2:2">
      <c r="B1666"/>
    </row>
    <row r="1667" spans="2:2">
      <c r="B1667"/>
    </row>
    <row r="1668" spans="2:2">
      <c r="B1668"/>
    </row>
    <row r="1669" spans="2:2">
      <c r="B1669"/>
    </row>
    <row r="1670" spans="2:2">
      <c r="B1670"/>
    </row>
    <row r="1671" spans="2:2">
      <c r="B1671"/>
    </row>
    <row r="1672" spans="2:2">
      <c r="B1672"/>
    </row>
    <row r="1673" spans="2:2">
      <c r="B1673"/>
    </row>
    <row r="1674" spans="2:2">
      <c r="B1674"/>
    </row>
    <row r="1675" spans="2:2">
      <c r="B1675"/>
    </row>
    <row r="1676" spans="2:2">
      <c r="B1676"/>
    </row>
    <row r="1677" spans="2:2">
      <c r="B1677"/>
    </row>
    <row r="1678" spans="2:2">
      <c r="B1678"/>
    </row>
    <row r="1679" spans="2:2">
      <c r="B1679"/>
    </row>
    <row r="1680" spans="2:2">
      <c r="B1680"/>
    </row>
    <row r="1681" spans="2:2">
      <c r="B1681"/>
    </row>
    <row r="1682" spans="2:2">
      <c r="B1682"/>
    </row>
    <row r="1683" spans="2:2">
      <c r="B1683"/>
    </row>
    <row r="1684" spans="2:2">
      <c r="B1684"/>
    </row>
    <row r="1685" spans="2:2">
      <c r="B1685"/>
    </row>
    <row r="1686" spans="2:2">
      <c r="B1686"/>
    </row>
    <row r="1687" spans="2:2">
      <c r="B1687"/>
    </row>
    <row r="1688" spans="2:2">
      <c r="B1688"/>
    </row>
    <row r="1689" spans="2:2">
      <c r="B1689"/>
    </row>
    <row r="1690" spans="2:2">
      <c r="B1690"/>
    </row>
    <row r="1691" spans="2:2">
      <c r="B1691"/>
    </row>
    <row r="1692" spans="2:2">
      <c r="B1692"/>
    </row>
    <row r="1693" spans="2:2">
      <c r="B1693"/>
    </row>
    <row r="1694" spans="2:2">
      <c r="B1694"/>
    </row>
    <row r="1695" spans="2:2">
      <c r="B1695"/>
    </row>
    <row r="1696" spans="2:2">
      <c r="B1696"/>
    </row>
    <row r="1697" spans="2:2">
      <c r="B1697"/>
    </row>
    <row r="1698" spans="2:2">
      <c r="B1698"/>
    </row>
    <row r="1699" spans="2:2">
      <c r="B1699"/>
    </row>
    <row r="1700" spans="2:2">
      <c r="B1700"/>
    </row>
    <row r="1701" spans="2:2">
      <c r="B1701"/>
    </row>
    <row r="1702" spans="2:2">
      <c r="B1702"/>
    </row>
    <row r="1703" spans="2:2">
      <c r="B1703"/>
    </row>
    <row r="1704" spans="2:2">
      <c r="B1704"/>
    </row>
    <row r="1705" spans="2:2">
      <c r="B1705"/>
    </row>
    <row r="1706" spans="2:2">
      <c r="B1706"/>
    </row>
    <row r="1707" spans="2:2">
      <c r="B1707"/>
    </row>
    <row r="1708" spans="2:2">
      <c r="B1708"/>
    </row>
    <row r="1709" spans="2:2">
      <c r="B1709"/>
    </row>
    <row r="1710" spans="2:2">
      <c r="B1710"/>
    </row>
    <row r="1711" spans="2:2">
      <c r="B1711"/>
    </row>
    <row r="1712" spans="2:2">
      <c r="B1712"/>
    </row>
    <row r="1713" spans="2:2">
      <c r="B1713"/>
    </row>
    <row r="1714" spans="2:2">
      <c r="B1714"/>
    </row>
    <row r="1715" spans="2:2">
      <c r="B1715"/>
    </row>
    <row r="1716" spans="2:2">
      <c r="B1716"/>
    </row>
    <row r="1717" spans="2:2">
      <c r="B1717"/>
    </row>
    <row r="1718" spans="2:2">
      <c r="B1718"/>
    </row>
    <row r="1719" spans="2:2">
      <c r="B1719"/>
    </row>
    <row r="1720" spans="2:2">
      <c r="B1720"/>
    </row>
    <row r="1721" spans="2:2">
      <c r="B1721"/>
    </row>
    <row r="1722" spans="2:2">
      <c r="B1722"/>
    </row>
    <row r="1723" spans="2:2">
      <c r="B1723"/>
    </row>
    <row r="1724" spans="2:2">
      <c r="B1724"/>
    </row>
    <row r="1725" spans="2:2">
      <c r="B1725"/>
    </row>
    <row r="1726" spans="2:2">
      <c r="B1726"/>
    </row>
    <row r="1727" spans="2:2">
      <c r="B1727"/>
    </row>
    <row r="1728" spans="2:2">
      <c r="B1728"/>
    </row>
    <row r="1729" spans="2:2">
      <c r="B1729"/>
    </row>
    <row r="1730" spans="2:2">
      <c r="B1730"/>
    </row>
    <row r="1731" spans="2:2">
      <c r="B1731"/>
    </row>
    <row r="1732" spans="2:2">
      <c r="B1732"/>
    </row>
    <row r="1733" spans="2:2">
      <c r="B1733"/>
    </row>
    <row r="1734" spans="2:2">
      <c r="B1734"/>
    </row>
    <row r="1735" spans="2:2">
      <c r="B1735"/>
    </row>
    <row r="1736" spans="2:2">
      <c r="B1736"/>
    </row>
    <row r="1737" spans="2:2">
      <c r="B1737"/>
    </row>
    <row r="1738" spans="2:2">
      <c r="B1738"/>
    </row>
    <row r="1739" spans="2:2">
      <c r="B1739"/>
    </row>
    <row r="1740" spans="2:2">
      <c r="B1740"/>
    </row>
    <row r="1741" spans="2:2">
      <c r="B1741"/>
    </row>
    <row r="1742" spans="2:2">
      <c r="B1742"/>
    </row>
    <row r="1743" spans="2:2">
      <c r="B1743"/>
    </row>
    <row r="1744" spans="2:2">
      <c r="B1744"/>
    </row>
    <row r="1745" spans="2:2">
      <c r="B1745"/>
    </row>
    <row r="1746" spans="2:2">
      <c r="B1746"/>
    </row>
    <row r="1747" spans="2:2">
      <c r="B1747"/>
    </row>
    <row r="1748" spans="2:2">
      <c r="B1748"/>
    </row>
    <row r="1749" spans="2:2">
      <c r="B1749"/>
    </row>
    <row r="1750" spans="2:2">
      <c r="B1750"/>
    </row>
    <row r="1751" spans="2:2">
      <c r="B1751"/>
    </row>
    <row r="1752" spans="2:2">
      <c r="B1752"/>
    </row>
    <row r="1753" spans="2:2">
      <c r="B1753"/>
    </row>
    <row r="1754" spans="2:2">
      <c r="B1754"/>
    </row>
    <row r="1755" spans="2:2">
      <c r="B1755"/>
    </row>
    <row r="1756" spans="2:2">
      <c r="B1756"/>
    </row>
    <row r="1757" spans="2:2">
      <c r="B1757"/>
    </row>
    <row r="1758" spans="2:2">
      <c r="B1758"/>
    </row>
    <row r="1759" spans="2:2">
      <c r="B1759"/>
    </row>
    <row r="1760" spans="2:2">
      <c r="B1760"/>
    </row>
    <row r="1761" spans="2:2">
      <c r="B1761"/>
    </row>
    <row r="1762" spans="2:2">
      <c r="B1762"/>
    </row>
    <row r="1763" spans="2:2">
      <c r="B1763"/>
    </row>
    <row r="1764" spans="2:2">
      <c r="B1764"/>
    </row>
    <row r="1765" spans="2:2">
      <c r="B1765"/>
    </row>
    <row r="1766" spans="2:2">
      <c r="B1766"/>
    </row>
    <row r="1767" spans="2:2">
      <c r="B1767"/>
    </row>
    <row r="1768" spans="2:2">
      <c r="B1768"/>
    </row>
    <row r="1769" spans="2:2">
      <c r="B1769"/>
    </row>
    <row r="1770" spans="2:2">
      <c r="B1770"/>
    </row>
    <row r="1771" spans="2:2">
      <c r="B1771"/>
    </row>
    <row r="1772" spans="2:2">
      <c r="B1772"/>
    </row>
    <row r="1773" spans="2:2">
      <c r="B1773"/>
    </row>
    <row r="1774" spans="2:2">
      <c r="B1774"/>
    </row>
    <row r="1775" spans="2:2">
      <c r="B1775"/>
    </row>
    <row r="1776" spans="2:2">
      <c r="B1776"/>
    </row>
    <row r="1777" spans="2:2">
      <c r="B1777"/>
    </row>
    <row r="1778" spans="2:2">
      <c r="B1778"/>
    </row>
    <row r="1779" spans="2:2">
      <c r="B1779"/>
    </row>
    <row r="1780" spans="2:2">
      <c r="B1780"/>
    </row>
    <row r="1781" spans="2:2">
      <c r="B1781"/>
    </row>
    <row r="1782" spans="2:2">
      <c r="B1782"/>
    </row>
    <row r="1783" spans="2:2">
      <c r="B1783"/>
    </row>
    <row r="1784" spans="2:2">
      <c r="B1784"/>
    </row>
    <row r="1785" spans="2:2">
      <c r="B1785"/>
    </row>
    <row r="1786" spans="2:2">
      <c r="B1786"/>
    </row>
    <row r="1787" spans="2:2">
      <c r="B1787"/>
    </row>
    <row r="1788" spans="2:2">
      <c r="B1788"/>
    </row>
    <row r="1789" spans="2:2">
      <c r="B1789"/>
    </row>
    <row r="1790" spans="2:2">
      <c r="B1790"/>
    </row>
    <row r="1791" spans="2:2">
      <c r="B1791"/>
    </row>
    <row r="1792" spans="2:2">
      <c r="B1792"/>
    </row>
    <row r="1793" spans="2:2">
      <c r="B1793"/>
    </row>
    <row r="1794" spans="2:2">
      <c r="B1794"/>
    </row>
    <row r="1795" spans="2:2">
      <c r="B1795"/>
    </row>
    <row r="1796" spans="2:2">
      <c r="B1796"/>
    </row>
    <row r="1797" spans="2:2">
      <c r="B1797"/>
    </row>
    <row r="1798" spans="2:2">
      <c r="B1798"/>
    </row>
    <row r="1799" spans="2:2">
      <c r="B1799"/>
    </row>
    <row r="1800" spans="2:2">
      <c r="B1800"/>
    </row>
    <row r="1801" spans="2:2">
      <c r="B1801"/>
    </row>
    <row r="1802" spans="2:2">
      <c r="B1802"/>
    </row>
    <row r="1803" spans="2:2">
      <c r="B1803"/>
    </row>
    <row r="1804" spans="2:2">
      <c r="B1804"/>
    </row>
    <row r="1805" spans="2:2">
      <c r="B1805"/>
    </row>
    <row r="1806" spans="2:2">
      <c r="B1806"/>
    </row>
    <row r="1807" spans="2:2">
      <c r="B1807"/>
    </row>
    <row r="1808" spans="2:2">
      <c r="B1808"/>
    </row>
    <row r="1809" spans="2:2">
      <c r="B1809"/>
    </row>
    <row r="1810" spans="2:2">
      <c r="B1810"/>
    </row>
    <row r="1811" spans="2:2">
      <c r="B1811"/>
    </row>
    <row r="1812" spans="2:2">
      <c r="B1812"/>
    </row>
    <row r="1813" spans="2:2">
      <c r="B1813"/>
    </row>
    <row r="1814" spans="2:2">
      <c r="B1814"/>
    </row>
    <row r="1815" spans="2:2">
      <c r="B1815"/>
    </row>
    <row r="1816" spans="2:2">
      <c r="B1816"/>
    </row>
    <row r="1817" spans="2:2">
      <c r="B1817"/>
    </row>
    <row r="1818" spans="2:2">
      <c r="B1818"/>
    </row>
    <row r="1819" spans="2:2">
      <c r="B1819"/>
    </row>
    <row r="1820" spans="2:2">
      <c r="B1820"/>
    </row>
    <row r="1821" spans="2:2">
      <c r="B1821"/>
    </row>
    <row r="1822" spans="2:2">
      <c r="B1822"/>
    </row>
    <row r="1823" spans="2:2">
      <c r="B1823"/>
    </row>
    <row r="1824" spans="2:2">
      <c r="B1824"/>
    </row>
    <row r="1825" spans="2:2">
      <c r="B1825"/>
    </row>
    <row r="1826" spans="2:2">
      <c r="B1826"/>
    </row>
    <row r="1827" spans="2:2">
      <c r="B1827"/>
    </row>
    <row r="1828" spans="2:2">
      <c r="B1828"/>
    </row>
    <row r="1829" spans="2:2">
      <c r="B1829"/>
    </row>
    <row r="1830" spans="2:2">
      <c r="B1830"/>
    </row>
    <row r="1831" spans="2:2">
      <c r="B1831"/>
    </row>
    <row r="1832" spans="2:2">
      <c r="B1832"/>
    </row>
    <row r="1833" spans="2:2">
      <c r="B1833"/>
    </row>
    <row r="1834" spans="2:2">
      <c r="B1834"/>
    </row>
    <row r="1835" spans="2:2">
      <c r="B1835"/>
    </row>
    <row r="1836" spans="2:2">
      <c r="B1836"/>
    </row>
    <row r="1837" spans="2:2">
      <c r="B1837"/>
    </row>
    <row r="1838" spans="2:2">
      <c r="B1838"/>
    </row>
    <row r="1839" spans="2:2">
      <c r="B1839"/>
    </row>
    <row r="1840" spans="2:2">
      <c r="B1840"/>
    </row>
    <row r="1841" spans="2:2">
      <c r="B1841"/>
    </row>
    <row r="1842" spans="2:2">
      <c r="B1842"/>
    </row>
    <row r="1843" spans="2:2">
      <c r="B1843"/>
    </row>
    <row r="1844" spans="2:2">
      <c r="B1844"/>
    </row>
    <row r="1845" spans="2:2">
      <c r="B1845"/>
    </row>
    <row r="1846" spans="2:2">
      <c r="B1846"/>
    </row>
    <row r="1847" spans="2:2">
      <c r="B1847"/>
    </row>
    <row r="1848" spans="2:2">
      <c r="B1848"/>
    </row>
    <row r="1849" spans="2:2">
      <c r="B1849"/>
    </row>
    <row r="1850" spans="2:2">
      <c r="B1850"/>
    </row>
    <row r="1851" spans="2:2">
      <c r="B1851"/>
    </row>
    <row r="1852" spans="2:2">
      <c r="B1852"/>
    </row>
    <row r="1853" spans="2:2">
      <c r="B1853"/>
    </row>
    <row r="1854" spans="2:2">
      <c r="B1854"/>
    </row>
    <row r="1855" spans="2:2">
      <c r="B1855"/>
    </row>
    <row r="1856" spans="2:2">
      <c r="B1856"/>
    </row>
    <row r="1857" spans="2:2">
      <c r="B1857"/>
    </row>
    <row r="1858" spans="2:2">
      <c r="B1858"/>
    </row>
    <row r="1859" spans="2:2">
      <c r="B1859"/>
    </row>
    <row r="1860" spans="2:2">
      <c r="B1860"/>
    </row>
    <row r="1861" spans="2:2">
      <c r="B1861"/>
    </row>
    <row r="1862" spans="2:2">
      <c r="B1862"/>
    </row>
    <row r="1863" spans="2:2">
      <c r="B1863"/>
    </row>
    <row r="1864" spans="2:2">
      <c r="B1864"/>
    </row>
    <row r="1865" spans="2:2">
      <c r="B1865"/>
    </row>
    <row r="1866" spans="2:2">
      <c r="B1866"/>
    </row>
    <row r="1867" spans="2:2">
      <c r="B1867"/>
    </row>
    <row r="1868" spans="2:2">
      <c r="B1868"/>
    </row>
    <row r="1869" spans="2:2">
      <c r="B1869"/>
    </row>
    <row r="1870" spans="2:2">
      <c r="B1870"/>
    </row>
    <row r="1871" spans="2:2">
      <c r="B1871"/>
    </row>
    <row r="1872" spans="2:2">
      <c r="B1872"/>
    </row>
    <row r="1873" spans="2:2">
      <c r="B1873"/>
    </row>
    <row r="1874" spans="2:2">
      <c r="B1874"/>
    </row>
    <row r="1875" spans="2:2">
      <c r="B1875"/>
    </row>
    <row r="1876" spans="2:2">
      <c r="B1876"/>
    </row>
    <row r="1877" spans="2:2">
      <c r="B1877"/>
    </row>
    <row r="1878" spans="2:2">
      <c r="B1878"/>
    </row>
    <row r="1879" spans="2:2">
      <c r="B1879"/>
    </row>
    <row r="1880" spans="2:2">
      <c r="B1880"/>
    </row>
    <row r="1881" spans="2:2">
      <c r="B1881"/>
    </row>
    <row r="1882" spans="2:2">
      <c r="B1882"/>
    </row>
    <row r="1883" spans="2:2">
      <c r="B1883"/>
    </row>
    <row r="1884" spans="2:2">
      <c r="B1884"/>
    </row>
    <row r="1885" spans="2:2">
      <c r="B1885"/>
    </row>
    <row r="1886" spans="2:2">
      <c r="B1886"/>
    </row>
    <row r="1887" spans="2:2">
      <c r="B1887"/>
    </row>
    <row r="1888" spans="2:2">
      <c r="B1888"/>
    </row>
    <row r="1889" spans="2:2">
      <c r="B1889"/>
    </row>
    <row r="1890" spans="2:2">
      <c r="B1890"/>
    </row>
    <row r="1891" spans="2:2">
      <c r="B1891"/>
    </row>
    <row r="1892" spans="2:2">
      <c r="B1892"/>
    </row>
    <row r="1893" spans="2:2">
      <c r="B1893"/>
    </row>
    <row r="1894" spans="2:2">
      <c r="B1894"/>
    </row>
    <row r="1895" spans="2:2">
      <c r="B1895"/>
    </row>
    <row r="1896" spans="2:2">
      <c r="B1896"/>
    </row>
    <row r="1897" spans="2:2">
      <c r="B1897"/>
    </row>
    <row r="1898" spans="2:2">
      <c r="B1898"/>
    </row>
    <row r="1899" spans="2:2">
      <c r="B1899"/>
    </row>
    <row r="1900" spans="2:2">
      <c r="B1900"/>
    </row>
    <row r="1901" spans="2:2">
      <c r="B1901"/>
    </row>
    <row r="1902" spans="2:2">
      <c r="B1902"/>
    </row>
    <row r="1903" spans="2:2">
      <c r="B1903"/>
    </row>
    <row r="1904" spans="2:2">
      <c r="B1904"/>
    </row>
    <row r="1905" spans="2:2">
      <c r="B1905"/>
    </row>
    <row r="1906" spans="2:2">
      <c r="B1906"/>
    </row>
    <row r="1907" spans="2:2">
      <c r="B1907"/>
    </row>
    <row r="1908" spans="2:2">
      <c r="B1908"/>
    </row>
    <row r="1909" spans="2:2">
      <c r="B1909"/>
    </row>
    <row r="1910" spans="2:2">
      <c r="B1910"/>
    </row>
    <row r="1911" spans="2:2">
      <c r="B1911"/>
    </row>
    <row r="1912" spans="2:2">
      <c r="B1912"/>
    </row>
    <row r="1913" spans="2:2">
      <c r="B1913"/>
    </row>
    <row r="1914" spans="2:2">
      <c r="B1914"/>
    </row>
    <row r="1915" spans="2:2">
      <c r="B1915"/>
    </row>
    <row r="1916" spans="2:2">
      <c r="B1916"/>
    </row>
    <row r="1917" spans="2:2">
      <c r="B1917"/>
    </row>
    <row r="1918" spans="2:2">
      <c r="B1918"/>
    </row>
    <row r="1919" spans="2:2">
      <c r="B1919"/>
    </row>
    <row r="1920" spans="2:2">
      <c r="B1920"/>
    </row>
    <row r="1921" spans="2:2">
      <c r="B1921"/>
    </row>
    <row r="1922" spans="2:2">
      <c r="B1922"/>
    </row>
    <row r="1923" spans="2:2">
      <c r="B1923"/>
    </row>
    <row r="1924" spans="2:2">
      <c r="B1924"/>
    </row>
    <row r="1925" spans="2:2">
      <c r="B1925"/>
    </row>
    <row r="1926" spans="2:2">
      <c r="B1926"/>
    </row>
    <row r="1927" spans="2:2">
      <c r="B1927"/>
    </row>
    <row r="1928" spans="2:2">
      <c r="B1928"/>
    </row>
    <row r="1929" spans="2:2">
      <c r="B1929"/>
    </row>
    <row r="1930" spans="2:2">
      <c r="B1930"/>
    </row>
    <row r="1931" spans="2:2">
      <c r="B1931"/>
    </row>
    <row r="1932" spans="2:2">
      <c r="B1932"/>
    </row>
    <row r="1933" spans="2:2">
      <c r="B1933"/>
    </row>
    <row r="1934" spans="2:2">
      <c r="B1934"/>
    </row>
    <row r="1935" spans="2:2">
      <c r="B1935"/>
    </row>
    <row r="1936" spans="2:2">
      <c r="B1936"/>
    </row>
    <row r="1937" spans="2:2">
      <c r="B1937"/>
    </row>
    <row r="1938" spans="2:2">
      <c r="B1938"/>
    </row>
    <row r="1939" spans="2:2">
      <c r="B1939"/>
    </row>
    <row r="1940" spans="2:2">
      <c r="B1940"/>
    </row>
    <row r="1941" spans="2:2">
      <c r="B1941"/>
    </row>
    <row r="1942" spans="2:2">
      <c r="B1942"/>
    </row>
    <row r="1943" spans="2:2">
      <c r="B1943"/>
    </row>
    <row r="1944" spans="2:2">
      <c r="B1944"/>
    </row>
    <row r="1945" spans="2:2">
      <c r="B1945"/>
    </row>
    <row r="1946" spans="2:2">
      <c r="B1946"/>
    </row>
    <row r="1947" spans="2:2">
      <c r="B1947"/>
    </row>
    <row r="1948" spans="2:2">
      <c r="B1948"/>
    </row>
    <row r="1949" spans="2:2">
      <c r="B1949"/>
    </row>
    <row r="1950" spans="2:2">
      <c r="B1950"/>
    </row>
    <row r="1951" spans="2:2">
      <c r="B1951"/>
    </row>
    <row r="1952" spans="2:2">
      <c r="B1952"/>
    </row>
    <row r="1953" spans="2:2">
      <c r="B1953"/>
    </row>
    <row r="1954" spans="2:2">
      <c r="B1954"/>
    </row>
    <row r="1955" spans="2:2">
      <c r="B1955"/>
    </row>
    <row r="1956" spans="2:2">
      <c r="B1956"/>
    </row>
    <row r="1957" spans="2:2">
      <c r="B1957"/>
    </row>
    <row r="1958" spans="2:2">
      <c r="B1958"/>
    </row>
    <row r="1959" spans="2:2">
      <c r="B1959"/>
    </row>
    <row r="1960" spans="2:2">
      <c r="B1960"/>
    </row>
    <row r="1961" spans="2:2">
      <c r="B1961"/>
    </row>
    <row r="1962" spans="2:2">
      <c r="B1962"/>
    </row>
    <row r="1963" spans="2:2">
      <c r="B1963"/>
    </row>
    <row r="1964" spans="2:2">
      <c r="B1964"/>
    </row>
    <row r="1965" spans="2:2">
      <c r="B1965"/>
    </row>
    <row r="1966" spans="2:2">
      <c r="B1966"/>
    </row>
    <row r="1967" spans="2:2">
      <c r="B1967"/>
    </row>
    <row r="1968" spans="2:2">
      <c r="B1968"/>
    </row>
    <row r="1969" spans="2:2">
      <c r="B1969"/>
    </row>
    <row r="1970" spans="2:2">
      <c r="B1970"/>
    </row>
    <row r="1971" spans="2:2">
      <c r="B1971"/>
    </row>
    <row r="1972" spans="2:2">
      <c r="B1972"/>
    </row>
    <row r="1973" spans="2:2">
      <c r="B1973"/>
    </row>
    <row r="1974" spans="2:2">
      <c r="B1974"/>
    </row>
    <row r="1975" spans="2:2">
      <c r="B1975"/>
    </row>
    <row r="1976" spans="2:2">
      <c r="B1976"/>
    </row>
    <row r="1977" spans="2:2">
      <c r="B1977"/>
    </row>
    <row r="1978" spans="2:2">
      <c r="B1978"/>
    </row>
    <row r="1979" spans="2:2">
      <c r="B1979"/>
    </row>
    <row r="1980" spans="2:2">
      <c r="B1980"/>
    </row>
    <row r="1981" spans="2:2">
      <c r="B1981"/>
    </row>
    <row r="1982" spans="2:2">
      <c r="B1982"/>
    </row>
    <row r="1983" spans="2:2">
      <c r="B1983"/>
    </row>
    <row r="1984" spans="2:2">
      <c r="B1984"/>
    </row>
    <row r="1985" spans="2:2">
      <c r="B1985"/>
    </row>
    <row r="1986" spans="2:2">
      <c r="B1986"/>
    </row>
    <row r="1987" spans="2:2">
      <c r="B1987"/>
    </row>
    <row r="1988" spans="2:2">
      <c r="B1988"/>
    </row>
    <row r="1989" spans="2:2">
      <c r="B1989"/>
    </row>
    <row r="1990" spans="2:2">
      <c r="B1990"/>
    </row>
    <row r="1991" spans="2:2">
      <c r="B1991"/>
    </row>
    <row r="1992" spans="2:2">
      <c r="B1992"/>
    </row>
    <row r="1993" spans="2:2">
      <c r="B1993"/>
    </row>
    <row r="1994" spans="2:2">
      <c r="B1994"/>
    </row>
    <row r="1995" spans="2:2">
      <c r="B1995"/>
    </row>
    <row r="1996" spans="2:2">
      <c r="B1996"/>
    </row>
    <row r="1997" spans="2:2">
      <c r="B1997"/>
    </row>
    <row r="1998" spans="2:2">
      <c r="B1998"/>
    </row>
    <row r="1999" spans="2:2">
      <c r="B1999"/>
    </row>
    <row r="2000" spans="2:2">
      <c r="B2000"/>
    </row>
    <row r="2001" spans="2:2">
      <c r="B2001"/>
    </row>
    <row r="2002" spans="2:2">
      <c r="B2002"/>
    </row>
    <row r="2003" spans="2:2">
      <c r="B2003"/>
    </row>
    <row r="2004" spans="2:2">
      <c r="B2004"/>
    </row>
    <row r="2005" spans="2:2">
      <c r="B2005"/>
    </row>
    <row r="2006" spans="2:2">
      <c r="B2006"/>
    </row>
    <row r="2007" spans="2:2">
      <c r="B2007"/>
    </row>
    <row r="2008" spans="2:2">
      <c r="B2008"/>
    </row>
    <row r="2009" spans="2:2">
      <c r="B2009"/>
    </row>
    <row r="2010" spans="2:2">
      <c r="B2010"/>
    </row>
    <row r="2011" spans="2:2">
      <c r="B2011"/>
    </row>
    <row r="2012" spans="2:2">
      <c r="B2012"/>
    </row>
    <row r="2013" spans="2:2">
      <c r="B2013"/>
    </row>
    <row r="2014" spans="2:2">
      <c r="B2014"/>
    </row>
    <row r="2015" spans="2:2">
      <c r="B2015"/>
    </row>
    <row r="2016" spans="2:2">
      <c r="B2016"/>
    </row>
    <row r="2017" spans="2:2">
      <c r="B2017"/>
    </row>
    <row r="2018" spans="2:2">
      <c r="B2018"/>
    </row>
    <row r="2019" spans="2:2">
      <c r="B2019"/>
    </row>
    <row r="2020" spans="2:2">
      <c r="B2020"/>
    </row>
    <row r="2021" spans="2:2">
      <c r="B2021"/>
    </row>
    <row r="2022" spans="2:2">
      <c r="B2022"/>
    </row>
    <row r="2023" spans="2:2">
      <c r="B2023"/>
    </row>
    <row r="2024" spans="2:2">
      <c r="B2024"/>
    </row>
    <row r="2025" spans="2:2">
      <c r="B2025"/>
    </row>
    <row r="2026" spans="2:2">
      <c r="B2026"/>
    </row>
    <row r="2027" spans="2:2">
      <c r="B2027"/>
    </row>
    <row r="2028" spans="2:2">
      <c r="B2028"/>
    </row>
    <row r="2029" spans="2:2">
      <c r="B2029"/>
    </row>
    <row r="2030" spans="2:2">
      <c r="B2030"/>
    </row>
    <row r="2031" spans="2:2">
      <c r="B2031"/>
    </row>
    <row r="2032" spans="2:2">
      <c r="B2032"/>
    </row>
    <row r="2033" spans="2:2">
      <c r="B2033"/>
    </row>
    <row r="2034" spans="2:2">
      <c r="B2034"/>
    </row>
    <row r="2035" spans="2:2">
      <c r="B2035"/>
    </row>
    <row r="2036" spans="2:2">
      <c r="B2036"/>
    </row>
    <row r="2037" spans="2:2">
      <c r="B2037"/>
    </row>
    <row r="2038" spans="2:2">
      <c r="B2038"/>
    </row>
    <row r="2039" spans="2:2">
      <c r="B2039"/>
    </row>
    <row r="2040" spans="2:2">
      <c r="B2040"/>
    </row>
    <row r="2041" spans="2:2">
      <c r="B2041"/>
    </row>
    <row r="2042" spans="2:2">
      <c r="B2042"/>
    </row>
    <row r="2043" spans="2:2">
      <c r="B2043"/>
    </row>
    <row r="2044" spans="2:2">
      <c r="B2044"/>
    </row>
    <row r="2045" spans="2:2">
      <c r="B2045"/>
    </row>
    <row r="2046" spans="2:2">
      <c r="B2046"/>
    </row>
    <row r="2047" spans="2:2">
      <c r="B2047"/>
    </row>
    <row r="2048" spans="2:2">
      <c r="B2048"/>
    </row>
    <row r="2049" spans="2:2">
      <c r="B2049"/>
    </row>
    <row r="2050" spans="2:2">
      <c r="B2050"/>
    </row>
    <row r="2051" spans="2:2">
      <c r="B2051"/>
    </row>
    <row r="2052" spans="2:2">
      <c r="B2052"/>
    </row>
    <row r="2053" spans="2:2">
      <c r="B2053"/>
    </row>
    <row r="2054" spans="2:2">
      <c r="B2054"/>
    </row>
    <row r="2055" spans="2:2">
      <c r="B2055"/>
    </row>
    <row r="2056" spans="2:2">
      <c r="B2056"/>
    </row>
    <row r="2057" spans="2:2">
      <c r="B2057"/>
    </row>
    <row r="2058" spans="2:2">
      <c r="B2058"/>
    </row>
    <row r="2059" spans="2:2">
      <c r="B2059"/>
    </row>
    <row r="2060" spans="2:2">
      <c r="B2060"/>
    </row>
    <row r="2061" spans="2:2">
      <c r="B2061"/>
    </row>
    <row r="2062" spans="2:2">
      <c r="B2062"/>
    </row>
    <row r="2063" spans="2:2">
      <c r="B2063"/>
    </row>
    <row r="2064" spans="2:2">
      <c r="B2064"/>
    </row>
    <row r="2065" spans="2:2">
      <c r="B2065"/>
    </row>
    <row r="2066" spans="2:2">
      <c r="B2066"/>
    </row>
    <row r="2067" spans="2:2">
      <c r="B2067"/>
    </row>
    <row r="2068" spans="2:2">
      <c r="B2068"/>
    </row>
    <row r="2069" spans="2:2">
      <c r="B2069"/>
    </row>
    <row r="2070" spans="2:2">
      <c r="B2070"/>
    </row>
    <row r="2071" spans="2:2">
      <c r="B2071"/>
    </row>
    <row r="2072" spans="2:2">
      <c r="B2072"/>
    </row>
    <row r="2073" spans="2:2">
      <c r="B2073"/>
    </row>
    <row r="2074" spans="2:2">
      <c r="B2074"/>
    </row>
    <row r="2075" spans="2:2">
      <c r="B2075"/>
    </row>
    <row r="2076" spans="2:2">
      <c r="B2076"/>
    </row>
    <row r="2077" spans="2:2">
      <c r="B2077"/>
    </row>
    <row r="2078" spans="2:2">
      <c r="B2078"/>
    </row>
    <row r="2079" spans="2:2">
      <c r="B2079"/>
    </row>
    <row r="2080" spans="2:2">
      <c r="B2080"/>
    </row>
    <row r="2081" spans="2:2">
      <c r="B2081"/>
    </row>
    <row r="2082" spans="2:2">
      <c r="B2082"/>
    </row>
    <row r="2083" spans="2:2">
      <c r="B2083"/>
    </row>
    <row r="2084" spans="2:2">
      <c r="B2084"/>
    </row>
    <row r="2085" spans="2:2">
      <c r="B2085"/>
    </row>
    <row r="2086" spans="2:2">
      <c r="B2086"/>
    </row>
    <row r="2087" spans="2:2">
      <c r="B2087"/>
    </row>
    <row r="2088" spans="2:2">
      <c r="B2088"/>
    </row>
    <row r="2089" spans="2:2">
      <c r="B2089"/>
    </row>
    <row r="2090" spans="2:2">
      <c r="B2090"/>
    </row>
    <row r="2091" spans="2:2">
      <c r="B2091"/>
    </row>
    <row r="2092" spans="2:2">
      <c r="B2092"/>
    </row>
    <row r="2093" spans="2:2">
      <c r="B2093"/>
    </row>
    <row r="2094" spans="2:2">
      <c r="B2094"/>
    </row>
    <row r="2095" spans="2:2">
      <c r="B2095"/>
    </row>
    <row r="2096" spans="2:2">
      <c r="B2096"/>
    </row>
    <row r="2097" spans="2:2">
      <c r="B2097"/>
    </row>
    <row r="2098" spans="2:2">
      <c r="B2098"/>
    </row>
    <row r="2099" spans="2:2">
      <c r="B2099"/>
    </row>
    <row r="2100" spans="2:2">
      <c r="B2100"/>
    </row>
    <row r="2101" spans="2:2">
      <c r="B2101"/>
    </row>
    <row r="2102" spans="2:2">
      <c r="B2102"/>
    </row>
    <row r="2103" spans="2:2">
      <c r="B2103"/>
    </row>
    <row r="2104" spans="2:2">
      <c r="B2104"/>
    </row>
    <row r="2105" spans="2:2">
      <c r="B2105"/>
    </row>
    <row r="2106" spans="2:2">
      <c r="B2106"/>
    </row>
    <row r="2107" spans="2:2">
      <c r="B2107"/>
    </row>
    <row r="2108" spans="2:2">
      <c r="B2108"/>
    </row>
    <row r="2109" spans="2:2">
      <c r="B2109"/>
    </row>
    <row r="2110" spans="2:2">
      <c r="B2110"/>
    </row>
    <row r="2111" spans="2:2">
      <c r="B2111"/>
    </row>
    <row r="2112" spans="2:2">
      <c r="B2112"/>
    </row>
    <row r="2113" spans="2:2">
      <c r="B2113"/>
    </row>
    <row r="2114" spans="2:2">
      <c r="B2114"/>
    </row>
    <row r="2115" spans="2:2">
      <c r="B2115"/>
    </row>
    <row r="2116" spans="2:2">
      <c r="B2116"/>
    </row>
    <row r="2117" spans="2:2">
      <c r="B2117"/>
    </row>
    <row r="2118" spans="2:2">
      <c r="B2118"/>
    </row>
    <row r="2119" spans="2:2">
      <c r="B2119"/>
    </row>
    <row r="2120" spans="2:2">
      <c r="B2120"/>
    </row>
    <row r="2121" spans="2:2">
      <c r="B2121"/>
    </row>
    <row r="2122" spans="2:2">
      <c r="B2122"/>
    </row>
    <row r="2123" spans="2:2">
      <c r="B2123"/>
    </row>
    <row r="2124" spans="2:2">
      <c r="B2124"/>
    </row>
    <row r="2125" spans="2:2">
      <c r="B2125"/>
    </row>
    <row r="2126" spans="2:2">
      <c r="B2126"/>
    </row>
    <row r="2127" spans="2:2">
      <c r="B2127"/>
    </row>
    <row r="2128" spans="2:2">
      <c r="B2128"/>
    </row>
    <row r="2129" spans="2:2">
      <c r="B2129"/>
    </row>
    <row r="2130" spans="2:2">
      <c r="B2130"/>
    </row>
    <row r="2131" spans="2:2">
      <c r="B2131"/>
    </row>
    <row r="2132" spans="2:2">
      <c r="B2132"/>
    </row>
    <row r="2133" spans="2:2">
      <c r="B2133"/>
    </row>
    <row r="2134" spans="2:2">
      <c r="B2134"/>
    </row>
    <row r="2135" spans="2:2">
      <c r="B2135"/>
    </row>
    <row r="2136" spans="2:2">
      <c r="B2136"/>
    </row>
    <row r="2137" spans="2:2">
      <c r="B2137"/>
    </row>
    <row r="2138" spans="2:2">
      <c r="B2138"/>
    </row>
    <row r="2139" spans="2:2">
      <c r="B2139"/>
    </row>
    <row r="2140" spans="2:2">
      <c r="B2140"/>
    </row>
    <row r="2141" spans="2:2">
      <c r="B2141"/>
    </row>
    <row r="2142" spans="2:2">
      <c r="B2142"/>
    </row>
    <row r="2143" spans="2:2">
      <c r="B2143"/>
    </row>
    <row r="2144" spans="2:2">
      <c r="B2144"/>
    </row>
    <row r="2145" spans="2:2">
      <c r="B2145"/>
    </row>
    <row r="2146" spans="2:2">
      <c r="B2146"/>
    </row>
    <row r="2147" spans="2:2">
      <c r="B2147"/>
    </row>
    <row r="2148" spans="2:2">
      <c r="B2148"/>
    </row>
    <row r="2149" spans="2:2">
      <c r="B2149"/>
    </row>
    <row r="2150" spans="2:2">
      <c r="B2150"/>
    </row>
    <row r="2151" spans="2:2">
      <c r="B2151"/>
    </row>
    <row r="2152" spans="2:2">
      <c r="B2152"/>
    </row>
    <row r="2153" spans="2:2">
      <c r="B2153"/>
    </row>
    <row r="2154" spans="2:2">
      <c r="B2154"/>
    </row>
    <row r="2155" spans="2:2">
      <c r="B2155"/>
    </row>
    <row r="2156" spans="2:2">
      <c r="B2156"/>
    </row>
    <row r="2157" spans="2:2">
      <c r="B2157"/>
    </row>
    <row r="2158" spans="2:2">
      <c r="B2158"/>
    </row>
    <row r="2159" spans="2:2">
      <c r="B2159"/>
    </row>
    <row r="2160" spans="2:2">
      <c r="B2160"/>
    </row>
    <row r="2161" spans="2:2">
      <c r="B2161"/>
    </row>
    <row r="2162" spans="2:2">
      <c r="B2162"/>
    </row>
    <row r="2163" spans="2:2">
      <c r="B2163"/>
    </row>
    <row r="2164" spans="2:2">
      <c r="B2164"/>
    </row>
    <row r="2165" spans="2:2">
      <c r="B2165"/>
    </row>
    <row r="2166" spans="2:2">
      <c r="B2166"/>
    </row>
    <row r="2167" spans="2:2">
      <c r="B2167"/>
    </row>
    <row r="2168" spans="2:2">
      <c r="B2168"/>
    </row>
    <row r="2169" spans="2:2">
      <c r="B2169"/>
    </row>
    <row r="2170" spans="2:2">
      <c r="B2170"/>
    </row>
    <row r="2171" spans="2:2">
      <c r="B2171"/>
    </row>
    <row r="2172" spans="2:2">
      <c r="B2172"/>
    </row>
    <row r="2173" spans="2:2">
      <c r="B2173"/>
    </row>
    <row r="2174" spans="2:2">
      <c r="B2174"/>
    </row>
    <row r="2175" spans="2:2">
      <c r="B2175"/>
    </row>
    <row r="2176" spans="2:2">
      <c r="B2176"/>
    </row>
    <row r="2177" spans="2:2">
      <c r="B2177"/>
    </row>
    <row r="2178" spans="2:2">
      <c r="B2178"/>
    </row>
    <row r="2179" spans="2:2">
      <c r="B2179"/>
    </row>
    <row r="2180" spans="2:2">
      <c r="B2180"/>
    </row>
    <row r="2181" spans="2:2">
      <c r="B2181"/>
    </row>
    <row r="2182" spans="2:2">
      <c r="B2182"/>
    </row>
    <row r="2183" spans="2:2">
      <c r="B2183"/>
    </row>
    <row r="2184" spans="2:2">
      <c r="B2184"/>
    </row>
    <row r="2185" spans="2:2">
      <c r="B2185"/>
    </row>
    <row r="2186" spans="2:2">
      <c r="B2186"/>
    </row>
    <row r="2187" spans="2:2">
      <c r="B2187"/>
    </row>
    <row r="2188" spans="2:2">
      <c r="B2188"/>
    </row>
    <row r="2189" spans="2:2">
      <c r="B2189"/>
    </row>
    <row r="2190" spans="2:2">
      <c r="B2190"/>
    </row>
    <row r="2191" spans="2:2">
      <c r="B2191"/>
    </row>
    <row r="2192" spans="2:2">
      <c r="B2192"/>
    </row>
    <row r="2193" spans="2:2">
      <c r="B2193"/>
    </row>
    <row r="2194" spans="2:2">
      <c r="B2194"/>
    </row>
    <row r="2195" spans="2:2">
      <c r="B2195"/>
    </row>
    <row r="2196" spans="2:2">
      <c r="B2196"/>
    </row>
    <row r="2197" spans="2:2">
      <c r="B2197"/>
    </row>
    <row r="2198" spans="2:2">
      <c r="B2198"/>
    </row>
    <row r="2199" spans="2:2">
      <c r="B2199"/>
    </row>
    <row r="2200" spans="2:2">
      <c r="B2200"/>
    </row>
    <row r="2201" spans="2:2">
      <c r="B2201"/>
    </row>
    <row r="2202" spans="2:2">
      <c r="B2202"/>
    </row>
    <row r="2203" spans="2:2">
      <c r="B2203"/>
    </row>
    <row r="2204" spans="2:2">
      <c r="B2204"/>
    </row>
    <row r="2205" spans="2:2">
      <c r="B2205"/>
    </row>
    <row r="2206" spans="2:2">
      <c r="B2206"/>
    </row>
    <row r="2207" spans="2:2">
      <c r="B2207"/>
    </row>
    <row r="2208" spans="2:2">
      <c r="B2208"/>
    </row>
    <row r="2209" spans="2:2">
      <c r="B2209"/>
    </row>
    <row r="2210" spans="2:2">
      <c r="B2210"/>
    </row>
    <row r="2211" spans="2:2">
      <c r="B2211"/>
    </row>
    <row r="2212" spans="2:2">
      <c r="B2212"/>
    </row>
    <row r="2213" spans="2:2">
      <c r="B2213"/>
    </row>
    <row r="2214" spans="2:2">
      <c r="B2214"/>
    </row>
    <row r="2215" spans="2:2">
      <c r="B2215"/>
    </row>
    <row r="2216" spans="2:2">
      <c r="B2216"/>
    </row>
    <row r="2217" spans="2:2">
      <c r="B2217"/>
    </row>
    <row r="2218" spans="2:2">
      <c r="B2218"/>
    </row>
    <row r="2219" spans="2:2">
      <c r="B2219"/>
    </row>
    <row r="2220" spans="2:2">
      <c r="B2220"/>
    </row>
    <row r="2221" spans="2:2">
      <c r="B2221"/>
    </row>
    <row r="2222" spans="2:2">
      <c r="B2222"/>
    </row>
    <row r="2223" spans="2:2">
      <c r="B2223"/>
    </row>
    <row r="2224" spans="2:2">
      <c r="B2224"/>
    </row>
    <row r="2225" spans="2:2">
      <c r="B2225"/>
    </row>
    <row r="2226" spans="2:2">
      <c r="B2226"/>
    </row>
    <row r="2227" spans="2:2">
      <c r="B2227"/>
    </row>
    <row r="2228" spans="2:2">
      <c r="B2228"/>
    </row>
    <row r="2229" spans="2:2">
      <c r="B2229"/>
    </row>
    <row r="2230" spans="2:2">
      <c r="B2230"/>
    </row>
    <row r="2231" spans="2:2">
      <c r="B2231"/>
    </row>
    <row r="2232" spans="2:2">
      <c r="B2232"/>
    </row>
    <row r="2233" spans="2:2">
      <c r="B2233"/>
    </row>
    <row r="2234" spans="2:2">
      <c r="B2234"/>
    </row>
    <row r="2235" spans="2:2">
      <c r="B2235"/>
    </row>
    <row r="2236" spans="2:2">
      <c r="B2236"/>
    </row>
    <row r="2237" spans="2:2">
      <c r="B2237"/>
    </row>
    <row r="2238" spans="2:2">
      <c r="B2238"/>
    </row>
    <row r="2239" spans="2:2">
      <c r="B2239"/>
    </row>
    <row r="2240" spans="2:2">
      <c r="B2240"/>
    </row>
    <row r="2241" spans="2:2">
      <c r="B2241"/>
    </row>
    <row r="2242" spans="2:2">
      <c r="B2242"/>
    </row>
    <row r="2243" spans="2:2">
      <c r="B2243"/>
    </row>
    <row r="2244" spans="2:2">
      <c r="B2244"/>
    </row>
    <row r="2245" spans="2:2">
      <c r="B2245"/>
    </row>
    <row r="2246" spans="2:2">
      <c r="B2246"/>
    </row>
    <row r="2247" spans="2:2">
      <c r="B2247"/>
    </row>
    <row r="2248" spans="2:2">
      <c r="B2248"/>
    </row>
    <row r="2249" spans="2:2">
      <c r="B2249"/>
    </row>
    <row r="2250" spans="2:2">
      <c r="B2250"/>
    </row>
    <row r="2251" spans="2:2">
      <c r="B2251"/>
    </row>
    <row r="2252" spans="2:2">
      <c r="B2252"/>
    </row>
    <row r="2253" spans="2:2">
      <c r="B2253"/>
    </row>
    <row r="2254" spans="2:2">
      <c r="B2254"/>
    </row>
    <row r="2255" spans="2:2">
      <c r="B2255"/>
    </row>
    <row r="2256" spans="2:2">
      <c r="B2256"/>
    </row>
    <row r="2257" spans="2:2">
      <c r="B2257"/>
    </row>
    <row r="2258" spans="2:2">
      <c r="B2258"/>
    </row>
    <row r="2259" spans="2:2">
      <c r="B2259"/>
    </row>
    <row r="2260" spans="2:2">
      <c r="B2260"/>
    </row>
    <row r="2261" spans="2:2">
      <c r="B2261"/>
    </row>
    <row r="2262" spans="2:2">
      <c r="B2262"/>
    </row>
    <row r="2263" spans="2:2">
      <c r="B2263"/>
    </row>
    <row r="2264" spans="2:2">
      <c r="B2264"/>
    </row>
    <row r="2265" spans="2:2">
      <c r="B2265"/>
    </row>
    <row r="2266" spans="2:2">
      <c r="B2266"/>
    </row>
    <row r="2267" spans="2:2">
      <c r="B2267"/>
    </row>
    <row r="2268" spans="2:2">
      <c r="B2268"/>
    </row>
    <row r="2269" spans="2:2">
      <c r="B2269"/>
    </row>
    <row r="2270" spans="2:2">
      <c r="B2270"/>
    </row>
    <row r="2271" spans="2:2">
      <c r="B2271"/>
    </row>
    <row r="2272" spans="2:2">
      <c r="B2272"/>
    </row>
    <row r="2273" spans="2:2">
      <c r="B2273"/>
    </row>
    <row r="2274" spans="2:2">
      <c r="B2274"/>
    </row>
    <row r="2275" spans="2:2">
      <c r="B2275"/>
    </row>
    <row r="2276" spans="2:2">
      <c r="B2276"/>
    </row>
    <row r="2277" spans="2:2">
      <c r="B2277"/>
    </row>
    <row r="2278" spans="2:2">
      <c r="B2278"/>
    </row>
    <row r="2279" spans="2:2">
      <c r="B2279"/>
    </row>
    <row r="2280" spans="2:2">
      <c r="B2280"/>
    </row>
    <row r="2281" spans="2:2">
      <c r="B2281"/>
    </row>
    <row r="2282" spans="2:2">
      <c r="B2282"/>
    </row>
    <row r="2283" spans="2:2">
      <c r="B2283"/>
    </row>
    <row r="2284" spans="2:2">
      <c r="B2284"/>
    </row>
    <row r="2285" spans="2:2">
      <c r="B2285"/>
    </row>
    <row r="2286" spans="2:2">
      <c r="B2286"/>
    </row>
    <row r="2287" spans="2:2">
      <c r="B2287"/>
    </row>
    <row r="2288" spans="2:2">
      <c r="B2288"/>
    </row>
    <row r="2289" spans="2:2">
      <c r="B2289"/>
    </row>
    <row r="2290" spans="2:2">
      <c r="B2290"/>
    </row>
    <row r="2291" spans="2:2">
      <c r="B2291"/>
    </row>
    <row r="2292" spans="2:2">
      <c r="B2292"/>
    </row>
    <row r="2293" spans="2:2">
      <c r="B2293"/>
    </row>
    <row r="2294" spans="2:2">
      <c r="B2294"/>
    </row>
    <row r="2295" spans="2:2">
      <c r="B2295"/>
    </row>
    <row r="2296" spans="2:2">
      <c r="B2296"/>
    </row>
    <row r="2297" spans="2:2">
      <c r="B2297"/>
    </row>
    <row r="2298" spans="2:2">
      <c r="B2298"/>
    </row>
    <row r="2299" spans="2:2">
      <c r="B2299"/>
    </row>
    <row r="2300" spans="2:2">
      <c r="B2300"/>
    </row>
    <row r="2301" spans="2:2">
      <c r="B2301"/>
    </row>
    <row r="2302" spans="2:2">
      <c r="B2302"/>
    </row>
    <row r="2303" spans="2:2">
      <c r="B2303"/>
    </row>
    <row r="2304" spans="2:2">
      <c r="B2304"/>
    </row>
    <row r="2305" spans="2:2">
      <c r="B2305"/>
    </row>
    <row r="2306" spans="2:2">
      <c r="B2306"/>
    </row>
    <row r="2307" spans="2:2">
      <c r="B2307"/>
    </row>
    <row r="2308" spans="2:2">
      <c r="B2308"/>
    </row>
    <row r="2309" spans="2:2">
      <c r="B2309"/>
    </row>
    <row r="2310" spans="2:2">
      <c r="B2310"/>
    </row>
    <row r="2311" spans="2:2">
      <c r="B2311"/>
    </row>
    <row r="2312" spans="2:2">
      <c r="B2312"/>
    </row>
    <row r="2313" spans="2:2">
      <c r="B2313"/>
    </row>
    <row r="2314" spans="2:2">
      <c r="B2314"/>
    </row>
    <row r="2315" spans="2:2">
      <c r="B2315"/>
    </row>
    <row r="2316" spans="2:2">
      <c r="B2316"/>
    </row>
    <row r="2317" spans="2:2">
      <c r="B2317"/>
    </row>
    <row r="2318" spans="2:2">
      <c r="B2318"/>
    </row>
    <row r="2319" spans="2:2">
      <c r="B2319"/>
    </row>
    <row r="2320" spans="2:2">
      <c r="B2320"/>
    </row>
    <row r="2321" spans="2:2">
      <c r="B2321"/>
    </row>
    <row r="2322" spans="2:2">
      <c r="B2322"/>
    </row>
    <row r="2323" spans="2:2">
      <c r="B2323"/>
    </row>
    <row r="2324" spans="2:2">
      <c r="B2324"/>
    </row>
    <row r="2325" spans="2:2">
      <c r="B2325"/>
    </row>
    <row r="2326" spans="2:2">
      <c r="B2326"/>
    </row>
    <row r="2327" spans="2:2">
      <c r="B2327"/>
    </row>
    <row r="2328" spans="2:2">
      <c r="B2328"/>
    </row>
    <row r="2329" spans="2:2">
      <c r="B2329"/>
    </row>
    <row r="2330" spans="2:2">
      <c r="B2330"/>
    </row>
    <row r="2331" spans="2:2">
      <c r="B2331"/>
    </row>
    <row r="2332" spans="2:2">
      <c r="B2332"/>
    </row>
    <row r="2333" spans="2:2">
      <c r="B2333"/>
    </row>
    <row r="2334" spans="2:2">
      <c r="B2334"/>
    </row>
    <row r="2335" spans="2:2">
      <c r="B2335"/>
    </row>
    <row r="2336" spans="2:2">
      <c r="B2336"/>
    </row>
    <row r="2337" spans="2:2">
      <c r="B2337"/>
    </row>
    <row r="2338" spans="2:2">
      <c r="B2338"/>
    </row>
    <row r="2339" spans="2:2">
      <c r="B2339"/>
    </row>
    <row r="2340" spans="2:2">
      <c r="B2340"/>
    </row>
    <row r="2341" spans="2:2">
      <c r="B2341"/>
    </row>
    <row r="2342" spans="2:2">
      <c r="B2342"/>
    </row>
    <row r="2343" spans="2:2">
      <c r="B2343"/>
    </row>
    <row r="2344" spans="2:2">
      <c r="B2344"/>
    </row>
    <row r="2345" spans="2:2">
      <c r="B2345"/>
    </row>
    <row r="2346" spans="2:2">
      <c r="B2346"/>
    </row>
    <row r="2347" spans="2:2">
      <c r="B2347"/>
    </row>
    <row r="2348" spans="2:2">
      <c r="B2348"/>
    </row>
    <row r="2349" spans="2:2">
      <c r="B2349"/>
    </row>
    <row r="2350" spans="2:2">
      <c r="B2350"/>
    </row>
    <row r="2351" spans="2:2">
      <c r="B2351"/>
    </row>
    <row r="2352" spans="2:2">
      <c r="B2352"/>
    </row>
    <row r="2353" spans="2:2">
      <c r="B2353"/>
    </row>
    <row r="2354" spans="2:2">
      <c r="B2354"/>
    </row>
    <row r="2355" spans="2:2">
      <c r="B2355"/>
    </row>
    <row r="2356" spans="2:2">
      <c r="B2356"/>
    </row>
    <row r="2357" spans="2:2">
      <c r="B2357"/>
    </row>
    <row r="2358" spans="2:2">
      <c r="B2358"/>
    </row>
    <row r="2359" spans="2:2">
      <c r="B2359"/>
    </row>
    <row r="2360" spans="2:2">
      <c r="B2360"/>
    </row>
    <row r="2361" spans="2:2">
      <c r="B2361"/>
    </row>
    <row r="2362" spans="2:2">
      <c r="B2362"/>
    </row>
    <row r="2363" spans="2:2">
      <c r="B2363"/>
    </row>
    <row r="2364" spans="2:2">
      <c r="B2364"/>
    </row>
    <row r="2365" spans="2:2">
      <c r="B2365"/>
    </row>
    <row r="2366" spans="2:2">
      <c r="B2366"/>
    </row>
    <row r="2367" spans="2:2">
      <c r="B2367"/>
    </row>
    <row r="2368" spans="2:2">
      <c r="B2368"/>
    </row>
    <row r="2369" spans="2:2">
      <c r="B2369"/>
    </row>
    <row r="2370" spans="2:2">
      <c r="B2370"/>
    </row>
    <row r="2371" spans="2:2">
      <c r="B2371"/>
    </row>
    <row r="2372" spans="2:2">
      <c r="B2372"/>
    </row>
    <row r="2373" spans="2:2">
      <c r="B2373"/>
    </row>
    <row r="2374" spans="2:2">
      <c r="B2374"/>
    </row>
    <row r="2375" spans="2:2">
      <c r="B2375"/>
    </row>
    <row r="2376" spans="2:2">
      <c r="B2376"/>
    </row>
    <row r="2377" spans="2:2">
      <c r="B2377"/>
    </row>
    <row r="2378" spans="2:2">
      <c r="B2378"/>
    </row>
    <row r="2379" spans="2:2">
      <c r="B2379"/>
    </row>
    <row r="2380" spans="2:2">
      <c r="B2380"/>
    </row>
    <row r="2381" spans="2:2">
      <c r="B2381"/>
    </row>
    <row r="2382" spans="2:2">
      <c r="B2382"/>
    </row>
    <row r="2383" spans="2:2">
      <c r="B2383"/>
    </row>
    <row r="2384" spans="2:2">
      <c r="B2384"/>
    </row>
    <row r="2385" spans="2:2">
      <c r="B2385"/>
    </row>
    <row r="2386" spans="2:2">
      <c r="B2386"/>
    </row>
    <row r="2387" spans="2:2">
      <c r="B2387"/>
    </row>
    <row r="2388" spans="2:2">
      <c r="B2388"/>
    </row>
    <row r="2389" spans="2:2">
      <c r="B2389"/>
    </row>
    <row r="2390" spans="2:2">
      <c r="B2390"/>
    </row>
    <row r="2391" spans="2:2">
      <c r="B2391"/>
    </row>
    <row r="2392" spans="2:2">
      <c r="B2392"/>
    </row>
    <row r="2393" spans="2:2">
      <c r="B2393"/>
    </row>
    <row r="2394" spans="2:2">
      <c r="B2394"/>
    </row>
    <row r="2395" spans="2:2">
      <c r="B2395"/>
    </row>
    <row r="2396" spans="2:2">
      <c r="B2396"/>
    </row>
    <row r="2397" spans="2:2">
      <c r="B2397"/>
    </row>
    <row r="2398" spans="2:2">
      <c r="B2398"/>
    </row>
    <row r="2399" spans="2:2">
      <c r="B2399"/>
    </row>
    <row r="2400" spans="2:2">
      <c r="B2400"/>
    </row>
    <row r="2401" spans="2:2">
      <c r="B2401"/>
    </row>
    <row r="2402" spans="2:2">
      <c r="B2402"/>
    </row>
    <row r="2403" spans="2:2">
      <c r="B2403"/>
    </row>
    <row r="2404" spans="2:2">
      <c r="B2404"/>
    </row>
    <row r="2405" spans="2:2">
      <c r="B2405"/>
    </row>
    <row r="2406" spans="2:2">
      <c r="B2406"/>
    </row>
    <row r="2407" spans="2:2">
      <c r="B2407"/>
    </row>
    <row r="2408" spans="2:2">
      <c r="B2408"/>
    </row>
    <row r="2409" spans="2:2">
      <c r="B2409"/>
    </row>
    <row r="2410" spans="2:2">
      <c r="B2410"/>
    </row>
    <row r="2411" spans="2:2">
      <c r="B2411"/>
    </row>
    <row r="2412" spans="2:2">
      <c r="B2412"/>
    </row>
    <row r="2413" spans="2:2">
      <c r="B2413"/>
    </row>
    <row r="2414" spans="2:2">
      <c r="B2414"/>
    </row>
    <row r="2415" spans="2:2">
      <c r="B2415"/>
    </row>
    <row r="2416" spans="2:2">
      <c r="B2416"/>
    </row>
    <row r="2417" spans="2:2">
      <c r="B2417"/>
    </row>
    <row r="2418" spans="2:2">
      <c r="B2418"/>
    </row>
    <row r="2419" spans="2:2">
      <c r="B2419"/>
    </row>
    <row r="2420" spans="2:2">
      <c r="B2420"/>
    </row>
    <row r="2421" spans="2:2">
      <c r="B2421"/>
    </row>
    <row r="2422" spans="2:2">
      <c r="B2422"/>
    </row>
    <row r="2423" spans="2:2">
      <c r="B2423"/>
    </row>
    <row r="2424" spans="2:2">
      <c r="B2424"/>
    </row>
    <row r="2425" spans="2:2">
      <c r="B2425"/>
    </row>
    <row r="2426" spans="2:2">
      <c r="B2426"/>
    </row>
    <row r="2427" spans="2:2">
      <c r="B2427"/>
    </row>
    <row r="2428" spans="2:2">
      <c r="B2428"/>
    </row>
    <row r="2429" spans="2:2">
      <c r="B2429"/>
    </row>
    <row r="2430" spans="2:2">
      <c r="B2430"/>
    </row>
    <row r="2431" spans="2:2">
      <c r="B2431"/>
    </row>
    <row r="2432" spans="2:2">
      <c r="B2432"/>
    </row>
    <row r="2433" spans="2:2">
      <c r="B2433"/>
    </row>
    <row r="2434" spans="2:2">
      <c r="B2434"/>
    </row>
    <row r="2435" spans="2:2">
      <c r="B2435"/>
    </row>
    <row r="2436" spans="2:2">
      <c r="B2436"/>
    </row>
    <row r="2437" spans="2:2">
      <c r="B2437"/>
    </row>
    <row r="2438" spans="2:2">
      <c r="B2438"/>
    </row>
    <row r="2439" spans="2:2">
      <c r="B2439"/>
    </row>
    <row r="2440" spans="2:2">
      <c r="B2440"/>
    </row>
    <row r="2441" spans="2:2">
      <c r="B2441"/>
    </row>
    <row r="2442" spans="2:2">
      <c r="B2442"/>
    </row>
    <row r="2443" spans="2:2">
      <c r="B2443"/>
    </row>
    <row r="2444" spans="2:2">
      <c r="B2444"/>
    </row>
    <row r="2445" spans="2:2">
      <c r="B2445"/>
    </row>
    <row r="2446" spans="2:2">
      <c r="B2446"/>
    </row>
    <row r="2447" spans="2:2">
      <c r="B2447"/>
    </row>
    <row r="2448" spans="2:2">
      <c r="B2448"/>
    </row>
    <row r="2449" spans="2:2">
      <c r="B2449"/>
    </row>
    <row r="2450" spans="2:2">
      <c r="B2450"/>
    </row>
    <row r="2451" spans="2:2">
      <c r="B2451"/>
    </row>
    <row r="2452" spans="2:2">
      <c r="B2452"/>
    </row>
    <row r="2453" spans="2:2">
      <c r="B2453"/>
    </row>
    <row r="2454" spans="2:2">
      <c r="B2454"/>
    </row>
    <row r="2455" spans="2:2">
      <c r="B2455"/>
    </row>
    <row r="2456" spans="2:2">
      <c r="B2456"/>
    </row>
    <row r="2457" spans="2:2">
      <c r="B2457"/>
    </row>
    <row r="2458" spans="2:2">
      <c r="B2458"/>
    </row>
    <row r="2459" spans="2:2">
      <c r="B2459"/>
    </row>
    <row r="2460" spans="2:2">
      <c r="B2460"/>
    </row>
    <row r="2461" spans="2:2">
      <c r="B2461"/>
    </row>
    <row r="2462" spans="2:2">
      <c r="B2462"/>
    </row>
    <row r="2463" spans="2:2">
      <c r="B2463"/>
    </row>
    <row r="2464" spans="2:2">
      <c r="B2464"/>
    </row>
    <row r="2465" spans="2:2">
      <c r="B2465"/>
    </row>
    <row r="2466" spans="2:2">
      <c r="B2466"/>
    </row>
    <row r="2467" spans="2:2">
      <c r="B2467"/>
    </row>
    <row r="2468" spans="2:2">
      <c r="B2468"/>
    </row>
    <row r="2469" spans="2:2">
      <c r="B2469"/>
    </row>
    <row r="2470" spans="2:2">
      <c r="B2470"/>
    </row>
    <row r="2471" spans="2:2">
      <c r="B2471"/>
    </row>
    <row r="2472" spans="2:2">
      <c r="B2472"/>
    </row>
    <row r="2473" spans="2:2">
      <c r="B2473"/>
    </row>
    <row r="2474" spans="2:2">
      <c r="B2474"/>
    </row>
    <row r="2475" spans="2:2">
      <c r="B2475"/>
    </row>
    <row r="2476" spans="2:2">
      <c r="B2476"/>
    </row>
    <row r="2477" spans="2:2">
      <c r="B2477"/>
    </row>
    <row r="2478" spans="2:2">
      <c r="B2478"/>
    </row>
    <row r="2479" spans="2:2">
      <c r="B2479"/>
    </row>
    <row r="2480" spans="2:2">
      <c r="B2480"/>
    </row>
    <row r="2481" spans="2:2">
      <c r="B2481"/>
    </row>
    <row r="2482" spans="2:2">
      <c r="B2482"/>
    </row>
    <row r="2483" spans="2:2">
      <c r="B2483"/>
    </row>
    <row r="2484" spans="2:2">
      <c r="B2484"/>
    </row>
    <row r="2485" spans="2:2">
      <c r="B2485"/>
    </row>
    <row r="2486" spans="2:2">
      <c r="B2486"/>
    </row>
    <row r="2487" spans="2:2">
      <c r="B2487"/>
    </row>
    <row r="2488" spans="2:2">
      <c r="B2488"/>
    </row>
    <row r="2489" spans="2:2">
      <c r="B2489"/>
    </row>
    <row r="2490" spans="2:2">
      <c r="B2490"/>
    </row>
    <row r="2491" spans="2:2">
      <c r="B2491"/>
    </row>
    <row r="2492" spans="2:2">
      <c r="B2492"/>
    </row>
    <row r="2493" spans="2:2">
      <c r="B2493"/>
    </row>
    <row r="2494" spans="2:2">
      <c r="B2494"/>
    </row>
    <row r="2495" spans="2:2">
      <c r="B2495"/>
    </row>
    <row r="2496" spans="2:2">
      <c r="B2496"/>
    </row>
    <row r="2497" spans="2:2">
      <c r="B2497"/>
    </row>
    <row r="2498" spans="2:2">
      <c r="B2498"/>
    </row>
    <row r="2499" spans="2:2">
      <c r="B2499"/>
    </row>
    <row r="2500" spans="2:2">
      <c r="B2500"/>
    </row>
    <row r="2501" spans="2:2">
      <c r="B2501"/>
    </row>
    <row r="2502" spans="2:2">
      <c r="B2502"/>
    </row>
    <row r="2503" spans="2:2">
      <c r="B2503"/>
    </row>
    <row r="2504" spans="2:2">
      <c r="B2504"/>
    </row>
    <row r="2505" spans="2:2">
      <c r="B2505"/>
    </row>
    <row r="2506" spans="2:2">
      <c r="B2506"/>
    </row>
    <row r="2507" spans="2:2">
      <c r="B2507"/>
    </row>
    <row r="2508" spans="2:2">
      <c r="B2508"/>
    </row>
    <row r="2509" spans="2:2">
      <c r="B2509"/>
    </row>
    <row r="2510" spans="2:2">
      <c r="B2510"/>
    </row>
    <row r="2511" spans="2:2">
      <c r="B2511"/>
    </row>
    <row r="2512" spans="2:2">
      <c r="B2512"/>
    </row>
    <row r="2513" spans="2:2">
      <c r="B2513"/>
    </row>
    <row r="2514" spans="2:2">
      <c r="B2514"/>
    </row>
    <row r="2515" spans="2:2">
      <c r="B2515"/>
    </row>
    <row r="2516" spans="2:2">
      <c r="B2516"/>
    </row>
    <row r="2517" spans="2:2">
      <c r="B2517"/>
    </row>
    <row r="2518" spans="2:2">
      <c r="B2518"/>
    </row>
    <row r="2519" spans="2:2">
      <c r="B2519"/>
    </row>
    <row r="2520" spans="2:2">
      <c r="B2520"/>
    </row>
    <row r="2521" spans="2:2">
      <c r="B2521"/>
    </row>
    <row r="2522" spans="2:2">
      <c r="B2522"/>
    </row>
    <row r="2523" spans="2:2">
      <c r="B2523"/>
    </row>
    <row r="2524" spans="2:2">
      <c r="B2524"/>
    </row>
    <row r="2525" spans="2:2">
      <c r="B2525"/>
    </row>
    <row r="2526" spans="2:2">
      <c r="B2526"/>
    </row>
    <row r="2527" spans="2:2">
      <c r="B2527"/>
    </row>
    <row r="2528" spans="2:2">
      <c r="B2528"/>
    </row>
    <row r="2529" spans="2:2">
      <c r="B2529"/>
    </row>
    <row r="2530" spans="2:2">
      <c r="B2530"/>
    </row>
    <row r="2531" spans="2:2">
      <c r="B2531"/>
    </row>
    <row r="2532" spans="2:2">
      <c r="B2532"/>
    </row>
    <row r="2533" spans="2:2">
      <c r="B2533"/>
    </row>
    <row r="2534" spans="2:2">
      <c r="B2534"/>
    </row>
    <row r="2535" spans="2:2">
      <c r="B2535"/>
    </row>
    <row r="2536" spans="2:2">
      <c r="B2536"/>
    </row>
    <row r="2537" spans="2:2">
      <c r="B2537"/>
    </row>
    <row r="2538" spans="2:2">
      <c r="B2538"/>
    </row>
    <row r="2539" spans="2:2">
      <c r="B2539"/>
    </row>
    <row r="2540" spans="2:2">
      <c r="B2540"/>
    </row>
    <row r="2541" spans="2:2">
      <c r="B2541"/>
    </row>
    <row r="2542" spans="2:2">
      <c r="B2542"/>
    </row>
    <row r="2543" spans="2:2">
      <c r="B2543"/>
    </row>
    <row r="2544" spans="2:2">
      <c r="B2544"/>
    </row>
    <row r="2545" spans="2:2">
      <c r="B2545"/>
    </row>
    <row r="2546" spans="2:2">
      <c r="B2546"/>
    </row>
    <row r="2547" spans="2:2">
      <c r="B2547"/>
    </row>
    <row r="2548" spans="2:2">
      <c r="B2548"/>
    </row>
    <row r="2549" spans="2:2">
      <c r="B2549"/>
    </row>
    <row r="2550" spans="2:2">
      <c r="B2550"/>
    </row>
    <row r="2551" spans="2:2">
      <c r="B2551"/>
    </row>
    <row r="2552" spans="2:2">
      <c r="B2552"/>
    </row>
    <row r="2553" spans="2:2">
      <c r="B2553"/>
    </row>
    <row r="2554" spans="2:2">
      <c r="B2554"/>
    </row>
    <row r="2555" spans="2:2">
      <c r="B2555"/>
    </row>
    <row r="2556" spans="2:2">
      <c r="B2556"/>
    </row>
    <row r="2557" spans="2:2">
      <c r="B2557"/>
    </row>
    <row r="2558" spans="2:2">
      <c r="B2558"/>
    </row>
    <row r="2559" spans="2:2">
      <c r="B2559"/>
    </row>
    <row r="2560" spans="2:2">
      <c r="B2560"/>
    </row>
    <row r="2561" spans="2:2">
      <c r="B2561"/>
    </row>
    <row r="2562" spans="2:2">
      <c r="B2562"/>
    </row>
    <row r="2563" spans="2:2">
      <c r="B2563"/>
    </row>
    <row r="2564" spans="2:2">
      <c r="B2564"/>
    </row>
    <row r="2565" spans="2:2">
      <c r="B2565"/>
    </row>
    <row r="2566" spans="2:2">
      <c r="B2566"/>
    </row>
    <row r="2567" spans="2:2">
      <c r="B2567"/>
    </row>
    <row r="2568" spans="2:2">
      <c r="B2568"/>
    </row>
    <row r="2569" spans="2:2">
      <c r="B2569"/>
    </row>
    <row r="2570" spans="2:2">
      <c r="B2570"/>
    </row>
    <row r="2571" spans="2:2">
      <c r="B2571"/>
    </row>
    <row r="2572" spans="2:2">
      <c r="B2572"/>
    </row>
    <row r="2573" spans="2:2">
      <c r="B2573"/>
    </row>
    <row r="2574" spans="2:2">
      <c r="B2574"/>
    </row>
    <row r="2575" spans="2:2">
      <c r="B2575"/>
    </row>
    <row r="2576" spans="2:2">
      <c r="B2576"/>
    </row>
    <row r="2577" spans="2:2">
      <c r="B2577"/>
    </row>
    <row r="2578" spans="2:2">
      <c r="B2578"/>
    </row>
    <row r="2579" spans="2:2">
      <c r="B2579"/>
    </row>
    <row r="2580" spans="2:2">
      <c r="B2580"/>
    </row>
    <row r="2581" spans="2:2">
      <c r="B2581"/>
    </row>
    <row r="2582" spans="2:2">
      <c r="B2582"/>
    </row>
    <row r="2583" spans="2:2">
      <c r="B2583"/>
    </row>
    <row r="2584" spans="2:2">
      <c r="B2584"/>
    </row>
    <row r="2585" spans="2:2">
      <c r="B2585"/>
    </row>
    <row r="2586" spans="2:2">
      <c r="B2586"/>
    </row>
    <row r="2587" spans="2:2">
      <c r="B2587"/>
    </row>
    <row r="2588" spans="2:2">
      <c r="B2588"/>
    </row>
    <row r="2589" spans="2:2">
      <c r="B2589"/>
    </row>
    <row r="2590" spans="2:2">
      <c r="B2590"/>
    </row>
    <row r="2591" spans="2:2">
      <c r="B2591"/>
    </row>
    <row r="2592" spans="2:2">
      <c r="B2592"/>
    </row>
    <row r="2593" spans="2:2">
      <c r="B2593"/>
    </row>
    <row r="2594" spans="2:2">
      <c r="B2594"/>
    </row>
    <row r="2595" spans="2:2">
      <c r="B2595"/>
    </row>
    <row r="2596" spans="2:2">
      <c r="B2596"/>
    </row>
    <row r="2597" spans="2:2">
      <c r="B2597"/>
    </row>
    <row r="2598" spans="2:2">
      <c r="B2598"/>
    </row>
    <row r="2599" spans="2:2">
      <c r="B2599"/>
    </row>
    <row r="2600" spans="2:2">
      <c r="B2600"/>
    </row>
    <row r="2601" spans="2:2">
      <c r="B2601"/>
    </row>
    <row r="2602" spans="2:2">
      <c r="B2602"/>
    </row>
    <row r="2603" spans="2:2">
      <c r="B2603"/>
    </row>
    <row r="2604" spans="2:2">
      <c r="B2604"/>
    </row>
    <row r="2605" spans="2:2">
      <c r="B2605"/>
    </row>
    <row r="2606" spans="2:2">
      <c r="B2606"/>
    </row>
    <row r="2607" spans="2:2">
      <c r="B2607"/>
    </row>
    <row r="2608" spans="2:2">
      <c r="B2608"/>
    </row>
    <row r="2609" spans="2:2">
      <c r="B2609"/>
    </row>
    <row r="2610" spans="2:2">
      <c r="B2610"/>
    </row>
    <row r="2611" spans="2:2">
      <c r="B2611"/>
    </row>
    <row r="2612" spans="2:2">
      <c r="B2612"/>
    </row>
    <row r="2613" spans="2:2">
      <c r="B2613"/>
    </row>
    <row r="2614" spans="2:2">
      <c r="B2614"/>
    </row>
    <row r="2615" spans="2:2">
      <c r="B2615"/>
    </row>
    <row r="2616" spans="2:2">
      <c r="B2616"/>
    </row>
    <row r="2617" spans="2:2">
      <c r="B2617"/>
    </row>
    <row r="2618" spans="2:2">
      <c r="B2618"/>
    </row>
    <row r="2619" spans="2:2">
      <c r="B2619"/>
    </row>
    <row r="2620" spans="2:2">
      <c r="B2620"/>
    </row>
    <row r="2621" spans="2:2">
      <c r="B2621"/>
    </row>
    <row r="2622" spans="2:2">
      <c r="B2622"/>
    </row>
    <row r="2623" spans="2:2">
      <c r="B2623"/>
    </row>
    <row r="2624" spans="2:2">
      <c r="B2624"/>
    </row>
    <row r="2625" spans="2:2">
      <c r="B2625"/>
    </row>
    <row r="2626" spans="2:2">
      <c r="B2626"/>
    </row>
    <row r="2627" spans="2:2">
      <c r="B2627"/>
    </row>
    <row r="2628" spans="2:2">
      <c r="B2628"/>
    </row>
    <row r="2629" spans="2:2">
      <c r="B2629"/>
    </row>
    <row r="2630" spans="2:2">
      <c r="B2630"/>
    </row>
    <row r="2631" spans="2:2">
      <c r="B2631"/>
    </row>
    <row r="2632" spans="2:2">
      <c r="B2632"/>
    </row>
    <row r="2633" spans="2:2">
      <c r="B2633"/>
    </row>
    <row r="2634" spans="2:2">
      <c r="B2634"/>
    </row>
    <row r="2635" spans="2:2">
      <c r="B2635"/>
    </row>
    <row r="2636" spans="2:2">
      <c r="B2636"/>
    </row>
    <row r="2637" spans="2:2">
      <c r="B2637"/>
    </row>
    <row r="2638" spans="2:2">
      <c r="B2638"/>
    </row>
    <row r="2639" spans="2:2">
      <c r="B2639"/>
    </row>
    <row r="2640" spans="2:2">
      <c r="B2640"/>
    </row>
    <row r="2641" spans="2:2">
      <c r="B2641"/>
    </row>
    <row r="2642" spans="2:2">
      <c r="B2642"/>
    </row>
    <row r="2643" spans="2:2">
      <c r="B2643"/>
    </row>
    <row r="2644" spans="2:2">
      <c r="B2644"/>
    </row>
    <row r="2645" spans="2:2">
      <c r="B2645"/>
    </row>
    <row r="2646" spans="2:2">
      <c r="B2646"/>
    </row>
    <row r="2647" spans="2:2">
      <c r="B2647"/>
    </row>
    <row r="2648" spans="2:2">
      <c r="B2648"/>
    </row>
    <row r="2649" spans="2:2">
      <c r="B2649"/>
    </row>
    <row r="2650" spans="2:2">
      <c r="B2650"/>
    </row>
    <row r="2651" spans="2:2">
      <c r="B2651"/>
    </row>
    <row r="2652" spans="2:2">
      <c r="B2652"/>
    </row>
    <row r="2653" spans="2:2">
      <c r="B2653"/>
    </row>
    <row r="2654" spans="2:2">
      <c r="B2654"/>
    </row>
    <row r="2655" spans="2:2">
      <c r="B2655"/>
    </row>
    <row r="2656" spans="2:2">
      <c r="B2656"/>
    </row>
    <row r="2657" spans="2:2">
      <c r="B2657"/>
    </row>
    <row r="2658" spans="2:2">
      <c r="B2658"/>
    </row>
    <row r="2659" spans="2:2">
      <c r="B2659"/>
    </row>
    <row r="2660" spans="2:2">
      <c r="B2660"/>
    </row>
    <row r="2661" spans="2:2">
      <c r="B2661"/>
    </row>
    <row r="2662" spans="2:2">
      <c r="B2662"/>
    </row>
    <row r="2663" spans="2:2">
      <c r="B2663"/>
    </row>
    <row r="2664" spans="2:2">
      <c r="B2664"/>
    </row>
    <row r="2665" spans="2:2">
      <c r="B2665"/>
    </row>
    <row r="2666" spans="2:2">
      <c r="B2666"/>
    </row>
    <row r="2667" spans="2:2">
      <c r="B2667"/>
    </row>
    <row r="2668" spans="2:2">
      <c r="B2668"/>
    </row>
    <row r="2669" spans="2:2">
      <c r="B2669"/>
    </row>
    <row r="2670" spans="2:2">
      <c r="B2670"/>
    </row>
    <row r="2671" spans="2:2">
      <c r="B2671"/>
    </row>
    <row r="2672" spans="2:2">
      <c r="B2672"/>
    </row>
    <row r="2673" spans="2:2">
      <c r="B2673"/>
    </row>
    <row r="2674" spans="2:2">
      <c r="B2674"/>
    </row>
    <row r="2675" spans="2:2">
      <c r="B2675"/>
    </row>
    <row r="2676" spans="2:2">
      <c r="B2676"/>
    </row>
    <row r="2677" spans="2:2">
      <c r="B2677"/>
    </row>
    <row r="2678" spans="2:2">
      <c r="B2678"/>
    </row>
    <row r="2679" spans="2:2">
      <c r="B2679"/>
    </row>
    <row r="2680" spans="2:2">
      <c r="B2680"/>
    </row>
    <row r="2681" spans="2:2">
      <c r="B2681"/>
    </row>
    <row r="2682" spans="2:2">
      <c r="B2682"/>
    </row>
    <row r="2683" spans="2:2">
      <c r="B2683"/>
    </row>
    <row r="2684" spans="2:2">
      <c r="B2684"/>
    </row>
    <row r="2685" spans="2:2">
      <c r="B2685"/>
    </row>
    <row r="2686" spans="2:2">
      <c r="B2686"/>
    </row>
    <row r="2687" spans="2:2">
      <c r="B2687"/>
    </row>
    <row r="2688" spans="2:2">
      <c r="B2688"/>
    </row>
    <row r="2689" spans="2:2">
      <c r="B2689"/>
    </row>
    <row r="2690" spans="2:2">
      <c r="B2690"/>
    </row>
    <row r="2691" spans="2:2">
      <c r="B2691"/>
    </row>
    <row r="2692" spans="2:2">
      <c r="B2692"/>
    </row>
    <row r="2693" spans="2:2">
      <c r="B2693"/>
    </row>
    <row r="2694" spans="2:2">
      <c r="B2694"/>
    </row>
    <row r="2695" spans="2:2">
      <c r="B2695"/>
    </row>
    <row r="2696" spans="2:2">
      <c r="B2696"/>
    </row>
    <row r="2697" spans="2:2">
      <c r="B2697"/>
    </row>
    <row r="2698" spans="2:2">
      <c r="B2698"/>
    </row>
    <row r="2699" spans="2:2">
      <c r="B2699"/>
    </row>
    <row r="2700" spans="2:2">
      <c r="B2700"/>
    </row>
    <row r="2701" spans="2:2">
      <c r="B2701"/>
    </row>
    <row r="2702" spans="2:2">
      <c r="B2702"/>
    </row>
    <row r="2703" spans="2:2">
      <c r="B2703"/>
    </row>
    <row r="2704" spans="2:2">
      <c r="B2704"/>
    </row>
    <row r="2705" spans="2:2">
      <c r="B2705"/>
    </row>
    <row r="2706" spans="2:2">
      <c r="B2706"/>
    </row>
    <row r="2707" spans="2:2">
      <c r="B2707"/>
    </row>
    <row r="2708" spans="2:2">
      <c r="B2708"/>
    </row>
    <row r="2709" spans="2:2">
      <c r="B2709"/>
    </row>
    <row r="2710" spans="2:2">
      <c r="B2710"/>
    </row>
    <row r="2711" spans="2:2">
      <c r="B2711"/>
    </row>
    <row r="2712" spans="2:2">
      <c r="B2712"/>
    </row>
    <row r="2713" spans="2:2">
      <c r="B2713"/>
    </row>
    <row r="2714" spans="2:2">
      <c r="B2714"/>
    </row>
    <row r="2715" spans="2:2">
      <c r="B2715"/>
    </row>
    <row r="2716" spans="2:2">
      <c r="B2716"/>
    </row>
    <row r="2717" spans="2:2">
      <c r="B2717"/>
    </row>
    <row r="2718" spans="2:2">
      <c r="B2718"/>
    </row>
    <row r="2719" spans="2:2">
      <c r="B2719"/>
    </row>
    <row r="2720" spans="2:2">
      <c r="B2720"/>
    </row>
    <row r="2721" spans="2:2">
      <c r="B2721"/>
    </row>
    <row r="2722" spans="2:2">
      <c r="B2722"/>
    </row>
    <row r="2723" spans="2:2">
      <c r="B2723"/>
    </row>
    <row r="2724" spans="2:2">
      <c r="B2724"/>
    </row>
    <row r="2725" spans="2:2">
      <c r="B2725"/>
    </row>
    <row r="2726" spans="2:2">
      <c r="B2726"/>
    </row>
    <row r="2727" spans="2:2">
      <c r="B2727"/>
    </row>
    <row r="2728" spans="2:2">
      <c r="B2728"/>
    </row>
    <row r="2729" spans="2:2">
      <c r="B2729"/>
    </row>
    <row r="2730" spans="2:2">
      <c r="B2730"/>
    </row>
    <row r="2731" spans="2:2">
      <c r="B2731"/>
    </row>
    <row r="2732" spans="2:2">
      <c r="B2732"/>
    </row>
    <row r="2733" spans="2:2">
      <c r="B2733"/>
    </row>
    <row r="2734" spans="2:2">
      <c r="B2734"/>
    </row>
    <row r="2735" spans="2:2">
      <c r="B2735"/>
    </row>
    <row r="2736" spans="2:2">
      <c r="B2736"/>
    </row>
    <row r="2737" spans="2:2">
      <c r="B2737"/>
    </row>
    <row r="2738" spans="2:2">
      <c r="B2738"/>
    </row>
    <row r="2739" spans="2:2">
      <c r="B2739"/>
    </row>
    <row r="2740" spans="2:2">
      <c r="B2740"/>
    </row>
    <row r="2741" spans="2:2">
      <c r="B2741"/>
    </row>
    <row r="2742" spans="2:2">
      <c r="B2742"/>
    </row>
    <row r="2743" spans="2:2">
      <c r="B2743"/>
    </row>
    <row r="2744" spans="2:2">
      <c r="B2744"/>
    </row>
    <row r="2745" spans="2:2">
      <c r="B2745"/>
    </row>
    <row r="2746" spans="2:2">
      <c r="B2746"/>
    </row>
    <row r="2747" spans="2:2">
      <c r="B2747"/>
    </row>
    <row r="2748" spans="2:2">
      <c r="B2748"/>
    </row>
    <row r="2749" spans="2:2">
      <c r="B2749"/>
    </row>
    <row r="2750" spans="2:2">
      <c r="B2750"/>
    </row>
    <row r="2751" spans="2:2">
      <c r="B2751"/>
    </row>
    <row r="2752" spans="2:2">
      <c r="B2752"/>
    </row>
    <row r="2753" spans="2:2">
      <c r="B2753"/>
    </row>
    <row r="2754" spans="2:2">
      <c r="B2754"/>
    </row>
    <row r="2755" spans="2:2">
      <c r="B2755"/>
    </row>
    <row r="2756" spans="2:2">
      <c r="B2756"/>
    </row>
    <row r="2757" spans="2:2">
      <c r="B2757"/>
    </row>
    <row r="2758" spans="2:2">
      <c r="B2758"/>
    </row>
    <row r="2759" spans="2:2">
      <c r="B2759"/>
    </row>
    <row r="2760" spans="2:2">
      <c r="B2760"/>
    </row>
    <row r="2761" spans="2:2">
      <c r="B2761"/>
    </row>
    <row r="2762" spans="2:2">
      <c r="B2762"/>
    </row>
    <row r="2763" spans="2:2">
      <c r="B2763"/>
    </row>
    <row r="2764" spans="2:2">
      <c r="B2764"/>
    </row>
    <row r="2765" spans="2:2">
      <c r="B2765"/>
    </row>
    <row r="2766" spans="2:2">
      <c r="B2766"/>
    </row>
    <row r="2767" spans="2:2">
      <c r="B2767"/>
    </row>
    <row r="2768" spans="2:2">
      <c r="B2768"/>
    </row>
    <row r="2769" spans="2:2">
      <c r="B2769"/>
    </row>
    <row r="2770" spans="2:2">
      <c r="B2770"/>
    </row>
    <row r="2771" spans="2:2">
      <c r="B2771"/>
    </row>
    <row r="2772" spans="2:2">
      <c r="B2772"/>
    </row>
    <row r="2773" spans="2:2">
      <c r="B2773"/>
    </row>
    <row r="2774" spans="2:2">
      <c r="B2774"/>
    </row>
    <row r="2775" spans="2:2">
      <c r="B2775"/>
    </row>
    <row r="2776" spans="2:2">
      <c r="B2776"/>
    </row>
    <row r="2777" spans="2:2">
      <c r="B2777"/>
    </row>
    <row r="2778" spans="2:2">
      <c r="B2778"/>
    </row>
    <row r="2779" spans="2:2">
      <c r="B2779"/>
    </row>
    <row r="2780" spans="2:2">
      <c r="B2780"/>
    </row>
    <row r="2781" spans="2:2">
      <c r="B2781"/>
    </row>
    <row r="2782" spans="2:2">
      <c r="B2782"/>
    </row>
    <row r="2783" spans="2:2">
      <c r="B2783"/>
    </row>
    <row r="2784" spans="2:2">
      <c r="B2784"/>
    </row>
    <row r="2785" spans="2:2">
      <c r="B2785"/>
    </row>
    <row r="2786" spans="2:2">
      <c r="B2786"/>
    </row>
    <row r="2787" spans="2:2">
      <c r="B2787"/>
    </row>
    <row r="2788" spans="2:2">
      <c r="B2788"/>
    </row>
    <row r="2789" spans="2:2">
      <c r="B2789"/>
    </row>
    <row r="2790" spans="2:2">
      <c r="B2790"/>
    </row>
    <row r="2791" spans="2:2">
      <c r="B2791"/>
    </row>
    <row r="2792" spans="2:2">
      <c r="B2792"/>
    </row>
    <row r="2793" spans="2:2">
      <c r="B2793"/>
    </row>
    <row r="2794" spans="2:2">
      <c r="B2794"/>
    </row>
    <row r="2795" spans="2:2">
      <c r="B2795"/>
    </row>
    <row r="2796" spans="2:2">
      <c r="B2796"/>
    </row>
    <row r="2797" spans="2:2">
      <c r="B2797"/>
    </row>
    <row r="2798" spans="2:2">
      <c r="B2798"/>
    </row>
    <row r="2799" spans="2:2">
      <c r="B2799"/>
    </row>
    <row r="2800" spans="2:2">
      <c r="B2800"/>
    </row>
    <row r="2801" spans="2:2">
      <c r="B2801"/>
    </row>
    <row r="2802" spans="2:2">
      <c r="B2802"/>
    </row>
    <row r="2803" spans="2:2">
      <c r="B2803"/>
    </row>
    <row r="2804" spans="2:2">
      <c r="B2804"/>
    </row>
    <row r="2805" spans="2:2">
      <c r="B2805"/>
    </row>
    <row r="2806" spans="2:2">
      <c r="B2806"/>
    </row>
    <row r="2807" spans="2:2">
      <c r="B2807"/>
    </row>
    <row r="2808" spans="2:2">
      <c r="B2808"/>
    </row>
    <row r="2809" spans="2:2">
      <c r="B2809"/>
    </row>
    <row r="2810" spans="2:2">
      <c r="B2810"/>
    </row>
    <row r="2811" spans="2:2">
      <c r="B2811"/>
    </row>
    <row r="2812" spans="2:2">
      <c r="B2812"/>
    </row>
    <row r="2813" spans="2:2">
      <c r="B2813"/>
    </row>
    <row r="2814" spans="2:2">
      <c r="B2814"/>
    </row>
    <row r="2815" spans="2:2">
      <c r="B2815"/>
    </row>
    <row r="2816" spans="2:2">
      <c r="B2816"/>
    </row>
    <row r="2817" spans="2:2">
      <c r="B2817"/>
    </row>
    <row r="2818" spans="2:2">
      <c r="B2818"/>
    </row>
    <row r="2819" spans="2:2">
      <c r="B2819"/>
    </row>
    <row r="2820" spans="2:2">
      <c r="B2820"/>
    </row>
    <row r="2821" spans="2:2">
      <c r="B2821"/>
    </row>
    <row r="2822" spans="2:2">
      <c r="B2822"/>
    </row>
    <row r="2823" spans="2:2">
      <c r="B2823"/>
    </row>
    <row r="2824" spans="2:2">
      <c r="B2824"/>
    </row>
    <row r="2825" spans="2:2">
      <c r="B2825"/>
    </row>
    <row r="2826" spans="2:2">
      <c r="B2826"/>
    </row>
    <row r="2827" spans="2:2">
      <c r="B2827"/>
    </row>
    <row r="2828" spans="2:2">
      <c r="B2828"/>
    </row>
    <row r="2829" spans="2:2">
      <c r="B2829"/>
    </row>
    <row r="2830" spans="2:2">
      <c r="B2830"/>
    </row>
    <row r="2831" spans="2:2">
      <c r="B2831"/>
    </row>
    <row r="2832" spans="2:2">
      <c r="B2832"/>
    </row>
    <row r="2833" spans="2:2">
      <c r="B2833"/>
    </row>
    <row r="2834" spans="2:2">
      <c r="B2834"/>
    </row>
    <row r="2835" spans="2:2">
      <c r="B2835"/>
    </row>
    <row r="2836" spans="2:2">
      <c r="B2836"/>
    </row>
    <row r="2837" spans="2:2">
      <c r="B2837"/>
    </row>
    <row r="2838" spans="2:2">
      <c r="B2838"/>
    </row>
    <row r="2839" spans="2:2">
      <c r="B2839"/>
    </row>
    <row r="2840" spans="2:2">
      <c r="B2840"/>
    </row>
    <row r="2841" spans="2:2">
      <c r="B2841"/>
    </row>
    <row r="2842" spans="2:2">
      <c r="B2842"/>
    </row>
    <row r="2843" spans="2:2">
      <c r="B2843"/>
    </row>
    <row r="2844" spans="2:2">
      <c r="B2844"/>
    </row>
    <row r="2845" spans="2:2">
      <c r="B2845"/>
    </row>
    <row r="2846" spans="2:2">
      <c r="B2846"/>
    </row>
    <row r="2847" spans="2:2">
      <c r="B2847"/>
    </row>
    <row r="2848" spans="2:2">
      <c r="B2848"/>
    </row>
    <row r="2849" spans="2:2">
      <c r="B2849"/>
    </row>
    <row r="2850" spans="2:2">
      <c r="B2850"/>
    </row>
    <row r="2851" spans="2:2">
      <c r="B2851"/>
    </row>
    <row r="2852" spans="2:2">
      <c r="B2852"/>
    </row>
    <row r="2853" spans="2:2">
      <c r="B2853"/>
    </row>
    <row r="2854" spans="2:2">
      <c r="B2854"/>
    </row>
    <row r="2855" spans="2:2">
      <c r="B2855"/>
    </row>
    <row r="2856" spans="2:2">
      <c r="B2856"/>
    </row>
    <row r="2857" spans="2:2">
      <c r="B2857"/>
    </row>
    <row r="2858" spans="2:2">
      <c r="B2858"/>
    </row>
    <row r="2859" spans="2:2">
      <c r="B2859"/>
    </row>
    <row r="2860" spans="2:2">
      <c r="B2860"/>
    </row>
    <row r="2861" spans="2:2">
      <c r="B2861"/>
    </row>
    <row r="2862" spans="2:2">
      <c r="B2862"/>
    </row>
    <row r="2863" spans="2:2">
      <c r="B2863"/>
    </row>
    <row r="2864" spans="2:2">
      <c r="B2864"/>
    </row>
    <row r="2865" spans="2:2">
      <c r="B2865"/>
    </row>
    <row r="2866" spans="2:2">
      <c r="B2866"/>
    </row>
    <row r="2867" spans="2:2">
      <c r="B2867"/>
    </row>
    <row r="2868" spans="2:2">
      <c r="B2868"/>
    </row>
    <row r="2869" spans="2:2">
      <c r="B2869"/>
    </row>
    <row r="2870" spans="2:2">
      <c r="B2870"/>
    </row>
    <row r="2871" spans="2:2">
      <c r="B2871"/>
    </row>
    <row r="2872" spans="2:2">
      <c r="B2872"/>
    </row>
    <row r="2873" spans="2:2">
      <c r="B2873"/>
    </row>
    <row r="2874" spans="2:2">
      <c r="B2874"/>
    </row>
    <row r="2875" spans="2:2">
      <c r="B2875"/>
    </row>
    <row r="2876" spans="2:2">
      <c r="B2876"/>
    </row>
    <row r="2877" spans="2:2">
      <c r="B2877"/>
    </row>
    <row r="2878" spans="2:2">
      <c r="B2878"/>
    </row>
    <row r="2879" spans="2:2">
      <c r="B2879"/>
    </row>
    <row r="2880" spans="2:2">
      <c r="B2880"/>
    </row>
    <row r="2881" spans="2:2">
      <c r="B2881"/>
    </row>
    <row r="2882" spans="2:2">
      <c r="B2882"/>
    </row>
    <row r="2883" spans="2:2">
      <c r="B2883"/>
    </row>
    <row r="2884" spans="2:2">
      <c r="B2884"/>
    </row>
    <row r="2885" spans="2:2">
      <c r="B2885"/>
    </row>
    <row r="2886" spans="2:2">
      <c r="B2886"/>
    </row>
    <row r="2887" spans="2:2">
      <c r="B2887"/>
    </row>
    <row r="2888" spans="2:2">
      <c r="B2888"/>
    </row>
    <row r="2889" spans="2:2">
      <c r="B2889"/>
    </row>
    <row r="2890" spans="2:2">
      <c r="B2890"/>
    </row>
    <row r="2891" spans="2:2">
      <c r="B2891"/>
    </row>
    <row r="2892" spans="2:2">
      <c r="B2892"/>
    </row>
    <row r="2893" spans="2:2">
      <c r="B2893"/>
    </row>
    <row r="2894" spans="2:2">
      <c r="B2894"/>
    </row>
    <row r="2895" spans="2:2">
      <c r="B2895"/>
    </row>
    <row r="2896" spans="2:2">
      <c r="B2896"/>
    </row>
    <row r="2897" spans="2:2">
      <c r="B2897"/>
    </row>
    <row r="2898" spans="2:2">
      <c r="B2898"/>
    </row>
    <row r="2899" spans="2:2">
      <c r="B2899"/>
    </row>
    <row r="2900" spans="2:2">
      <c r="B2900"/>
    </row>
    <row r="2901" spans="2:2">
      <c r="B2901"/>
    </row>
    <row r="2902" spans="2:2">
      <c r="B2902"/>
    </row>
    <row r="2903" spans="2:2">
      <c r="B2903"/>
    </row>
    <row r="2904" spans="2:2">
      <c r="B2904"/>
    </row>
    <row r="2905" spans="2:2">
      <c r="B2905"/>
    </row>
    <row r="2906" spans="2:2">
      <c r="B2906"/>
    </row>
    <row r="2907" spans="2:2">
      <c r="B2907"/>
    </row>
    <row r="2908" spans="2:2">
      <c r="B2908"/>
    </row>
    <row r="2909" spans="2:2">
      <c r="B2909"/>
    </row>
    <row r="2910" spans="2:2">
      <c r="B2910"/>
    </row>
    <row r="2911" spans="2:2">
      <c r="B2911"/>
    </row>
    <row r="2912" spans="2:2">
      <c r="B2912"/>
    </row>
    <row r="2913" spans="2:2">
      <c r="B2913"/>
    </row>
    <row r="2914" spans="2:2">
      <c r="B2914"/>
    </row>
    <row r="2915" spans="2:2">
      <c r="B2915"/>
    </row>
    <row r="2916" spans="2:2">
      <c r="B2916"/>
    </row>
    <row r="2917" spans="2:2">
      <c r="B2917"/>
    </row>
    <row r="2918" spans="2:2">
      <c r="B2918"/>
    </row>
    <row r="2919" spans="2:2">
      <c r="B2919"/>
    </row>
    <row r="2920" spans="2:2">
      <c r="B2920"/>
    </row>
    <row r="2921" spans="2:2">
      <c r="B2921"/>
    </row>
    <row r="2922" spans="2:2">
      <c r="B2922"/>
    </row>
    <row r="2923" spans="2:2">
      <c r="B2923"/>
    </row>
    <row r="2924" spans="2:2">
      <c r="B2924"/>
    </row>
    <row r="2925" spans="2:2">
      <c r="B2925"/>
    </row>
    <row r="2926" spans="2:2">
      <c r="B2926"/>
    </row>
    <row r="2927" spans="2:2">
      <c r="B2927"/>
    </row>
    <row r="2928" spans="2:2">
      <c r="B2928"/>
    </row>
    <row r="2929" spans="2:2">
      <c r="B2929"/>
    </row>
    <row r="2930" spans="2:2">
      <c r="B2930"/>
    </row>
    <row r="2931" spans="2:2">
      <c r="B2931"/>
    </row>
    <row r="2932" spans="2:2">
      <c r="B2932"/>
    </row>
    <row r="2933" spans="2:2">
      <c r="B2933"/>
    </row>
    <row r="2934" spans="2:2">
      <c r="B2934"/>
    </row>
    <row r="2935" spans="2:2">
      <c r="B2935"/>
    </row>
    <row r="2936" spans="2:2">
      <c r="B2936"/>
    </row>
    <row r="2937" spans="2:2">
      <c r="B2937"/>
    </row>
    <row r="2938" spans="2:2">
      <c r="B2938"/>
    </row>
    <row r="2939" spans="2:2">
      <c r="B2939"/>
    </row>
    <row r="2940" spans="2:2">
      <c r="B2940"/>
    </row>
    <row r="2941" spans="2:2">
      <c r="B2941"/>
    </row>
    <row r="2942" spans="2:2">
      <c r="B2942"/>
    </row>
    <row r="2943" spans="2:2">
      <c r="B2943"/>
    </row>
    <row r="2944" spans="2:2">
      <c r="B2944"/>
    </row>
    <row r="2945" spans="2:2">
      <c r="B2945"/>
    </row>
    <row r="2946" spans="2:2">
      <c r="B2946"/>
    </row>
    <row r="2947" spans="2:2">
      <c r="B2947"/>
    </row>
    <row r="2948" spans="2:2">
      <c r="B2948"/>
    </row>
    <row r="2949" spans="2:2">
      <c r="B2949"/>
    </row>
    <row r="2950" spans="2:2">
      <c r="B2950"/>
    </row>
    <row r="2951" spans="2:2">
      <c r="B2951"/>
    </row>
    <row r="2952" spans="2:2">
      <c r="B2952"/>
    </row>
    <row r="2953" spans="2:2">
      <c r="B2953"/>
    </row>
    <row r="2954" spans="2:2">
      <c r="B2954"/>
    </row>
    <row r="2955" spans="2:2">
      <c r="B2955"/>
    </row>
    <row r="2956" spans="2:2">
      <c r="B2956"/>
    </row>
    <row r="2957" spans="2:2">
      <c r="B2957"/>
    </row>
    <row r="2958" spans="2:2">
      <c r="B2958"/>
    </row>
    <row r="2959" spans="2:2">
      <c r="B2959"/>
    </row>
    <row r="2960" spans="2:2">
      <c r="B2960"/>
    </row>
    <row r="2961" spans="2:2">
      <c r="B2961"/>
    </row>
    <row r="2962" spans="2:2">
      <c r="B2962"/>
    </row>
    <row r="2963" spans="2:2">
      <c r="B2963"/>
    </row>
    <row r="2964" spans="2:2">
      <c r="B2964"/>
    </row>
    <row r="2965" spans="2:2">
      <c r="B2965"/>
    </row>
    <row r="2966" spans="2:2">
      <c r="B2966"/>
    </row>
    <row r="2967" spans="2:2">
      <c r="B2967"/>
    </row>
    <row r="2968" spans="2:2">
      <c r="B2968"/>
    </row>
    <row r="2969" spans="2:2">
      <c r="B2969"/>
    </row>
    <row r="2970" spans="2:2">
      <c r="B2970"/>
    </row>
    <row r="2971" spans="2:2">
      <c r="B2971"/>
    </row>
    <row r="2972" spans="2:2">
      <c r="B2972"/>
    </row>
    <row r="2973" spans="2:2">
      <c r="B2973"/>
    </row>
    <row r="2974" spans="2:2">
      <c r="B2974"/>
    </row>
    <row r="2975" spans="2:2">
      <c r="B2975"/>
    </row>
    <row r="2976" spans="2:2">
      <c r="B2976"/>
    </row>
    <row r="2977" spans="2:2">
      <c r="B2977"/>
    </row>
    <row r="2978" spans="2:2">
      <c r="B2978"/>
    </row>
    <row r="2979" spans="2:2">
      <c r="B2979"/>
    </row>
    <row r="2980" spans="2:2">
      <c r="B2980"/>
    </row>
    <row r="2981" spans="2:2">
      <c r="B2981"/>
    </row>
    <row r="2982" spans="2:2">
      <c r="B2982"/>
    </row>
    <row r="2983" spans="2:2">
      <c r="B2983"/>
    </row>
    <row r="2984" spans="2:2">
      <c r="B2984"/>
    </row>
    <row r="2985" spans="2:2">
      <c r="B2985"/>
    </row>
    <row r="2986" spans="2:2">
      <c r="B2986"/>
    </row>
    <row r="2987" spans="2:2">
      <c r="B2987"/>
    </row>
    <row r="2988" spans="2:2">
      <c r="B2988"/>
    </row>
    <row r="2989" spans="2:2">
      <c r="B2989"/>
    </row>
    <row r="2990" spans="2:2">
      <c r="B2990"/>
    </row>
    <row r="2991" spans="2:2">
      <c r="B2991"/>
    </row>
    <row r="2992" spans="2:2">
      <c r="B2992"/>
    </row>
    <row r="2993" spans="2:2">
      <c r="B2993"/>
    </row>
    <row r="2994" spans="2:2">
      <c r="B2994"/>
    </row>
    <row r="2995" spans="2:2">
      <c r="B2995"/>
    </row>
    <row r="2996" spans="2:2">
      <c r="B2996"/>
    </row>
    <row r="2997" spans="2:2">
      <c r="B2997"/>
    </row>
    <row r="2998" spans="2:2">
      <c r="B2998"/>
    </row>
    <row r="2999" spans="2:2">
      <c r="B2999"/>
    </row>
    <row r="3000" spans="2:2">
      <c r="B3000"/>
    </row>
    <row r="3001" spans="2:2">
      <c r="B3001"/>
    </row>
    <row r="3002" spans="2:2">
      <c r="B3002"/>
    </row>
    <row r="3003" spans="2:2">
      <c r="B3003"/>
    </row>
    <row r="3004" spans="2:2">
      <c r="B3004"/>
    </row>
    <row r="3005" spans="2:2">
      <c r="B3005"/>
    </row>
    <row r="3006" spans="2:2">
      <c r="B3006"/>
    </row>
    <row r="3007" spans="2:2">
      <c r="B3007"/>
    </row>
    <row r="3008" spans="2:2">
      <c r="B3008"/>
    </row>
    <row r="3009" spans="2:2">
      <c r="B3009"/>
    </row>
    <row r="3010" spans="2:2">
      <c r="B3010"/>
    </row>
    <row r="3011" spans="2:2">
      <c r="B3011"/>
    </row>
    <row r="3012" spans="2:2">
      <c r="B3012"/>
    </row>
    <row r="3013" spans="2:2">
      <c r="B3013"/>
    </row>
    <row r="3014" spans="2:2">
      <c r="B3014"/>
    </row>
    <row r="3015" spans="2:2">
      <c r="B3015"/>
    </row>
    <row r="3016" spans="2:2">
      <c r="B3016"/>
    </row>
    <row r="3017" spans="2:2">
      <c r="B3017"/>
    </row>
    <row r="3018" spans="2:2">
      <c r="B3018"/>
    </row>
    <row r="3019" spans="2:2">
      <c r="B3019"/>
    </row>
    <row r="3020" spans="2:2">
      <c r="B3020"/>
    </row>
    <row r="3021" spans="2:2">
      <c r="B3021"/>
    </row>
    <row r="3022" spans="2:2">
      <c r="B3022"/>
    </row>
    <row r="3023" spans="2:2">
      <c r="B3023"/>
    </row>
    <row r="3024" spans="2:2">
      <c r="B3024"/>
    </row>
    <row r="3025" spans="2:2">
      <c r="B3025"/>
    </row>
    <row r="3026" spans="2:2">
      <c r="B3026"/>
    </row>
    <row r="3027" spans="2:2">
      <c r="B3027"/>
    </row>
    <row r="3028" spans="2:2">
      <c r="B3028"/>
    </row>
    <row r="3029" spans="2:2">
      <c r="B3029"/>
    </row>
    <row r="3030" spans="2:2">
      <c r="B3030"/>
    </row>
    <row r="3031" spans="2:2">
      <c r="B3031"/>
    </row>
    <row r="3032" spans="2:2">
      <c r="B3032"/>
    </row>
    <row r="3033" spans="2:2">
      <c r="B3033"/>
    </row>
    <row r="3034" spans="2:2">
      <c r="B3034"/>
    </row>
    <row r="3035" spans="2:2">
      <c r="B3035"/>
    </row>
    <row r="3036" spans="2:2">
      <c r="B3036"/>
    </row>
    <row r="3037" spans="2:2">
      <c r="B3037"/>
    </row>
    <row r="3038" spans="2:2">
      <c r="B3038"/>
    </row>
    <row r="3039" spans="2:2">
      <c r="B3039"/>
    </row>
    <row r="3040" spans="2:2">
      <c r="B3040"/>
    </row>
    <row r="3041" spans="2:2">
      <c r="B3041"/>
    </row>
    <row r="3042" spans="2:2">
      <c r="B3042"/>
    </row>
    <row r="3043" spans="2:2">
      <c r="B3043"/>
    </row>
    <row r="3044" spans="2:2">
      <c r="B3044"/>
    </row>
    <row r="3045" spans="2:2">
      <c r="B3045"/>
    </row>
    <row r="3046" spans="2:2">
      <c r="B3046"/>
    </row>
    <row r="3047" spans="2:2">
      <c r="B3047"/>
    </row>
    <row r="3048" spans="2:2">
      <c r="B3048"/>
    </row>
    <row r="3049" spans="2:2">
      <c r="B3049"/>
    </row>
    <row r="3050" spans="2:2">
      <c r="B3050"/>
    </row>
    <row r="3051" spans="2:2">
      <c r="B3051"/>
    </row>
    <row r="3052" spans="2:2">
      <c r="B3052"/>
    </row>
    <row r="3053" spans="2:2">
      <c r="B3053"/>
    </row>
    <row r="3054" spans="2:2">
      <c r="B3054"/>
    </row>
    <row r="3055" spans="2:2">
      <c r="B3055"/>
    </row>
    <row r="3056" spans="2:2">
      <c r="B3056"/>
    </row>
    <row r="3057" spans="2:2">
      <c r="B3057"/>
    </row>
    <row r="3058" spans="2:2">
      <c r="B3058"/>
    </row>
    <row r="3059" spans="2:2">
      <c r="B3059"/>
    </row>
    <row r="3060" spans="2:2">
      <c r="B3060"/>
    </row>
    <row r="3061" spans="2:2">
      <c r="B3061"/>
    </row>
    <row r="3062" spans="2:2">
      <c r="B3062"/>
    </row>
    <row r="3063" spans="2:2">
      <c r="B3063"/>
    </row>
    <row r="3064" spans="2:2">
      <c r="B3064"/>
    </row>
    <row r="3065" spans="2:2">
      <c r="B3065"/>
    </row>
    <row r="3066" spans="2:2">
      <c r="B3066"/>
    </row>
    <row r="3067" spans="2:2">
      <c r="B3067"/>
    </row>
    <row r="3068" spans="2:2">
      <c r="B3068"/>
    </row>
    <row r="3069" spans="2:2">
      <c r="B3069"/>
    </row>
    <row r="3070" spans="2:2">
      <c r="B3070"/>
    </row>
    <row r="3071" spans="2:2">
      <c r="B3071"/>
    </row>
    <row r="3072" spans="2:2">
      <c r="B3072"/>
    </row>
    <row r="3073" spans="2:2">
      <c r="B3073"/>
    </row>
    <row r="3074" spans="2:2">
      <c r="B3074"/>
    </row>
    <row r="3075" spans="2:2">
      <c r="B3075"/>
    </row>
    <row r="3076" spans="2:2">
      <c r="B3076"/>
    </row>
    <row r="3077" spans="2:2">
      <c r="B3077"/>
    </row>
    <row r="3078" spans="2:2">
      <c r="B3078"/>
    </row>
    <row r="3079" spans="2:2">
      <c r="B3079"/>
    </row>
    <row r="3080" spans="2:2">
      <c r="B3080"/>
    </row>
    <row r="3081" spans="2:2">
      <c r="B3081"/>
    </row>
    <row r="3082" spans="2:2">
      <c r="B3082"/>
    </row>
    <row r="3083" spans="2:2">
      <c r="B3083"/>
    </row>
    <row r="3084" spans="2:2">
      <c r="B3084"/>
    </row>
    <row r="3085" spans="2:2">
      <c r="B3085"/>
    </row>
    <row r="3086" spans="2:2">
      <c r="B3086"/>
    </row>
    <row r="3087" spans="2:2">
      <c r="B3087"/>
    </row>
    <row r="3088" spans="2:2">
      <c r="B3088"/>
    </row>
    <row r="3089" spans="2:2">
      <c r="B3089"/>
    </row>
    <row r="3090" spans="2:2">
      <c r="B3090"/>
    </row>
    <row r="3091" spans="2:2">
      <c r="B3091"/>
    </row>
    <row r="3092" spans="2:2">
      <c r="B3092"/>
    </row>
    <row r="3093" spans="2:2">
      <c r="B3093"/>
    </row>
    <row r="3094" spans="2:2">
      <c r="B3094"/>
    </row>
    <row r="3095" spans="2:2">
      <c r="B3095"/>
    </row>
    <row r="3096" spans="2:2">
      <c r="B3096"/>
    </row>
    <row r="3097" spans="2:2">
      <c r="B3097"/>
    </row>
    <row r="3098" spans="2:2">
      <c r="B3098"/>
    </row>
    <row r="3099" spans="2:2">
      <c r="B3099"/>
    </row>
    <row r="3100" spans="2:2">
      <c r="B3100"/>
    </row>
    <row r="3101" spans="2:2">
      <c r="B3101"/>
    </row>
    <row r="3102" spans="2:2">
      <c r="B3102"/>
    </row>
    <row r="3103" spans="2:2">
      <c r="B3103"/>
    </row>
    <row r="3104" spans="2:2">
      <c r="B3104"/>
    </row>
    <row r="3105" spans="2:2">
      <c r="B3105"/>
    </row>
    <row r="3106" spans="2:2">
      <c r="B3106"/>
    </row>
    <row r="3107" spans="2:2">
      <c r="B3107"/>
    </row>
    <row r="3108" spans="2:2">
      <c r="B3108"/>
    </row>
    <row r="3109" spans="2:2">
      <c r="B3109"/>
    </row>
    <row r="3110" spans="2:2">
      <c r="B3110"/>
    </row>
    <row r="3111" spans="2:2">
      <c r="B3111"/>
    </row>
    <row r="3112" spans="2:2">
      <c r="B3112"/>
    </row>
    <row r="3113" spans="2:2">
      <c r="B3113"/>
    </row>
    <row r="3114" spans="2:2">
      <c r="B3114"/>
    </row>
    <row r="3115" spans="2:2">
      <c r="B3115"/>
    </row>
    <row r="3116" spans="2:2">
      <c r="B3116"/>
    </row>
    <row r="3117" spans="2:2">
      <c r="B3117"/>
    </row>
    <row r="3118" spans="2:2">
      <c r="B3118"/>
    </row>
    <row r="3119" spans="2:2">
      <c r="B3119"/>
    </row>
    <row r="3120" spans="2:2">
      <c r="B3120"/>
    </row>
    <row r="3121" spans="2:2">
      <c r="B3121"/>
    </row>
    <row r="3122" spans="2:2">
      <c r="B3122"/>
    </row>
    <row r="3123" spans="2:2">
      <c r="B3123"/>
    </row>
    <row r="3124" spans="2:2">
      <c r="B3124"/>
    </row>
    <row r="3125" spans="2:2">
      <c r="B3125"/>
    </row>
    <row r="3126" spans="2:2">
      <c r="B3126"/>
    </row>
    <row r="3127" spans="2:2">
      <c r="B3127"/>
    </row>
    <row r="3128" spans="2:2">
      <c r="B3128"/>
    </row>
    <row r="3129" spans="2:2">
      <c r="B3129"/>
    </row>
    <row r="3130" spans="2:2">
      <c r="B3130"/>
    </row>
    <row r="3131" spans="2:2">
      <c r="B3131"/>
    </row>
    <row r="3132" spans="2:2">
      <c r="B3132"/>
    </row>
    <row r="3133" spans="2:2">
      <c r="B3133"/>
    </row>
    <row r="3134" spans="2:2">
      <c r="B3134"/>
    </row>
    <row r="3135" spans="2:2">
      <c r="B3135"/>
    </row>
    <row r="3136" spans="2:2">
      <c r="B3136"/>
    </row>
    <row r="3137" spans="2:2">
      <c r="B3137"/>
    </row>
    <row r="3138" spans="2:2">
      <c r="B3138"/>
    </row>
    <row r="3139" spans="2:2">
      <c r="B3139"/>
    </row>
    <row r="3140" spans="2:2">
      <c r="B3140"/>
    </row>
    <row r="3141" spans="2:2">
      <c r="B3141"/>
    </row>
    <row r="3142" spans="2:2">
      <c r="B3142"/>
    </row>
    <row r="3143" spans="2:2">
      <c r="B3143"/>
    </row>
    <row r="3144" spans="2:2">
      <c r="B3144"/>
    </row>
    <row r="3145" spans="2:2">
      <c r="B3145"/>
    </row>
    <row r="3146" spans="2:2">
      <c r="B3146"/>
    </row>
    <row r="3147" spans="2:2">
      <c r="B3147"/>
    </row>
    <row r="3148" spans="2:2">
      <c r="B3148"/>
    </row>
    <row r="3149" spans="2:2">
      <c r="B3149"/>
    </row>
    <row r="3150" spans="2:2">
      <c r="B3150"/>
    </row>
    <row r="3151" spans="2:2">
      <c r="B3151"/>
    </row>
    <row r="3152" spans="2:2">
      <c r="B3152"/>
    </row>
    <row r="3153" spans="2:2">
      <c r="B3153"/>
    </row>
    <row r="3154" spans="2:2">
      <c r="B3154"/>
    </row>
    <row r="3155" spans="2:2">
      <c r="B3155"/>
    </row>
    <row r="3156" spans="2:2">
      <c r="B3156"/>
    </row>
    <row r="3157" spans="2:2">
      <c r="B3157"/>
    </row>
    <row r="3158" spans="2:2">
      <c r="B3158"/>
    </row>
    <row r="3159" spans="2:2">
      <c r="B3159"/>
    </row>
    <row r="3160" spans="2:2">
      <c r="B3160"/>
    </row>
    <row r="3161" spans="2:2">
      <c r="B3161"/>
    </row>
    <row r="3162" spans="2:2">
      <c r="B3162"/>
    </row>
    <row r="3163" spans="2:2">
      <c r="B3163"/>
    </row>
    <row r="3164" spans="2:2">
      <c r="B3164"/>
    </row>
    <row r="3165" spans="2:2">
      <c r="B3165"/>
    </row>
    <row r="3166" spans="2:2">
      <c r="B3166"/>
    </row>
    <row r="3167" spans="2:2">
      <c r="B3167"/>
    </row>
    <row r="3168" spans="2:2">
      <c r="B3168"/>
    </row>
    <row r="3169" spans="2:2">
      <c r="B3169"/>
    </row>
    <row r="3170" spans="2:2">
      <c r="B3170"/>
    </row>
    <row r="3171" spans="2:2">
      <c r="B3171"/>
    </row>
    <row r="3172" spans="2:2">
      <c r="B3172"/>
    </row>
    <row r="3173" spans="2:2">
      <c r="B3173"/>
    </row>
    <row r="3174" spans="2:2">
      <c r="B3174"/>
    </row>
    <row r="3175" spans="2:2">
      <c r="B3175"/>
    </row>
    <row r="3176" spans="2:2">
      <c r="B3176"/>
    </row>
    <row r="3177" spans="2:2">
      <c r="B3177"/>
    </row>
    <row r="3178" spans="2:2">
      <c r="B3178"/>
    </row>
    <row r="3179" spans="2:2">
      <c r="B3179"/>
    </row>
    <row r="3180" spans="2:2">
      <c r="B3180"/>
    </row>
    <row r="3181" spans="2:2">
      <c r="B3181"/>
    </row>
    <row r="3182" spans="2:2">
      <c r="B3182"/>
    </row>
    <row r="3183" spans="2:2">
      <c r="B3183"/>
    </row>
    <row r="3184" spans="2:2">
      <c r="B3184"/>
    </row>
    <row r="3185" spans="2:2">
      <c r="B3185"/>
    </row>
    <row r="3186" spans="2:2">
      <c r="B3186"/>
    </row>
    <row r="3187" spans="2:2">
      <c r="B3187"/>
    </row>
    <row r="3188" spans="2:2">
      <c r="B3188"/>
    </row>
    <row r="3189" spans="2:2">
      <c r="B3189"/>
    </row>
    <row r="3190" spans="2:2">
      <c r="B3190"/>
    </row>
    <row r="3191" spans="2:2">
      <c r="B3191"/>
    </row>
    <row r="3192" spans="2:2">
      <c r="B3192"/>
    </row>
    <row r="3193" spans="2:2">
      <c r="B3193"/>
    </row>
    <row r="3194" spans="2:2">
      <c r="B3194"/>
    </row>
    <row r="3195" spans="2:2">
      <c r="B3195"/>
    </row>
    <row r="3196" spans="2:2">
      <c r="B3196"/>
    </row>
    <row r="3197" spans="2:2">
      <c r="B3197"/>
    </row>
    <row r="3198" spans="2:2">
      <c r="B3198"/>
    </row>
    <row r="3199" spans="2:2">
      <c r="B3199"/>
    </row>
    <row r="3200" spans="2:2">
      <c r="B3200"/>
    </row>
    <row r="3201" spans="2:2">
      <c r="B3201"/>
    </row>
    <row r="3202" spans="2:2">
      <c r="B3202"/>
    </row>
    <row r="3203" spans="2:2">
      <c r="B3203"/>
    </row>
    <row r="3204" spans="2:2">
      <c r="B3204"/>
    </row>
    <row r="3205" spans="2:2">
      <c r="B3205"/>
    </row>
    <row r="3206" spans="2:2">
      <c r="B3206"/>
    </row>
    <row r="3207" spans="2:2">
      <c r="B3207"/>
    </row>
    <row r="3208" spans="2:2">
      <c r="B3208"/>
    </row>
    <row r="3209" spans="2:2">
      <c r="B3209"/>
    </row>
    <row r="3210" spans="2:2">
      <c r="B3210"/>
    </row>
    <row r="3211" spans="2:2">
      <c r="B3211"/>
    </row>
    <row r="3212" spans="2:2">
      <c r="B3212"/>
    </row>
    <row r="3213" spans="2:2">
      <c r="B3213"/>
    </row>
    <row r="3214" spans="2:2">
      <c r="B3214"/>
    </row>
    <row r="3215" spans="2:2">
      <c r="B3215"/>
    </row>
    <row r="3216" spans="2:2">
      <c r="B3216"/>
    </row>
    <row r="3217" spans="2:2">
      <c r="B3217"/>
    </row>
    <row r="3218" spans="2:2">
      <c r="B3218"/>
    </row>
    <row r="3219" spans="2:2">
      <c r="B3219"/>
    </row>
    <row r="3220" spans="2:2">
      <c r="B3220"/>
    </row>
    <row r="3221" spans="2:2">
      <c r="B3221"/>
    </row>
    <row r="3222" spans="2:2">
      <c r="B3222"/>
    </row>
    <row r="3223" spans="2:2">
      <c r="B3223"/>
    </row>
    <row r="3224" spans="2:2">
      <c r="B3224"/>
    </row>
    <row r="3225" spans="2:2">
      <c r="B3225"/>
    </row>
    <row r="3226" spans="2:2">
      <c r="B3226"/>
    </row>
    <row r="3227" spans="2:2">
      <c r="B3227"/>
    </row>
    <row r="3228" spans="2:2">
      <c r="B3228"/>
    </row>
    <row r="3229" spans="2:2">
      <c r="B3229"/>
    </row>
    <row r="3230" spans="2:2">
      <c r="B3230"/>
    </row>
    <row r="3231" spans="2:2">
      <c r="B3231"/>
    </row>
    <row r="3232" spans="2:2">
      <c r="B3232"/>
    </row>
    <row r="3233" spans="2:2">
      <c r="B3233"/>
    </row>
    <row r="3234" spans="2:2">
      <c r="B3234"/>
    </row>
    <row r="3235" spans="2:2">
      <c r="B3235"/>
    </row>
    <row r="3236" spans="2:2">
      <c r="B3236"/>
    </row>
    <row r="3237" spans="2:2">
      <c r="B3237"/>
    </row>
    <row r="3238" spans="2:2">
      <c r="B3238"/>
    </row>
    <row r="3239" spans="2:2">
      <c r="B3239"/>
    </row>
    <row r="3240" spans="2:2">
      <c r="B3240"/>
    </row>
    <row r="3241" spans="2:2">
      <c r="B3241"/>
    </row>
    <row r="3242" spans="2:2">
      <c r="B3242"/>
    </row>
    <row r="3243" spans="2:2">
      <c r="B3243"/>
    </row>
    <row r="3244" spans="2:2">
      <c r="B3244"/>
    </row>
    <row r="3245" spans="2:2">
      <c r="B3245"/>
    </row>
    <row r="3246" spans="2:2">
      <c r="B3246"/>
    </row>
    <row r="3247" spans="2:2">
      <c r="B3247"/>
    </row>
    <row r="3248" spans="2:2">
      <c r="B3248"/>
    </row>
    <row r="3249" spans="2:2">
      <c r="B3249"/>
    </row>
    <row r="3250" spans="2:2">
      <c r="B3250"/>
    </row>
    <row r="3251" spans="2:2">
      <c r="B3251"/>
    </row>
    <row r="3252" spans="2:2">
      <c r="B3252"/>
    </row>
    <row r="3253" spans="2:2">
      <c r="B3253"/>
    </row>
    <row r="3254" spans="2:2">
      <c r="B3254"/>
    </row>
    <row r="3255" spans="2:2">
      <c r="B3255"/>
    </row>
    <row r="3256" spans="2:2">
      <c r="B3256"/>
    </row>
    <row r="3257" spans="2:2">
      <c r="B3257"/>
    </row>
    <row r="3258" spans="2:2">
      <c r="B3258"/>
    </row>
    <row r="3259" spans="2:2">
      <c r="B3259"/>
    </row>
    <row r="3260" spans="2:2">
      <c r="B3260"/>
    </row>
    <row r="3261" spans="2:2">
      <c r="B3261"/>
    </row>
    <row r="3262" spans="2:2">
      <c r="B3262"/>
    </row>
    <row r="3263" spans="2:2">
      <c r="B3263"/>
    </row>
    <row r="3264" spans="2:2">
      <c r="B3264"/>
    </row>
    <row r="3265" spans="2:2">
      <c r="B3265"/>
    </row>
    <row r="3266" spans="2:2">
      <c r="B3266"/>
    </row>
    <row r="3267" spans="2:2">
      <c r="B3267"/>
    </row>
    <row r="3268" spans="2:2">
      <c r="B3268"/>
    </row>
    <row r="3269" spans="2:2">
      <c r="B3269"/>
    </row>
    <row r="3270" spans="2:2">
      <c r="B3270"/>
    </row>
    <row r="3271" spans="2:2">
      <c r="B3271"/>
    </row>
    <row r="3272" spans="2:2">
      <c r="B3272"/>
    </row>
    <row r="3273" spans="2:2">
      <c r="B3273"/>
    </row>
    <row r="3274" spans="2:2">
      <c r="B3274"/>
    </row>
    <row r="3275" spans="2:2">
      <c r="B3275"/>
    </row>
    <row r="3276" spans="2:2">
      <c r="B3276"/>
    </row>
    <row r="3277" spans="2:2">
      <c r="B3277"/>
    </row>
    <row r="3278" spans="2:2">
      <c r="B3278"/>
    </row>
    <row r="3279" spans="2:2">
      <c r="B3279"/>
    </row>
    <row r="3280" spans="2:2">
      <c r="B3280"/>
    </row>
    <row r="3281" spans="2:2">
      <c r="B3281"/>
    </row>
    <row r="3282" spans="2:2">
      <c r="B3282"/>
    </row>
    <row r="3283" spans="2:2">
      <c r="B3283"/>
    </row>
    <row r="3284" spans="2:2">
      <c r="B3284"/>
    </row>
    <row r="3285" spans="2:2">
      <c r="B3285"/>
    </row>
    <row r="3286" spans="2:2">
      <c r="B3286"/>
    </row>
    <row r="3287" spans="2:2">
      <c r="B3287"/>
    </row>
    <row r="3288" spans="2:2">
      <c r="B3288"/>
    </row>
    <row r="3289" spans="2:2">
      <c r="B3289"/>
    </row>
    <row r="3290" spans="2:2">
      <c r="B3290"/>
    </row>
    <row r="3291" spans="2:2">
      <c r="B3291"/>
    </row>
    <row r="3292" spans="2:2">
      <c r="B3292"/>
    </row>
    <row r="3293" spans="2:2">
      <c r="B3293"/>
    </row>
    <row r="3294" spans="2:2">
      <c r="B3294"/>
    </row>
    <row r="3295" spans="2:2">
      <c r="B3295"/>
    </row>
    <row r="3296" spans="2:2">
      <c r="B3296"/>
    </row>
    <row r="3297" spans="2:2">
      <c r="B3297"/>
    </row>
    <row r="3298" spans="2:2">
      <c r="B3298"/>
    </row>
    <row r="3299" spans="2:2">
      <c r="B3299"/>
    </row>
    <row r="3300" spans="2:2">
      <c r="B3300"/>
    </row>
    <row r="3301" spans="2:2">
      <c r="B3301"/>
    </row>
    <row r="3302" spans="2:2">
      <c r="B3302"/>
    </row>
    <row r="3303" spans="2:2">
      <c r="B3303"/>
    </row>
    <row r="3304" spans="2:2">
      <c r="B3304"/>
    </row>
    <row r="3305" spans="2:2">
      <c r="B3305"/>
    </row>
    <row r="3306" spans="2:2">
      <c r="B3306"/>
    </row>
    <row r="3307" spans="2:2">
      <c r="B3307"/>
    </row>
    <row r="3308" spans="2:2">
      <c r="B3308"/>
    </row>
    <row r="3309" spans="2:2">
      <c r="B3309"/>
    </row>
    <row r="3310" spans="2:2">
      <c r="B3310"/>
    </row>
    <row r="3311" spans="2:2">
      <c r="B3311"/>
    </row>
    <row r="3312" spans="2:2">
      <c r="B3312"/>
    </row>
    <row r="3313" spans="2:2">
      <c r="B3313"/>
    </row>
    <row r="3314" spans="2:2">
      <c r="B3314"/>
    </row>
    <row r="3315" spans="2:2">
      <c r="B3315"/>
    </row>
    <row r="3316" spans="2:2">
      <c r="B3316"/>
    </row>
    <row r="3317" spans="2:2">
      <c r="B3317"/>
    </row>
    <row r="3318" spans="2:2">
      <c r="B3318"/>
    </row>
    <row r="3319" spans="2:2">
      <c r="B3319"/>
    </row>
    <row r="3320" spans="2:2">
      <c r="B3320"/>
    </row>
    <row r="3321" spans="2:2">
      <c r="B3321"/>
    </row>
    <row r="3322" spans="2:2">
      <c r="B3322"/>
    </row>
    <row r="3323" spans="2:2">
      <c r="B3323"/>
    </row>
    <row r="3324" spans="2:2">
      <c r="B3324"/>
    </row>
    <row r="3325" spans="2:2">
      <c r="B3325"/>
    </row>
    <row r="3326" spans="2:2">
      <c r="B3326"/>
    </row>
    <row r="3327" spans="2:2">
      <c r="B3327"/>
    </row>
    <row r="3328" spans="2:2">
      <c r="B3328"/>
    </row>
    <row r="3329" spans="2:2">
      <c r="B3329"/>
    </row>
    <row r="3330" spans="2:2">
      <c r="B3330"/>
    </row>
    <row r="3331" spans="2:2">
      <c r="B3331"/>
    </row>
    <row r="3332" spans="2:2">
      <c r="B3332"/>
    </row>
    <row r="3333" spans="2:2">
      <c r="B3333"/>
    </row>
    <row r="3334" spans="2:2">
      <c r="B3334"/>
    </row>
    <row r="3335" spans="2:2">
      <c r="B3335"/>
    </row>
    <row r="3336" spans="2:2">
      <c r="B3336"/>
    </row>
    <row r="3337" spans="2:2">
      <c r="B3337"/>
    </row>
    <row r="3338" spans="2:2">
      <c r="B3338"/>
    </row>
    <row r="3339" spans="2:2">
      <c r="B3339"/>
    </row>
    <row r="3340" spans="2:2">
      <c r="B3340"/>
    </row>
    <row r="3341" spans="2:2">
      <c r="B3341"/>
    </row>
    <row r="3342" spans="2:2">
      <c r="B3342"/>
    </row>
    <row r="3343" spans="2:2">
      <c r="B3343"/>
    </row>
    <row r="3344" spans="2:2">
      <c r="B3344"/>
    </row>
    <row r="3345" spans="2:2">
      <c r="B3345"/>
    </row>
    <row r="3346" spans="2:2">
      <c r="B3346"/>
    </row>
    <row r="3347" spans="2:2">
      <c r="B3347"/>
    </row>
    <row r="3348" spans="2:2">
      <c r="B3348"/>
    </row>
    <row r="3349" spans="2:2">
      <c r="B3349"/>
    </row>
    <row r="3350" spans="2:2">
      <c r="B3350"/>
    </row>
    <row r="3351" spans="2:2">
      <c r="B3351"/>
    </row>
    <row r="3352" spans="2:2">
      <c r="B3352"/>
    </row>
    <row r="3353" spans="2:2">
      <c r="B3353"/>
    </row>
    <row r="3354" spans="2:2">
      <c r="B3354"/>
    </row>
    <row r="3355" spans="2:2">
      <c r="B3355"/>
    </row>
    <row r="3356" spans="2:2">
      <c r="B3356"/>
    </row>
    <row r="3357" spans="2:2">
      <c r="B3357"/>
    </row>
    <row r="3358" spans="2:2">
      <c r="B3358"/>
    </row>
    <row r="3359" spans="2:2">
      <c r="B3359"/>
    </row>
    <row r="3360" spans="2:2">
      <c r="B3360"/>
    </row>
    <row r="3361" spans="2:2">
      <c r="B3361"/>
    </row>
    <row r="3362" spans="2:2">
      <c r="B3362"/>
    </row>
    <row r="3363" spans="2:2">
      <c r="B3363"/>
    </row>
    <row r="3364" spans="2:2">
      <c r="B3364"/>
    </row>
    <row r="3365" spans="2:2">
      <c r="B3365"/>
    </row>
    <row r="3366" spans="2:2">
      <c r="B3366"/>
    </row>
    <row r="3367" spans="2:2">
      <c r="B3367"/>
    </row>
    <row r="3368" spans="2:2">
      <c r="B3368"/>
    </row>
    <row r="3369" spans="2:2">
      <c r="B3369"/>
    </row>
    <row r="3370" spans="2:2">
      <c r="B3370"/>
    </row>
    <row r="3371" spans="2:2">
      <c r="B3371"/>
    </row>
    <row r="3372" spans="2:2">
      <c r="B3372"/>
    </row>
    <row r="3373" spans="2:2">
      <c r="B3373"/>
    </row>
    <row r="3374" spans="2:2">
      <c r="B3374"/>
    </row>
    <row r="3375" spans="2:2">
      <c r="B3375"/>
    </row>
    <row r="3376" spans="2:2">
      <c r="B3376"/>
    </row>
    <row r="3377" spans="2:2">
      <c r="B3377"/>
    </row>
    <row r="3378" spans="2:2">
      <c r="B3378"/>
    </row>
    <row r="3379" spans="2:2">
      <c r="B3379"/>
    </row>
    <row r="3380" spans="2:2">
      <c r="B3380"/>
    </row>
    <row r="3381" spans="2:2">
      <c r="B3381"/>
    </row>
    <row r="3382" spans="2:2">
      <c r="B3382"/>
    </row>
    <row r="3383" spans="2:2">
      <c r="B3383"/>
    </row>
    <row r="3384" spans="2:2">
      <c r="B3384"/>
    </row>
    <row r="3385" spans="2:2">
      <c r="B3385"/>
    </row>
    <row r="3386" spans="2:2">
      <c r="B3386"/>
    </row>
    <row r="3387" spans="2:2">
      <c r="B3387"/>
    </row>
    <row r="3388" spans="2:2">
      <c r="B3388"/>
    </row>
    <row r="3389" spans="2:2">
      <c r="B3389"/>
    </row>
    <row r="3390" spans="2:2">
      <c r="B3390"/>
    </row>
    <row r="3391" spans="2:2">
      <c r="B3391"/>
    </row>
    <row r="3392" spans="2:2">
      <c r="B3392"/>
    </row>
    <row r="3393" spans="2:2">
      <c r="B3393"/>
    </row>
    <row r="3394" spans="2:2">
      <c r="B3394"/>
    </row>
    <row r="3395" spans="2:2">
      <c r="B3395"/>
    </row>
    <row r="3396" spans="2:2">
      <c r="B3396"/>
    </row>
    <row r="3397" spans="2:2">
      <c r="B3397"/>
    </row>
    <row r="3398" spans="2:2">
      <c r="B3398"/>
    </row>
    <row r="3399" spans="2:2">
      <c r="B3399"/>
    </row>
    <row r="3400" spans="2:2">
      <c r="B3400"/>
    </row>
    <row r="3401" spans="2:2">
      <c r="B3401"/>
    </row>
    <row r="3402" spans="2:2">
      <c r="B3402"/>
    </row>
    <row r="3403" spans="2:2">
      <c r="B3403"/>
    </row>
    <row r="3404" spans="2:2">
      <c r="B3404"/>
    </row>
    <row r="3405" spans="2:2">
      <c r="B3405"/>
    </row>
    <row r="3406" spans="2:2">
      <c r="B3406"/>
    </row>
    <row r="3407" spans="2:2">
      <c r="B3407"/>
    </row>
    <row r="3408" spans="2:2">
      <c r="B3408"/>
    </row>
    <row r="3409" spans="2:2">
      <c r="B3409"/>
    </row>
    <row r="3410" spans="2:2">
      <c r="B3410"/>
    </row>
    <row r="3411" spans="2:2">
      <c r="B3411"/>
    </row>
    <row r="3412" spans="2:2">
      <c r="B3412"/>
    </row>
    <row r="3413" spans="2:2">
      <c r="B3413"/>
    </row>
    <row r="3414" spans="2:2">
      <c r="B3414"/>
    </row>
    <row r="3415" spans="2:2">
      <c r="B3415"/>
    </row>
    <row r="3416" spans="2:2">
      <c r="B3416"/>
    </row>
    <row r="3417" spans="2:2">
      <c r="B3417"/>
    </row>
    <row r="3418" spans="2:2">
      <c r="B3418"/>
    </row>
    <row r="3419" spans="2:2">
      <c r="B3419"/>
    </row>
    <row r="3420" spans="2:2">
      <c r="B3420"/>
    </row>
    <row r="3421" spans="2:2">
      <c r="B3421"/>
    </row>
    <row r="3422" spans="2:2">
      <c r="B3422"/>
    </row>
    <row r="3423" spans="2:2">
      <c r="B3423"/>
    </row>
    <row r="3424" spans="2:2">
      <c r="B3424"/>
    </row>
    <row r="3425" spans="2:2">
      <c r="B3425"/>
    </row>
    <row r="3426" spans="2:2">
      <c r="B3426"/>
    </row>
    <row r="3427" spans="2:2">
      <c r="B3427"/>
    </row>
    <row r="3428" spans="2:2">
      <c r="B3428"/>
    </row>
    <row r="3429" spans="2:2">
      <c r="B3429"/>
    </row>
    <row r="3430" spans="2:2">
      <c r="B3430"/>
    </row>
    <row r="3431" spans="2:2">
      <c r="B3431"/>
    </row>
    <row r="3432" spans="2:2">
      <c r="B3432"/>
    </row>
    <row r="3433" spans="2:2">
      <c r="B3433"/>
    </row>
    <row r="3434" spans="2:2">
      <c r="B3434"/>
    </row>
    <row r="3435" spans="2:2">
      <c r="B3435"/>
    </row>
    <row r="3436" spans="2:2">
      <c r="B3436"/>
    </row>
    <row r="3437" spans="2:2">
      <c r="B3437"/>
    </row>
    <row r="3438" spans="2:2">
      <c r="B3438"/>
    </row>
    <row r="3439" spans="2:2">
      <c r="B3439"/>
    </row>
    <row r="3440" spans="2:2">
      <c r="B3440"/>
    </row>
    <row r="3441" spans="2:2">
      <c r="B3441"/>
    </row>
    <row r="3442" spans="2:2">
      <c r="B3442"/>
    </row>
    <row r="3443" spans="2:2">
      <c r="B3443"/>
    </row>
    <row r="3444" spans="2:2">
      <c r="B3444"/>
    </row>
    <row r="3445" spans="2:2">
      <c r="B3445"/>
    </row>
    <row r="3446" spans="2:2">
      <c r="B3446"/>
    </row>
    <row r="3447" spans="2:2">
      <c r="B3447"/>
    </row>
    <row r="3448" spans="2:2">
      <c r="B3448"/>
    </row>
    <row r="3449" spans="2:2">
      <c r="B3449"/>
    </row>
    <row r="3450" spans="2:2">
      <c r="B3450"/>
    </row>
    <row r="3451" spans="2:2">
      <c r="B3451"/>
    </row>
    <row r="3452" spans="2:2">
      <c r="B3452"/>
    </row>
    <row r="3453" spans="2:2">
      <c r="B3453"/>
    </row>
    <row r="3454" spans="2:2">
      <c r="B3454"/>
    </row>
    <row r="3455" spans="2:2">
      <c r="B3455"/>
    </row>
    <row r="3456" spans="2:2">
      <c r="B3456"/>
    </row>
    <row r="3457" spans="2:2">
      <c r="B3457"/>
    </row>
    <row r="3458" spans="2:2">
      <c r="B3458"/>
    </row>
    <row r="3459" spans="2:2">
      <c r="B3459"/>
    </row>
    <row r="3460" spans="2:2">
      <c r="B3460"/>
    </row>
    <row r="3461" spans="2:2">
      <c r="B3461"/>
    </row>
    <row r="3462" spans="2:2">
      <c r="B3462"/>
    </row>
    <row r="3463" spans="2:2">
      <c r="B3463"/>
    </row>
    <row r="3464" spans="2:2">
      <c r="B3464"/>
    </row>
    <row r="3465" spans="2:2">
      <c r="B3465"/>
    </row>
    <row r="3466" spans="2:2">
      <c r="B3466"/>
    </row>
    <row r="3467" spans="2:2">
      <c r="B3467"/>
    </row>
    <row r="3468" spans="2:2">
      <c r="B3468"/>
    </row>
    <row r="3469" spans="2:2">
      <c r="B3469"/>
    </row>
    <row r="3470" spans="2:2">
      <c r="B3470"/>
    </row>
    <row r="3471" spans="2:2">
      <c r="B3471"/>
    </row>
    <row r="3472" spans="2:2">
      <c r="B3472"/>
    </row>
    <row r="3473" spans="2:2">
      <c r="B3473"/>
    </row>
    <row r="3474" spans="2:2">
      <c r="B3474"/>
    </row>
    <row r="3475" spans="2:2">
      <c r="B3475"/>
    </row>
    <row r="3476" spans="2:2">
      <c r="B3476"/>
    </row>
    <row r="3477" spans="2:2">
      <c r="B3477"/>
    </row>
    <row r="3478" spans="2:2">
      <c r="B3478"/>
    </row>
    <row r="3479" spans="2:2">
      <c r="B3479"/>
    </row>
    <row r="3480" spans="2:2">
      <c r="B3480"/>
    </row>
    <row r="3481" spans="2:2">
      <c r="B3481"/>
    </row>
    <row r="3482" spans="2:2">
      <c r="B3482"/>
    </row>
    <row r="3483" spans="2:2">
      <c r="B3483"/>
    </row>
    <row r="3484" spans="2:2">
      <c r="B3484"/>
    </row>
    <row r="3485" spans="2:2">
      <c r="B3485"/>
    </row>
    <row r="3486" spans="2:2">
      <c r="B3486"/>
    </row>
    <row r="3487" spans="2:2">
      <c r="B3487"/>
    </row>
    <row r="3488" spans="2:2">
      <c r="B3488"/>
    </row>
    <row r="3489" spans="2:2">
      <c r="B3489"/>
    </row>
    <row r="3490" spans="2:2">
      <c r="B3490"/>
    </row>
    <row r="3491" spans="2:2">
      <c r="B3491"/>
    </row>
    <row r="3492" spans="2:2">
      <c r="B3492"/>
    </row>
    <row r="3493" spans="2:2">
      <c r="B3493"/>
    </row>
    <row r="3494" spans="2:2">
      <c r="B3494"/>
    </row>
    <row r="3495" spans="2:2">
      <c r="B3495"/>
    </row>
    <row r="3496" spans="2:2">
      <c r="B3496"/>
    </row>
    <row r="3497" spans="2:2">
      <c r="B3497"/>
    </row>
    <row r="3498" spans="2:2">
      <c r="B3498"/>
    </row>
    <row r="3499" spans="2:2">
      <c r="B3499"/>
    </row>
    <row r="3500" spans="2:2">
      <c r="B3500"/>
    </row>
    <row r="3501" spans="2:2">
      <c r="B3501"/>
    </row>
    <row r="3502" spans="2:2">
      <c r="B3502"/>
    </row>
    <row r="3503" spans="2:2">
      <c r="B3503"/>
    </row>
    <row r="3504" spans="2:2">
      <c r="B3504"/>
    </row>
    <row r="3505" spans="2:2">
      <c r="B3505"/>
    </row>
    <row r="3506" spans="2:2">
      <c r="B3506"/>
    </row>
    <row r="3507" spans="2:2">
      <c r="B3507"/>
    </row>
    <row r="3508" spans="2:2">
      <c r="B3508"/>
    </row>
    <row r="3509" spans="2:2">
      <c r="B3509"/>
    </row>
    <row r="3510" spans="2:2">
      <c r="B3510"/>
    </row>
    <row r="3511" spans="2:2">
      <c r="B3511"/>
    </row>
    <row r="3512" spans="2:2">
      <c r="B3512"/>
    </row>
    <row r="3513" spans="2:2">
      <c r="B3513"/>
    </row>
    <row r="3514" spans="2:2">
      <c r="B3514"/>
    </row>
    <row r="3515" spans="2:2">
      <c r="B3515"/>
    </row>
    <row r="3516" spans="2:2">
      <c r="B3516"/>
    </row>
    <row r="3517" spans="2:2">
      <c r="B3517"/>
    </row>
    <row r="3518" spans="2:2">
      <c r="B3518"/>
    </row>
    <row r="3519" spans="2:2">
      <c r="B3519"/>
    </row>
    <row r="3520" spans="2:2">
      <c r="B3520"/>
    </row>
    <row r="3521" spans="2:2">
      <c r="B3521"/>
    </row>
    <row r="3522" spans="2:2">
      <c r="B3522"/>
    </row>
    <row r="3523" spans="2:2">
      <c r="B3523"/>
    </row>
    <row r="3524" spans="2:2">
      <c r="B3524"/>
    </row>
    <row r="3525" spans="2:2">
      <c r="B3525"/>
    </row>
    <row r="3526" spans="2:2">
      <c r="B3526"/>
    </row>
    <row r="3527" spans="2:2">
      <c r="B3527"/>
    </row>
    <row r="3528" spans="2:2">
      <c r="B3528"/>
    </row>
    <row r="3529" spans="2:2">
      <c r="B3529"/>
    </row>
    <row r="3530" spans="2:2">
      <c r="B3530"/>
    </row>
    <row r="3531" spans="2:2">
      <c r="B3531"/>
    </row>
    <row r="3532" spans="2:2">
      <c r="B3532"/>
    </row>
    <row r="3533" spans="2:2">
      <c r="B3533"/>
    </row>
    <row r="3534" spans="2:2">
      <c r="B3534"/>
    </row>
    <row r="3535" spans="2:2">
      <c r="B3535"/>
    </row>
    <row r="3536" spans="2:2">
      <c r="B3536"/>
    </row>
    <row r="3537" spans="2:2">
      <c r="B3537"/>
    </row>
    <row r="3538" spans="2:2">
      <c r="B3538"/>
    </row>
    <row r="3539" spans="2:2">
      <c r="B3539"/>
    </row>
    <row r="3540" spans="2:2">
      <c r="B3540"/>
    </row>
    <row r="3541" spans="2:2">
      <c r="B3541"/>
    </row>
    <row r="3542" spans="2:2">
      <c r="B3542"/>
    </row>
    <row r="3543" spans="2:2">
      <c r="B3543"/>
    </row>
    <row r="3544" spans="2:2">
      <c r="B3544"/>
    </row>
    <row r="3545" spans="2:2">
      <c r="B3545"/>
    </row>
    <row r="3546" spans="2:2">
      <c r="B3546"/>
    </row>
    <row r="3547" spans="2:2">
      <c r="B3547"/>
    </row>
    <row r="3548" spans="2:2">
      <c r="B3548"/>
    </row>
    <row r="3549" spans="2:2">
      <c r="B3549"/>
    </row>
    <row r="3550" spans="2:2">
      <c r="B3550"/>
    </row>
    <row r="3551" spans="2:2">
      <c r="B3551"/>
    </row>
    <row r="3552" spans="2:2">
      <c r="B3552"/>
    </row>
    <row r="3553" spans="2:2">
      <c r="B3553"/>
    </row>
    <row r="3554" spans="2:2">
      <c r="B3554"/>
    </row>
    <row r="3555" spans="2:2">
      <c r="B3555"/>
    </row>
    <row r="3556" spans="2:2">
      <c r="B3556"/>
    </row>
    <row r="3557" spans="2:2">
      <c r="B3557"/>
    </row>
    <row r="3558" spans="2:2">
      <c r="B3558"/>
    </row>
    <row r="3559" spans="2:2">
      <c r="B3559"/>
    </row>
    <row r="3560" spans="2:2">
      <c r="B3560"/>
    </row>
    <row r="3561" spans="2:2">
      <c r="B3561"/>
    </row>
    <row r="3562" spans="2:2">
      <c r="B3562"/>
    </row>
    <row r="3563" spans="2:2">
      <c r="B3563"/>
    </row>
    <row r="3564" spans="2:2">
      <c r="B3564"/>
    </row>
    <row r="3565" spans="2:2">
      <c r="B3565"/>
    </row>
    <row r="3566" spans="2:2">
      <c r="B3566"/>
    </row>
    <row r="3567" spans="2:2">
      <c r="B3567"/>
    </row>
    <row r="3568" spans="2:2">
      <c r="B3568"/>
    </row>
    <row r="3569" spans="2:2">
      <c r="B3569"/>
    </row>
    <row r="3570" spans="2:2">
      <c r="B3570"/>
    </row>
    <row r="3571" spans="2:2">
      <c r="B3571"/>
    </row>
    <row r="3572" spans="2:2">
      <c r="B3572"/>
    </row>
    <row r="3573" spans="2:2">
      <c r="B3573"/>
    </row>
    <row r="3574" spans="2:2">
      <c r="B3574"/>
    </row>
    <row r="3575" spans="2:2">
      <c r="B3575"/>
    </row>
    <row r="3576" spans="2:2">
      <c r="B3576"/>
    </row>
    <row r="3577" spans="2:2">
      <c r="B3577"/>
    </row>
    <row r="3578" spans="2:2">
      <c r="B3578"/>
    </row>
    <row r="3579" spans="2:2">
      <c r="B3579"/>
    </row>
    <row r="3580" spans="2:2">
      <c r="B3580"/>
    </row>
    <row r="3581" spans="2:2">
      <c r="B3581"/>
    </row>
    <row r="3582" spans="2:2">
      <c r="B3582"/>
    </row>
    <row r="3583" spans="2:2">
      <c r="B3583"/>
    </row>
    <row r="3584" spans="2:2">
      <c r="B3584"/>
    </row>
    <row r="3585" spans="2:2">
      <c r="B3585"/>
    </row>
    <row r="3586" spans="2:2">
      <c r="B3586"/>
    </row>
    <row r="3587" spans="2:2">
      <c r="B3587"/>
    </row>
    <row r="3588" spans="2:2">
      <c r="B3588"/>
    </row>
    <row r="3589" spans="2:2">
      <c r="B3589"/>
    </row>
    <row r="3590" spans="2:2">
      <c r="B3590"/>
    </row>
    <row r="3591" spans="2:2">
      <c r="B3591"/>
    </row>
    <row r="3592" spans="2:2">
      <c r="B3592"/>
    </row>
    <row r="3593" spans="2:2">
      <c r="B3593"/>
    </row>
    <row r="3594" spans="2:2">
      <c r="B3594"/>
    </row>
    <row r="3595" spans="2:2">
      <c r="B3595"/>
    </row>
    <row r="3596" spans="2:2">
      <c r="B3596"/>
    </row>
    <row r="3597" spans="2:2">
      <c r="B3597"/>
    </row>
    <row r="3598" spans="2:2">
      <c r="B3598"/>
    </row>
    <row r="3599" spans="2:2">
      <c r="B3599"/>
    </row>
    <row r="3600" spans="2:2">
      <c r="B3600"/>
    </row>
    <row r="3601" spans="2:2">
      <c r="B3601"/>
    </row>
    <row r="3602" spans="2:2">
      <c r="B3602"/>
    </row>
    <row r="3603" spans="2:2">
      <c r="B3603"/>
    </row>
    <row r="3604" spans="2:2">
      <c r="B3604"/>
    </row>
    <row r="3605" spans="2:2">
      <c r="B3605"/>
    </row>
    <row r="3606" spans="2:2">
      <c r="B3606"/>
    </row>
    <row r="3607" spans="2:2">
      <c r="B3607"/>
    </row>
    <row r="3608" spans="2:2">
      <c r="B3608"/>
    </row>
    <row r="3609" spans="2:2">
      <c r="B3609"/>
    </row>
    <row r="3610" spans="2:2">
      <c r="B3610"/>
    </row>
    <row r="3611" spans="2:2">
      <c r="B3611"/>
    </row>
    <row r="3612" spans="2:2">
      <c r="B3612"/>
    </row>
    <row r="3613" spans="2:2">
      <c r="B3613"/>
    </row>
    <row r="3614" spans="2:2">
      <c r="B3614"/>
    </row>
    <row r="3615" spans="2:2">
      <c r="B3615"/>
    </row>
    <row r="3616" spans="2:2">
      <c r="B3616"/>
    </row>
    <row r="3617" spans="2:2">
      <c r="B3617"/>
    </row>
    <row r="3618" spans="2:2">
      <c r="B3618"/>
    </row>
    <row r="3619" spans="2:2">
      <c r="B3619"/>
    </row>
    <row r="3620" spans="2:2">
      <c r="B3620"/>
    </row>
    <row r="3621" spans="2:2">
      <c r="B3621"/>
    </row>
    <row r="3622" spans="2:2">
      <c r="B3622"/>
    </row>
    <row r="3623" spans="2:2">
      <c r="B3623"/>
    </row>
    <row r="3624" spans="2:2">
      <c r="B3624"/>
    </row>
    <row r="3625" spans="2:2">
      <c r="B3625"/>
    </row>
    <row r="3626" spans="2:2">
      <c r="B3626"/>
    </row>
    <row r="3627" spans="2:2">
      <c r="B3627"/>
    </row>
    <row r="3628" spans="2:2">
      <c r="B3628"/>
    </row>
    <row r="3629" spans="2:2">
      <c r="B3629"/>
    </row>
    <row r="3630" spans="2:2">
      <c r="B3630"/>
    </row>
    <row r="3631" spans="2:2">
      <c r="B3631"/>
    </row>
    <row r="3632" spans="2:2">
      <c r="B3632"/>
    </row>
    <row r="3633" spans="2:2">
      <c r="B3633"/>
    </row>
    <row r="3634" spans="2:2">
      <c r="B3634"/>
    </row>
    <row r="3635" spans="2:2">
      <c r="B3635"/>
    </row>
    <row r="3636" spans="2:2">
      <c r="B3636"/>
    </row>
    <row r="3637" spans="2:2">
      <c r="B3637"/>
    </row>
    <row r="3638" spans="2:2">
      <c r="B3638"/>
    </row>
    <row r="3639" spans="2:2">
      <c r="B3639"/>
    </row>
    <row r="3640" spans="2:2">
      <c r="B3640"/>
    </row>
    <row r="3641" spans="2:2">
      <c r="B3641"/>
    </row>
    <row r="3642" spans="2:2">
      <c r="B3642"/>
    </row>
    <row r="3643" spans="2:2">
      <c r="B3643"/>
    </row>
    <row r="3644" spans="2:2">
      <c r="B3644"/>
    </row>
    <row r="3645" spans="2:2">
      <c r="B3645"/>
    </row>
    <row r="3646" spans="2:2">
      <c r="B3646"/>
    </row>
    <row r="3647" spans="2:2">
      <c r="B3647"/>
    </row>
    <row r="3648" spans="2:2">
      <c r="B3648"/>
    </row>
    <row r="3649" spans="2:2">
      <c r="B3649"/>
    </row>
    <row r="3650" spans="2:2">
      <c r="B3650"/>
    </row>
    <row r="3651" spans="2:2">
      <c r="B3651"/>
    </row>
    <row r="3652" spans="2:2">
      <c r="B3652"/>
    </row>
    <row r="3653" spans="2:2">
      <c r="B3653"/>
    </row>
    <row r="3654" spans="2:2">
      <c r="B3654"/>
    </row>
    <row r="3655" spans="2:2">
      <c r="B3655"/>
    </row>
    <row r="3656" spans="2:2">
      <c r="B3656"/>
    </row>
    <row r="3657" spans="2:2">
      <c r="B3657"/>
    </row>
    <row r="3658" spans="2:2">
      <c r="B3658"/>
    </row>
    <row r="3659" spans="2:2">
      <c r="B3659"/>
    </row>
    <row r="3660" spans="2:2">
      <c r="B3660"/>
    </row>
    <row r="3661" spans="2:2">
      <c r="B3661"/>
    </row>
    <row r="3662" spans="2:2">
      <c r="B3662"/>
    </row>
    <row r="3663" spans="2:2">
      <c r="B3663"/>
    </row>
    <row r="3664" spans="2:2">
      <c r="B3664"/>
    </row>
    <row r="3665" spans="2:2">
      <c r="B3665"/>
    </row>
    <row r="3666" spans="2:2">
      <c r="B3666"/>
    </row>
    <row r="3667" spans="2:2">
      <c r="B3667"/>
    </row>
    <row r="3668" spans="2:2">
      <c r="B3668"/>
    </row>
    <row r="3669" spans="2:2">
      <c r="B3669"/>
    </row>
    <row r="3670" spans="2:2">
      <c r="B3670"/>
    </row>
    <row r="3671" spans="2:2">
      <c r="B3671"/>
    </row>
    <row r="3672" spans="2:2">
      <c r="B3672"/>
    </row>
    <row r="3673" spans="2:2">
      <c r="B3673"/>
    </row>
    <row r="3674" spans="2:2">
      <c r="B3674"/>
    </row>
    <row r="3675" spans="2:2">
      <c r="B3675"/>
    </row>
    <row r="3676" spans="2:2">
      <c r="B3676"/>
    </row>
    <row r="3677" spans="2:2">
      <c r="B3677"/>
    </row>
    <row r="3678" spans="2:2">
      <c r="B3678"/>
    </row>
    <row r="3679" spans="2:2">
      <c r="B3679"/>
    </row>
    <row r="3680" spans="2:2">
      <c r="B3680"/>
    </row>
    <row r="3681" spans="2:2">
      <c r="B3681"/>
    </row>
    <row r="3682" spans="2:2">
      <c r="B3682"/>
    </row>
    <row r="3683" spans="2:2">
      <c r="B3683"/>
    </row>
    <row r="3684" spans="2:2">
      <c r="B3684"/>
    </row>
    <row r="3685" spans="2:2">
      <c r="B3685"/>
    </row>
    <row r="3686" spans="2:2">
      <c r="B3686"/>
    </row>
    <row r="3687" spans="2:2">
      <c r="B3687"/>
    </row>
    <row r="3688" spans="2:2">
      <c r="B3688"/>
    </row>
    <row r="3689" spans="2:2">
      <c r="B3689"/>
    </row>
    <row r="3690" spans="2:2">
      <c r="B3690"/>
    </row>
    <row r="3691" spans="2:2">
      <c r="B3691"/>
    </row>
    <row r="3692" spans="2:2">
      <c r="B3692"/>
    </row>
    <row r="3693" spans="2:2">
      <c r="B3693"/>
    </row>
    <row r="3694" spans="2:2">
      <c r="B3694"/>
    </row>
    <row r="3695" spans="2:2">
      <c r="B3695"/>
    </row>
    <row r="3696" spans="2:2">
      <c r="B3696"/>
    </row>
    <row r="3697" spans="2:2">
      <c r="B3697"/>
    </row>
    <row r="3698" spans="2:2">
      <c r="B3698"/>
    </row>
    <row r="3699" spans="2:2">
      <c r="B3699"/>
    </row>
    <row r="3700" spans="2:2">
      <c r="B3700"/>
    </row>
    <row r="3701" spans="2:2">
      <c r="B3701"/>
    </row>
    <row r="3702" spans="2:2">
      <c r="B3702"/>
    </row>
    <row r="3703" spans="2:2">
      <c r="B3703"/>
    </row>
    <row r="3704" spans="2:2">
      <c r="B3704"/>
    </row>
    <row r="3705" spans="2:2">
      <c r="B3705"/>
    </row>
    <row r="3706" spans="2:2">
      <c r="B3706"/>
    </row>
    <row r="3707" spans="2:2">
      <c r="B3707"/>
    </row>
    <row r="3708" spans="2:2">
      <c r="B3708"/>
    </row>
    <row r="3709" spans="2:2">
      <c r="B3709"/>
    </row>
    <row r="3710" spans="2:2">
      <c r="B3710"/>
    </row>
    <row r="3711" spans="2:2">
      <c r="B3711"/>
    </row>
    <row r="3712" spans="2:2">
      <c r="B3712"/>
    </row>
    <row r="3713" spans="2:2">
      <c r="B3713"/>
    </row>
    <row r="3714" spans="2:2">
      <c r="B3714"/>
    </row>
    <row r="3715" spans="2:2">
      <c r="B3715"/>
    </row>
    <row r="3716" spans="2:2">
      <c r="B3716"/>
    </row>
    <row r="3717" spans="2:2">
      <c r="B3717"/>
    </row>
    <row r="3718" spans="2:2">
      <c r="B3718"/>
    </row>
    <row r="3719" spans="2:2">
      <c r="B3719"/>
    </row>
    <row r="3720" spans="2:2">
      <c r="B3720"/>
    </row>
    <row r="3721" spans="2:2">
      <c r="B3721"/>
    </row>
    <row r="3722" spans="2:2">
      <c r="B3722"/>
    </row>
    <row r="3723" spans="2:2">
      <c r="B3723"/>
    </row>
    <row r="3724" spans="2:2">
      <c r="B3724"/>
    </row>
    <row r="3725" spans="2:2">
      <c r="B3725"/>
    </row>
    <row r="3726" spans="2:2">
      <c r="B3726"/>
    </row>
    <row r="3727" spans="2:2">
      <c r="B3727"/>
    </row>
    <row r="3728" spans="2:2">
      <c r="B3728"/>
    </row>
    <row r="3729" spans="2:2">
      <c r="B3729"/>
    </row>
    <row r="3730" spans="2:2">
      <c r="B3730"/>
    </row>
    <row r="3731" spans="2:2">
      <c r="B3731"/>
    </row>
    <row r="3732" spans="2:2">
      <c r="B3732"/>
    </row>
    <row r="3733" spans="2:2">
      <c r="B3733"/>
    </row>
    <row r="3734" spans="2:2">
      <c r="B3734"/>
    </row>
    <row r="3735" spans="2:2">
      <c r="B3735"/>
    </row>
    <row r="3736" spans="2:2">
      <c r="B3736"/>
    </row>
    <row r="3737" spans="2:2">
      <c r="B3737"/>
    </row>
    <row r="3738" spans="2:2">
      <c r="B3738"/>
    </row>
    <row r="3739" spans="2:2">
      <c r="B3739"/>
    </row>
    <row r="3740" spans="2:2">
      <c r="B3740"/>
    </row>
    <row r="3741" spans="2:2">
      <c r="B3741"/>
    </row>
    <row r="3742" spans="2:2">
      <c r="B3742"/>
    </row>
    <row r="3743" spans="2:2">
      <c r="B3743"/>
    </row>
    <row r="3744" spans="2:2">
      <c r="B3744"/>
    </row>
    <row r="3745" spans="2:2">
      <c r="B3745"/>
    </row>
    <row r="3746" spans="2:2">
      <c r="B3746"/>
    </row>
    <row r="3747" spans="2:2">
      <c r="B3747"/>
    </row>
    <row r="3748" spans="2:2">
      <c r="B3748"/>
    </row>
    <row r="3749" spans="2:2">
      <c r="B3749"/>
    </row>
    <row r="3750" spans="2:2">
      <c r="B3750"/>
    </row>
    <row r="3751" spans="2:2">
      <c r="B3751"/>
    </row>
    <row r="3752" spans="2:2">
      <c r="B3752"/>
    </row>
    <row r="3753" spans="2:2">
      <c r="B3753"/>
    </row>
    <row r="3754" spans="2:2">
      <c r="B3754"/>
    </row>
    <row r="3755" spans="2:2">
      <c r="B3755"/>
    </row>
    <row r="3756" spans="2:2">
      <c r="B3756"/>
    </row>
    <row r="3757" spans="2:2">
      <c r="B3757"/>
    </row>
    <row r="3758" spans="2:2">
      <c r="B3758"/>
    </row>
    <row r="3759" spans="2:2">
      <c r="B3759"/>
    </row>
    <row r="3760" spans="2:2">
      <c r="B3760"/>
    </row>
    <row r="3761" spans="2:2">
      <c r="B3761"/>
    </row>
    <row r="3762" spans="2:2">
      <c r="B3762"/>
    </row>
    <row r="3763" spans="2:2">
      <c r="B3763"/>
    </row>
    <row r="3764" spans="2:2">
      <c r="B3764"/>
    </row>
    <row r="3765" spans="2:2">
      <c r="B3765"/>
    </row>
    <row r="3766" spans="2:2">
      <c r="B3766"/>
    </row>
    <row r="3767" spans="2:2">
      <c r="B3767"/>
    </row>
    <row r="3768" spans="2:2">
      <c r="B3768"/>
    </row>
    <row r="3769" spans="2:2">
      <c r="B3769"/>
    </row>
    <row r="3770" spans="2:2">
      <c r="B3770"/>
    </row>
    <row r="3771" spans="2:2">
      <c r="B3771"/>
    </row>
    <row r="3772" spans="2:2">
      <c r="B3772"/>
    </row>
    <row r="3773" spans="2:2">
      <c r="B3773"/>
    </row>
    <row r="3774" spans="2:2">
      <c r="B3774"/>
    </row>
    <row r="3775" spans="2:2">
      <c r="B3775"/>
    </row>
    <row r="3776" spans="2:2">
      <c r="B3776"/>
    </row>
    <row r="3777" spans="2:2">
      <c r="B3777"/>
    </row>
    <row r="3778" spans="2:2">
      <c r="B3778"/>
    </row>
    <row r="3779" spans="2:2">
      <c r="B3779"/>
    </row>
    <row r="3780" spans="2:2">
      <c r="B3780"/>
    </row>
    <row r="3781" spans="2:2">
      <c r="B3781"/>
    </row>
    <row r="3782" spans="2:2">
      <c r="B3782"/>
    </row>
    <row r="3783" spans="2:2">
      <c r="B3783"/>
    </row>
    <row r="3784" spans="2:2">
      <c r="B3784"/>
    </row>
    <row r="3785" spans="2:2">
      <c r="B3785"/>
    </row>
    <row r="3786" spans="2:2">
      <c r="B3786"/>
    </row>
    <row r="3787" spans="2:2">
      <c r="B3787"/>
    </row>
    <row r="3788" spans="2:2">
      <c r="B3788"/>
    </row>
    <row r="3789" spans="2:2">
      <c r="B3789"/>
    </row>
    <row r="3790" spans="2:2">
      <c r="B3790"/>
    </row>
    <row r="3791" spans="2:2">
      <c r="B3791"/>
    </row>
    <row r="3792" spans="2:2">
      <c r="B3792"/>
    </row>
    <row r="3793" spans="2:2">
      <c r="B3793"/>
    </row>
    <row r="3794" spans="2:2">
      <c r="B3794"/>
    </row>
    <row r="3795" spans="2:2">
      <c r="B3795"/>
    </row>
    <row r="3796" spans="2:2">
      <c r="B3796"/>
    </row>
    <row r="3797" spans="2:2">
      <c r="B3797"/>
    </row>
    <row r="3798" spans="2:2">
      <c r="B3798"/>
    </row>
    <row r="3799" spans="2:2">
      <c r="B3799"/>
    </row>
    <row r="3800" spans="2:2">
      <c r="B3800"/>
    </row>
    <row r="3801" spans="2:2">
      <c r="B3801"/>
    </row>
    <row r="3802" spans="2:2">
      <c r="B3802"/>
    </row>
    <row r="3803" spans="2:2">
      <c r="B3803"/>
    </row>
    <row r="3804" spans="2:2">
      <c r="B3804"/>
    </row>
    <row r="3805" spans="2:2">
      <c r="B3805"/>
    </row>
    <row r="3806" spans="2:2">
      <c r="B3806"/>
    </row>
    <row r="3807" spans="2:2">
      <c r="B3807"/>
    </row>
    <row r="3808" spans="2:2">
      <c r="B3808"/>
    </row>
    <row r="3809" spans="2:2">
      <c r="B3809"/>
    </row>
    <row r="3810" spans="2:2">
      <c r="B3810"/>
    </row>
    <row r="3811" spans="2:2">
      <c r="B3811"/>
    </row>
    <row r="3812" spans="2:2">
      <c r="B3812"/>
    </row>
    <row r="3813" spans="2:2">
      <c r="B3813"/>
    </row>
    <row r="3814" spans="2:2">
      <c r="B3814"/>
    </row>
    <row r="3815" spans="2:2">
      <c r="B3815"/>
    </row>
    <row r="3816" spans="2:2">
      <c r="B3816"/>
    </row>
    <row r="3817" spans="2:2">
      <c r="B3817"/>
    </row>
    <row r="3818" spans="2:2">
      <c r="B3818"/>
    </row>
    <row r="3819" spans="2:2">
      <c r="B3819"/>
    </row>
    <row r="3820" spans="2:2">
      <c r="B3820"/>
    </row>
    <row r="3821" spans="2:2">
      <c r="B3821"/>
    </row>
    <row r="3822" spans="2:2">
      <c r="B3822"/>
    </row>
    <row r="3823" spans="2:2">
      <c r="B3823"/>
    </row>
    <row r="3824" spans="2:2">
      <c r="B3824"/>
    </row>
    <row r="3825" spans="2:2">
      <c r="B3825"/>
    </row>
    <row r="3826" spans="2:2">
      <c r="B3826"/>
    </row>
    <row r="3827" spans="2:2">
      <c r="B3827"/>
    </row>
    <row r="3828" spans="2:2">
      <c r="B3828"/>
    </row>
    <row r="3829" spans="2:2">
      <c r="B3829"/>
    </row>
    <row r="3830" spans="2:2">
      <c r="B3830"/>
    </row>
    <row r="3831" spans="2:2">
      <c r="B3831"/>
    </row>
    <row r="3832" spans="2:2">
      <c r="B3832"/>
    </row>
    <row r="3833" spans="2:2">
      <c r="B3833"/>
    </row>
    <row r="3834" spans="2:2">
      <c r="B3834"/>
    </row>
    <row r="3835" spans="2:2">
      <c r="B3835"/>
    </row>
    <row r="3836" spans="2:2">
      <c r="B3836"/>
    </row>
    <row r="3837" spans="2:2">
      <c r="B3837"/>
    </row>
    <row r="3838" spans="2:2">
      <c r="B3838"/>
    </row>
    <row r="3839" spans="2:2">
      <c r="B3839"/>
    </row>
    <row r="3840" spans="2:2">
      <c r="B3840"/>
    </row>
    <row r="3841" spans="2:2">
      <c r="B3841"/>
    </row>
    <row r="3842" spans="2:2">
      <c r="B3842"/>
    </row>
    <row r="3843" spans="2:2">
      <c r="B3843"/>
    </row>
    <row r="3844" spans="2:2">
      <c r="B3844"/>
    </row>
    <row r="3845" spans="2:2">
      <c r="B3845"/>
    </row>
    <row r="3846" spans="2:2">
      <c r="B3846"/>
    </row>
    <row r="3847" spans="2:2">
      <c r="B3847"/>
    </row>
    <row r="3848" spans="2:2">
      <c r="B3848"/>
    </row>
    <row r="3849" spans="2:2">
      <c r="B3849"/>
    </row>
    <row r="3850" spans="2:2">
      <c r="B3850"/>
    </row>
    <row r="3851" spans="2:2">
      <c r="B3851"/>
    </row>
    <row r="3852" spans="2:2">
      <c r="B3852"/>
    </row>
    <row r="3853" spans="2:2">
      <c r="B3853"/>
    </row>
    <row r="3854" spans="2:2">
      <c r="B3854"/>
    </row>
    <row r="3855" spans="2:2">
      <c r="B3855"/>
    </row>
    <row r="3856" spans="2:2">
      <c r="B3856"/>
    </row>
    <row r="3857" spans="2:2">
      <c r="B3857"/>
    </row>
    <row r="3858" spans="2:2">
      <c r="B3858"/>
    </row>
    <row r="3859" spans="2:2">
      <c r="B3859"/>
    </row>
    <row r="3860" spans="2:2">
      <c r="B3860"/>
    </row>
    <row r="3861" spans="2:2">
      <c r="B3861"/>
    </row>
    <row r="3862" spans="2:2">
      <c r="B3862"/>
    </row>
    <row r="3863" spans="2:2">
      <c r="B3863"/>
    </row>
    <row r="3864" spans="2:2">
      <c r="B3864"/>
    </row>
    <row r="3865" spans="2:2">
      <c r="B3865"/>
    </row>
    <row r="3866" spans="2:2">
      <c r="B3866"/>
    </row>
    <row r="3867" spans="2:2">
      <c r="B3867"/>
    </row>
    <row r="3868" spans="2:2">
      <c r="B3868"/>
    </row>
    <row r="3869" spans="2:2">
      <c r="B3869"/>
    </row>
    <row r="3870" spans="2:2">
      <c r="B3870"/>
    </row>
    <row r="3871" spans="2:2">
      <c r="B3871"/>
    </row>
    <row r="3872" spans="2:2">
      <c r="B3872"/>
    </row>
    <row r="3873" spans="2:2">
      <c r="B3873"/>
    </row>
    <row r="3874" spans="2:2">
      <c r="B3874"/>
    </row>
    <row r="3875" spans="2:2">
      <c r="B3875"/>
    </row>
    <row r="3876" spans="2:2">
      <c r="B3876"/>
    </row>
    <row r="3877" spans="2:2">
      <c r="B3877"/>
    </row>
    <row r="3878" spans="2:2">
      <c r="B3878"/>
    </row>
    <row r="3879" spans="2:2">
      <c r="B3879"/>
    </row>
    <row r="3880" spans="2:2">
      <c r="B3880"/>
    </row>
    <row r="3881" spans="2:2">
      <c r="B3881"/>
    </row>
    <row r="3882" spans="2:2">
      <c r="B3882"/>
    </row>
    <row r="3883" spans="2:2">
      <c r="B3883"/>
    </row>
    <row r="3884" spans="2:2">
      <c r="B3884"/>
    </row>
    <row r="3885" spans="2:2">
      <c r="B3885"/>
    </row>
    <row r="3886" spans="2:2">
      <c r="B3886"/>
    </row>
    <row r="3887" spans="2:2">
      <c r="B3887"/>
    </row>
    <row r="3888" spans="2:2">
      <c r="B3888"/>
    </row>
    <row r="3889" spans="2:2">
      <c r="B3889"/>
    </row>
    <row r="3890" spans="2:2">
      <c r="B3890"/>
    </row>
    <row r="3891" spans="2:2">
      <c r="B3891"/>
    </row>
    <row r="3892" spans="2:2">
      <c r="B3892"/>
    </row>
    <row r="3893" spans="2:2">
      <c r="B3893"/>
    </row>
    <row r="3894" spans="2:2">
      <c r="B3894"/>
    </row>
    <row r="3895" spans="2:2">
      <c r="B3895"/>
    </row>
    <row r="3896" spans="2:2">
      <c r="B3896"/>
    </row>
    <row r="3897" spans="2:2">
      <c r="B3897"/>
    </row>
    <row r="3898" spans="2:2">
      <c r="B3898"/>
    </row>
    <row r="3899" spans="2:2">
      <c r="B3899"/>
    </row>
    <row r="3900" spans="2:2">
      <c r="B3900"/>
    </row>
    <row r="3901" spans="2:2">
      <c r="B3901"/>
    </row>
    <row r="3902" spans="2:2">
      <c r="B3902"/>
    </row>
    <row r="3903" spans="2:2">
      <c r="B3903"/>
    </row>
    <row r="3904" spans="2:2">
      <c r="B3904"/>
    </row>
    <row r="3905" spans="2:2">
      <c r="B3905"/>
    </row>
    <row r="3906" spans="2:2">
      <c r="B3906"/>
    </row>
    <row r="3907" spans="2:2">
      <c r="B3907"/>
    </row>
    <row r="3908" spans="2:2">
      <c r="B3908"/>
    </row>
    <row r="3909" spans="2:2">
      <c r="B3909"/>
    </row>
    <row r="3910" spans="2:2">
      <c r="B3910"/>
    </row>
    <row r="3911" spans="2:2">
      <c r="B3911"/>
    </row>
    <row r="3912" spans="2:2">
      <c r="B3912"/>
    </row>
    <row r="3913" spans="2:2">
      <c r="B3913"/>
    </row>
    <row r="3914" spans="2:2">
      <c r="B3914"/>
    </row>
    <row r="3915" spans="2:2">
      <c r="B3915"/>
    </row>
    <row r="3916" spans="2:2">
      <c r="B3916"/>
    </row>
    <row r="3917" spans="2:2">
      <c r="B3917"/>
    </row>
    <row r="3918" spans="2:2">
      <c r="B3918"/>
    </row>
    <row r="3919" spans="2:2">
      <c r="B3919"/>
    </row>
    <row r="3920" spans="2:2">
      <c r="B3920"/>
    </row>
    <row r="3921" spans="2:2">
      <c r="B3921"/>
    </row>
    <row r="3922" spans="2:2">
      <c r="B3922"/>
    </row>
    <row r="3923" spans="2:2">
      <c r="B3923"/>
    </row>
    <row r="3924" spans="2:2">
      <c r="B3924"/>
    </row>
    <row r="3925" spans="2:2">
      <c r="B3925"/>
    </row>
    <row r="3926" spans="2:2">
      <c r="B3926"/>
    </row>
    <row r="3927" spans="2:2">
      <c r="B3927"/>
    </row>
    <row r="3928" spans="2:2">
      <c r="B3928"/>
    </row>
    <row r="3929" spans="2:2">
      <c r="B3929"/>
    </row>
    <row r="3930" spans="2:2">
      <c r="B3930"/>
    </row>
    <row r="3931" spans="2:2">
      <c r="B3931"/>
    </row>
    <row r="3932" spans="2:2">
      <c r="B3932"/>
    </row>
    <row r="3933" spans="2:2">
      <c r="B3933"/>
    </row>
    <row r="3934" spans="2:2">
      <c r="B3934"/>
    </row>
    <row r="3935" spans="2:2">
      <c r="B3935"/>
    </row>
    <row r="3936" spans="2:2">
      <c r="B3936"/>
    </row>
    <row r="3937" spans="2:2">
      <c r="B3937"/>
    </row>
    <row r="3938" spans="2:2">
      <c r="B3938"/>
    </row>
    <row r="3939" spans="2:2">
      <c r="B3939"/>
    </row>
    <row r="3940" spans="2:2">
      <c r="B3940"/>
    </row>
    <row r="3941" spans="2:2">
      <c r="B3941"/>
    </row>
  </sheetData>
  <autoFilter ref="A2:G334" xr:uid="{A9D652F0-9F2D-4C86-A407-3CD1812F43E5}">
    <sortState xmlns:xlrd2="http://schemas.microsoft.com/office/spreadsheetml/2017/richdata2" ref="A3:G334">
      <sortCondition ref="B2:B152"/>
    </sortState>
  </autoFilter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2D46D-771F-424B-A9D8-F9986914C567}">
  <sheetPr codeName="Sheet6">
    <tabColor rgb="FFFFFF00"/>
  </sheetPr>
  <dimension ref="A1:CL4073"/>
  <sheetViews>
    <sheetView zoomScale="85" zoomScaleNormal="85" workbookViewId="0">
      <selection activeCell="D6" sqref="D6"/>
    </sheetView>
  </sheetViews>
  <sheetFormatPr defaultRowHeight="14.4"/>
  <cols>
    <col min="1" max="1" width="13.88671875" bestFit="1" customWidth="1"/>
    <col min="2" max="2" width="11.6640625" bestFit="1" customWidth="1"/>
    <col min="3" max="3" width="8" bestFit="1" customWidth="1"/>
    <col min="4" max="4" width="8.88671875" bestFit="1" customWidth="1"/>
    <col min="5" max="5" width="12" bestFit="1" customWidth="1"/>
    <col min="6" max="6" width="17.6640625" bestFit="1" customWidth="1"/>
    <col min="7" max="7" width="16.109375" bestFit="1" customWidth="1"/>
    <col min="8" max="8" width="5.6640625" bestFit="1" customWidth="1"/>
    <col min="9" max="9" width="7.33203125" bestFit="1" customWidth="1"/>
    <col min="10" max="10" width="5.6640625" bestFit="1" customWidth="1"/>
    <col min="11" max="11" width="7.33203125" bestFit="1" customWidth="1"/>
    <col min="12" max="12" width="5.6640625" bestFit="1" customWidth="1"/>
    <col min="13" max="13" width="7.33203125" bestFit="1" customWidth="1"/>
    <col min="14" max="14" width="5.6640625" bestFit="1" customWidth="1"/>
    <col min="15" max="15" width="7.33203125" bestFit="1" customWidth="1"/>
    <col min="16" max="16" width="5.6640625" bestFit="1" customWidth="1"/>
    <col min="17" max="17" width="7.33203125" bestFit="1" customWidth="1"/>
    <col min="18" max="18" width="5.6640625" bestFit="1" customWidth="1"/>
    <col min="19" max="19" width="7.33203125" bestFit="1" customWidth="1"/>
    <col min="20" max="20" width="5.6640625" bestFit="1" customWidth="1"/>
    <col min="21" max="21" width="7.33203125" bestFit="1" customWidth="1"/>
    <col min="22" max="22" width="5.6640625" bestFit="1" customWidth="1"/>
    <col min="23" max="23" width="7.33203125" bestFit="1" customWidth="1"/>
    <col min="24" max="24" width="5.6640625" bestFit="1" customWidth="1"/>
    <col min="25" max="25" width="7.33203125" bestFit="1" customWidth="1"/>
    <col min="26" max="26" width="6.88671875" bestFit="1" customWidth="1"/>
    <col min="27" max="27" width="8.33203125" bestFit="1" customWidth="1"/>
    <col min="28" max="28" width="6.88671875" bestFit="1" customWidth="1"/>
    <col min="29" max="29" width="8.33203125" bestFit="1" customWidth="1"/>
    <col min="30" max="30" width="6.88671875" bestFit="1" customWidth="1"/>
    <col min="31" max="31" width="8.33203125" bestFit="1" customWidth="1"/>
    <col min="32" max="32" width="6.88671875" bestFit="1" customWidth="1"/>
    <col min="33" max="33" width="8.33203125" bestFit="1" customWidth="1"/>
    <col min="34" max="34" width="6.88671875" bestFit="1" customWidth="1"/>
    <col min="35" max="35" width="8.33203125" bestFit="1" customWidth="1"/>
    <col min="36" max="36" width="6.88671875" bestFit="1" customWidth="1"/>
    <col min="37" max="37" width="8.33203125" bestFit="1" customWidth="1"/>
    <col min="38" max="38" width="6.88671875" bestFit="1" customWidth="1"/>
    <col min="39" max="39" width="8.33203125" bestFit="1" customWidth="1"/>
    <col min="40" max="72" width="6.88671875" bestFit="1" customWidth="1"/>
    <col min="73" max="73" width="8.33203125" bestFit="1" customWidth="1"/>
    <col min="74" max="74" width="6.88671875" bestFit="1" customWidth="1"/>
    <col min="75" max="75" width="8.33203125" bestFit="1" customWidth="1"/>
    <col min="76" max="76" width="6.88671875" bestFit="1" customWidth="1"/>
    <col min="77" max="77" width="8.33203125" bestFit="1" customWidth="1"/>
    <col min="78" max="78" width="6.88671875" bestFit="1" customWidth="1"/>
    <col min="79" max="79" width="8.33203125" bestFit="1" customWidth="1"/>
    <col min="80" max="80" width="6.88671875" bestFit="1" customWidth="1"/>
    <col min="81" max="81" width="7.77734375" bestFit="1" customWidth="1"/>
    <col min="82" max="82" width="9.6640625" bestFit="1" customWidth="1"/>
    <col min="83" max="83" width="7.77734375" bestFit="1" customWidth="1"/>
    <col min="84" max="84" width="9.6640625" bestFit="1" customWidth="1"/>
    <col min="85" max="85" width="7.77734375" bestFit="1" customWidth="1"/>
    <col min="86" max="86" width="4.88671875" bestFit="1" customWidth="1"/>
    <col min="87" max="87" width="11.33203125" customWidth="1"/>
    <col min="88" max="88" width="53.109375" customWidth="1"/>
    <col min="89" max="89" width="65.21875" customWidth="1"/>
    <col min="90" max="90" width="9" bestFit="1" customWidth="1"/>
    <col min="91" max="91" width="4.109375" bestFit="1" customWidth="1"/>
  </cols>
  <sheetData>
    <row r="1" spans="1:90">
      <c r="A1" t="s">
        <v>542</v>
      </c>
      <c r="B1" t="s">
        <v>543</v>
      </c>
      <c r="C1" t="s">
        <v>544</v>
      </c>
      <c r="D1" t="s">
        <v>545</v>
      </c>
      <c r="E1" t="s">
        <v>546</v>
      </c>
      <c r="F1" t="s">
        <v>547</v>
      </c>
      <c r="G1" t="s">
        <v>548</v>
      </c>
      <c r="H1" t="s">
        <v>549</v>
      </c>
      <c r="I1" t="s">
        <v>550</v>
      </c>
      <c r="J1" t="s">
        <v>551</v>
      </c>
      <c r="K1" t="s">
        <v>552</v>
      </c>
      <c r="L1" t="s">
        <v>553</v>
      </c>
      <c r="M1" t="s">
        <v>554</v>
      </c>
      <c r="N1" t="s">
        <v>555</v>
      </c>
      <c r="O1" t="s">
        <v>556</v>
      </c>
      <c r="P1" t="s">
        <v>557</v>
      </c>
      <c r="Q1" t="s">
        <v>558</v>
      </c>
      <c r="R1" t="s">
        <v>559</v>
      </c>
      <c r="S1" t="s">
        <v>560</v>
      </c>
      <c r="T1" t="s">
        <v>561</v>
      </c>
      <c r="U1" t="s">
        <v>562</v>
      </c>
      <c r="V1" t="s">
        <v>563</v>
      </c>
      <c r="W1" t="s">
        <v>564</v>
      </c>
      <c r="X1" t="s">
        <v>565</v>
      </c>
      <c r="Y1" t="s">
        <v>566</v>
      </c>
      <c r="Z1" t="s">
        <v>567</v>
      </c>
      <c r="AA1" t="s">
        <v>568</v>
      </c>
      <c r="AB1" t="s">
        <v>569</v>
      </c>
      <c r="AC1" t="s">
        <v>570</v>
      </c>
      <c r="AD1" t="s">
        <v>571</v>
      </c>
      <c r="AE1" t="s">
        <v>572</v>
      </c>
      <c r="AF1" t="s">
        <v>573</v>
      </c>
      <c r="AG1" t="s">
        <v>574</v>
      </c>
      <c r="AH1" t="s">
        <v>575</v>
      </c>
      <c r="AI1" t="s">
        <v>576</v>
      </c>
      <c r="AJ1" t="s">
        <v>577</v>
      </c>
      <c r="AK1" t="s">
        <v>578</v>
      </c>
      <c r="AL1" t="s">
        <v>579</v>
      </c>
      <c r="AM1" t="s">
        <v>580</v>
      </c>
      <c r="AN1" t="s">
        <v>581</v>
      </c>
      <c r="AO1" t="s">
        <v>582</v>
      </c>
      <c r="AP1" t="s">
        <v>583</v>
      </c>
      <c r="AQ1" t="s">
        <v>584</v>
      </c>
      <c r="AR1" t="s">
        <v>585</v>
      </c>
      <c r="AS1" t="s">
        <v>586</v>
      </c>
      <c r="AT1" t="s">
        <v>587</v>
      </c>
      <c r="AU1" t="s">
        <v>588</v>
      </c>
      <c r="AV1" t="s">
        <v>589</v>
      </c>
      <c r="AW1" t="s">
        <v>590</v>
      </c>
      <c r="AX1" t="s">
        <v>591</v>
      </c>
      <c r="AY1" t="s">
        <v>592</v>
      </c>
      <c r="AZ1" t="s">
        <v>593</v>
      </c>
      <c r="BA1" t="s">
        <v>594</v>
      </c>
      <c r="BB1" t="s">
        <v>595</v>
      </c>
      <c r="BC1" t="s">
        <v>596</v>
      </c>
      <c r="BD1" t="s">
        <v>597</v>
      </c>
      <c r="BE1" t="s">
        <v>598</v>
      </c>
      <c r="BF1" t="s">
        <v>599</v>
      </c>
      <c r="BG1" t="s">
        <v>600</v>
      </c>
      <c r="BH1" t="s">
        <v>601</v>
      </c>
      <c r="BI1" t="s">
        <v>602</v>
      </c>
      <c r="BJ1" t="s">
        <v>603</v>
      </c>
      <c r="BK1" t="s">
        <v>604</v>
      </c>
      <c r="BL1" t="s">
        <v>605</v>
      </c>
      <c r="BM1" t="s">
        <v>606</v>
      </c>
      <c r="BN1" t="s">
        <v>607</v>
      </c>
      <c r="BO1" t="s">
        <v>608</v>
      </c>
      <c r="BP1" t="s">
        <v>609</v>
      </c>
      <c r="BQ1" t="s">
        <v>610</v>
      </c>
      <c r="BR1" t="s">
        <v>611</v>
      </c>
      <c r="BS1" t="s">
        <v>612</v>
      </c>
      <c r="BT1" t="s">
        <v>613</v>
      </c>
      <c r="BU1" t="s">
        <v>614</v>
      </c>
      <c r="BV1" t="s">
        <v>615</v>
      </c>
      <c r="BW1" t="s">
        <v>616</v>
      </c>
      <c r="BX1" t="s">
        <v>617</v>
      </c>
      <c r="BY1" t="s">
        <v>618</v>
      </c>
      <c r="BZ1" t="s">
        <v>619</v>
      </c>
      <c r="CA1" t="s">
        <v>620</v>
      </c>
      <c r="CB1" t="s">
        <v>621</v>
      </c>
      <c r="CC1" t="s">
        <v>622</v>
      </c>
      <c r="CD1" t="s">
        <v>623</v>
      </c>
      <c r="CE1" t="s">
        <v>624</v>
      </c>
      <c r="CF1" t="s">
        <v>625</v>
      </c>
      <c r="CG1" t="s">
        <v>626</v>
      </c>
      <c r="CH1" t="s">
        <v>627</v>
      </c>
      <c r="CL1" s="1" t="str">
        <f>IFERROR(IF(VLOOKUP($A1,#REF!,2,0)&lt;&gt;"","X",""),"")</f>
        <v/>
      </c>
    </row>
    <row r="2" spans="1:90">
      <c r="A2" t="s">
        <v>2284</v>
      </c>
      <c r="B2">
        <v>1927</v>
      </c>
      <c r="C2" t="s">
        <v>628</v>
      </c>
      <c r="D2" t="s">
        <v>194</v>
      </c>
      <c r="E2" t="s">
        <v>629</v>
      </c>
      <c r="F2" t="s">
        <v>630</v>
      </c>
      <c r="G2" t="s">
        <v>2285</v>
      </c>
      <c r="P2">
        <v>4</v>
      </c>
      <c r="R2">
        <v>25</v>
      </c>
      <c r="S2">
        <v>24</v>
      </c>
      <c r="T2">
        <v>67</v>
      </c>
      <c r="U2">
        <v>101</v>
      </c>
      <c r="V2">
        <v>208</v>
      </c>
      <c r="W2">
        <v>299</v>
      </c>
      <c r="X2">
        <v>299</v>
      </c>
      <c r="Y2">
        <v>317</v>
      </c>
      <c r="Z2">
        <v>236</v>
      </c>
      <c r="AA2">
        <v>160</v>
      </c>
      <c r="AB2">
        <v>106</v>
      </c>
      <c r="AC2">
        <v>9</v>
      </c>
      <c r="AD2">
        <v>42</v>
      </c>
      <c r="AE2">
        <v>5</v>
      </c>
      <c r="AF2">
        <v>19</v>
      </c>
      <c r="AH2">
        <v>3</v>
      </c>
      <c r="AJ2">
        <v>3</v>
      </c>
      <c r="CH2" t="str">
        <f t="shared" ref="CH2:CH65" si="0">TRIM(IFERROR(IFERROR(MID($D2,FIND("(D-",$D2)+1,6),LEFT($D2,FIND("(",$D2)-1)),$D2))</f>
        <v>D-0189</v>
      </c>
      <c r="CI2" s="1" t="s">
        <v>102</v>
      </c>
    </row>
    <row r="3" spans="1:90">
      <c r="A3" t="s">
        <v>1161</v>
      </c>
      <c r="B3">
        <v>990</v>
      </c>
      <c r="C3" t="s">
        <v>685</v>
      </c>
      <c r="D3" t="s">
        <v>457</v>
      </c>
      <c r="E3" t="s">
        <v>629</v>
      </c>
      <c r="F3" t="s">
        <v>672</v>
      </c>
      <c r="G3" t="s">
        <v>686</v>
      </c>
      <c r="L3">
        <v>36</v>
      </c>
      <c r="M3">
        <v>36</v>
      </c>
      <c r="N3">
        <v>36</v>
      </c>
      <c r="O3">
        <v>36</v>
      </c>
      <c r="P3">
        <v>72</v>
      </c>
      <c r="Q3">
        <v>90</v>
      </c>
      <c r="R3">
        <v>120</v>
      </c>
      <c r="S3">
        <v>108</v>
      </c>
      <c r="T3">
        <v>96</v>
      </c>
      <c r="U3">
        <v>66</v>
      </c>
      <c r="V3">
        <v>60</v>
      </c>
      <c r="W3">
        <v>48</v>
      </c>
      <c r="X3">
        <v>72</v>
      </c>
      <c r="Y3">
        <v>54</v>
      </c>
      <c r="Z3">
        <v>42</v>
      </c>
      <c r="AA3">
        <v>36</v>
      </c>
      <c r="AB3">
        <v>30</v>
      </c>
      <c r="AC3">
        <v>12</v>
      </c>
      <c r="AD3">
        <v>18</v>
      </c>
      <c r="CH3" t="str">
        <f t="shared" si="0"/>
        <v>JV1-0695-3</v>
      </c>
      <c r="CI3" s="1" t="s">
        <v>102</v>
      </c>
    </row>
    <row r="4" spans="1:90">
      <c r="A4" t="s">
        <v>1531</v>
      </c>
      <c r="B4">
        <v>117</v>
      </c>
      <c r="C4" t="s">
        <v>1532</v>
      </c>
      <c r="D4" t="s">
        <v>413</v>
      </c>
      <c r="E4" t="s">
        <v>642</v>
      </c>
      <c r="F4" t="s">
        <v>657</v>
      </c>
      <c r="G4" t="s">
        <v>1155</v>
      </c>
      <c r="P4">
        <v>3</v>
      </c>
      <c r="Q4">
        <v>4</v>
      </c>
      <c r="R4">
        <v>5</v>
      </c>
      <c r="S4">
        <v>7</v>
      </c>
      <c r="T4">
        <v>10</v>
      </c>
      <c r="U4">
        <v>8</v>
      </c>
      <c r="V4">
        <v>9</v>
      </c>
      <c r="W4">
        <v>8</v>
      </c>
      <c r="X4">
        <v>9</v>
      </c>
      <c r="Y4">
        <v>9</v>
      </c>
      <c r="Z4">
        <v>9</v>
      </c>
      <c r="AA4">
        <v>8</v>
      </c>
      <c r="AB4">
        <v>7</v>
      </c>
      <c r="AC4">
        <v>5</v>
      </c>
      <c r="AD4">
        <v>5</v>
      </c>
      <c r="AE4">
        <v>4</v>
      </c>
      <c r="AF4">
        <v>3</v>
      </c>
      <c r="AG4">
        <v>2</v>
      </c>
      <c r="AH4">
        <v>1</v>
      </c>
      <c r="AI4">
        <v>1</v>
      </c>
      <c r="CH4" t="str">
        <f t="shared" si="0"/>
        <v>D-0594</v>
      </c>
      <c r="CI4" s="1" t="s">
        <v>102</v>
      </c>
    </row>
    <row r="5" spans="1:90">
      <c r="A5" t="s">
        <v>1533</v>
      </c>
      <c r="B5">
        <v>34</v>
      </c>
      <c r="C5" t="s">
        <v>1532</v>
      </c>
      <c r="D5" t="s">
        <v>413</v>
      </c>
      <c r="E5" t="s">
        <v>642</v>
      </c>
      <c r="F5" t="s">
        <v>657</v>
      </c>
      <c r="G5" t="s">
        <v>1155</v>
      </c>
      <c r="T5">
        <v>2</v>
      </c>
      <c r="U5">
        <v>3</v>
      </c>
      <c r="V5">
        <v>2</v>
      </c>
      <c r="W5">
        <v>2</v>
      </c>
      <c r="X5">
        <v>2</v>
      </c>
      <c r="Y5">
        <v>2</v>
      </c>
      <c r="Z5">
        <v>2</v>
      </c>
      <c r="AA5">
        <v>2</v>
      </c>
      <c r="AB5">
        <v>2</v>
      </c>
      <c r="AC5">
        <v>3</v>
      </c>
      <c r="AD5">
        <v>2</v>
      </c>
      <c r="AE5">
        <v>1</v>
      </c>
      <c r="AF5">
        <v>5</v>
      </c>
      <c r="AH5">
        <v>4</v>
      </c>
      <c r="CH5" t="str">
        <f t="shared" si="0"/>
        <v>D-0594</v>
      </c>
      <c r="CI5" s="1" t="s">
        <v>102</v>
      </c>
    </row>
    <row r="6" spans="1:90">
      <c r="A6" t="s">
        <v>2699</v>
      </c>
      <c r="B6">
        <v>537</v>
      </c>
      <c r="C6" t="s">
        <v>2690</v>
      </c>
      <c r="D6" t="s">
        <v>223</v>
      </c>
      <c r="E6" t="s">
        <v>642</v>
      </c>
      <c r="F6" t="s">
        <v>693</v>
      </c>
      <c r="G6" t="s">
        <v>2691</v>
      </c>
      <c r="P6">
        <v>9</v>
      </c>
      <c r="Q6">
        <v>13</v>
      </c>
      <c r="R6">
        <v>28</v>
      </c>
      <c r="S6">
        <v>38</v>
      </c>
      <c r="T6">
        <v>66</v>
      </c>
      <c r="U6">
        <v>67</v>
      </c>
      <c r="V6">
        <v>79</v>
      </c>
      <c r="W6">
        <v>68</v>
      </c>
      <c r="X6">
        <v>61</v>
      </c>
      <c r="Y6">
        <v>37</v>
      </c>
      <c r="Z6">
        <v>32</v>
      </c>
      <c r="AA6">
        <v>14</v>
      </c>
      <c r="AB6">
        <v>13</v>
      </c>
      <c r="AC6">
        <v>6</v>
      </c>
      <c r="AD6">
        <v>6</v>
      </c>
      <c r="CH6" t="str">
        <f t="shared" si="0"/>
        <v>D-0263</v>
      </c>
      <c r="CI6" s="1" t="s">
        <v>102</v>
      </c>
    </row>
    <row r="7" spans="1:90">
      <c r="A7" t="s">
        <v>1527</v>
      </c>
      <c r="B7">
        <v>2807</v>
      </c>
      <c r="C7" t="s">
        <v>1523</v>
      </c>
      <c r="D7" t="s">
        <v>413</v>
      </c>
      <c r="E7" t="s">
        <v>642</v>
      </c>
      <c r="F7" t="s">
        <v>657</v>
      </c>
      <c r="G7" t="s">
        <v>1155</v>
      </c>
      <c r="P7">
        <v>84</v>
      </c>
      <c r="R7">
        <v>203</v>
      </c>
      <c r="S7">
        <v>336</v>
      </c>
      <c r="T7">
        <v>504</v>
      </c>
      <c r="U7">
        <v>504</v>
      </c>
      <c r="V7">
        <v>420</v>
      </c>
      <c r="W7">
        <v>420</v>
      </c>
      <c r="X7">
        <v>198</v>
      </c>
      <c r="Y7">
        <v>84</v>
      </c>
      <c r="Z7">
        <v>54</v>
      </c>
      <c r="CH7" t="str">
        <f t="shared" si="0"/>
        <v>D-0594</v>
      </c>
      <c r="CI7" s="1" t="s">
        <v>102</v>
      </c>
    </row>
    <row r="8" spans="1:90">
      <c r="A8" t="s">
        <v>2501</v>
      </c>
      <c r="B8">
        <v>242</v>
      </c>
      <c r="C8" t="s">
        <v>983</v>
      </c>
      <c r="D8" t="s">
        <v>235</v>
      </c>
      <c r="E8" t="s">
        <v>642</v>
      </c>
      <c r="F8" t="s">
        <v>695</v>
      </c>
      <c r="G8" t="s">
        <v>952</v>
      </c>
      <c r="R8">
        <v>36</v>
      </c>
      <c r="T8">
        <v>91</v>
      </c>
      <c r="U8">
        <v>36</v>
      </c>
      <c r="V8">
        <v>58</v>
      </c>
      <c r="X8">
        <v>21</v>
      </c>
      <c r="CH8" t="str">
        <f t="shared" si="0"/>
        <v>D-0266</v>
      </c>
      <c r="CI8" s="1" t="s">
        <v>102</v>
      </c>
    </row>
    <row r="9" spans="1:90">
      <c r="A9" t="s">
        <v>1063</v>
      </c>
      <c r="B9">
        <v>4327</v>
      </c>
      <c r="C9" t="s">
        <v>991</v>
      </c>
      <c r="D9" t="s">
        <v>217</v>
      </c>
      <c r="E9" t="s">
        <v>642</v>
      </c>
      <c r="F9" t="s">
        <v>644</v>
      </c>
      <c r="G9" t="s">
        <v>2728</v>
      </c>
      <c r="R9">
        <v>360</v>
      </c>
      <c r="S9">
        <v>360</v>
      </c>
      <c r="T9">
        <v>367</v>
      </c>
      <c r="U9">
        <v>360</v>
      </c>
      <c r="V9">
        <v>720</v>
      </c>
      <c r="W9">
        <v>720</v>
      </c>
      <c r="X9">
        <v>360</v>
      </c>
      <c r="Y9">
        <v>360</v>
      </c>
      <c r="Z9">
        <v>360</v>
      </c>
      <c r="AB9">
        <v>360</v>
      </c>
      <c r="CH9" t="str">
        <f t="shared" si="0"/>
        <v>D-0260</v>
      </c>
      <c r="CI9" s="1" t="s">
        <v>102</v>
      </c>
    </row>
    <row r="10" spans="1:90">
      <c r="A10" t="s">
        <v>1142</v>
      </c>
      <c r="B10">
        <v>2502</v>
      </c>
      <c r="C10" t="s">
        <v>991</v>
      </c>
      <c r="D10" t="s">
        <v>217</v>
      </c>
      <c r="E10" t="s">
        <v>642</v>
      </c>
      <c r="F10" t="s">
        <v>644</v>
      </c>
      <c r="G10" t="s">
        <v>992</v>
      </c>
      <c r="P10">
        <v>48</v>
      </c>
      <c r="Q10">
        <v>40</v>
      </c>
      <c r="R10">
        <v>184</v>
      </c>
      <c r="S10">
        <v>172</v>
      </c>
      <c r="T10">
        <v>320</v>
      </c>
      <c r="U10">
        <v>290</v>
      </c>
      <c r="V10">
        <v>377</v>
      </c>
      <c r="W10">
        <v>307</v>
      </c>
      <c r="X10">
        <v>295</v>
      </c>
      <c r="Y10">
        <v>172</v>
      </c>
      <c r="Z10">
        <v>160</v>
      </c>
      <c r="AA10">
        <v>25</v>
      </c>
      <c r="AB10">
        <v>90</v>
      </c>
      <c r="AC10">
        <v>8</v>
      </c>
      <c r="AD10">
        <v>14</v>
      </c>
      <c r="CH10" t="str">
        <f t="shared" si="0"/>
        <v>D-0260</v>
      </c>
      <c r="CI10" s="1" t="s">
        <v>102</v>
      </c>
    </row>
    <row r="11" spans="1:90">
      <c r="A11" t="s">
        <v>2727</v>
      </c>
      <c r="B11">
        <v>6230</v>
      </c>
      <c r="C11" t="s">
        <v>991</v>
      </c>
      <c r="D11" t="s">
        <v>217</v>
      </c>
      <c r="E11" t="s">
        <v>642</v>
      </c>
      <c r="F11" t="s">
        <v>644</v>
      </c>
      <c r="G11" t="s">
        <v>2728</v>
      </c>
      <c r="P11">
        <v>36</v>
      </c>
      <c r="Q11">
        <v>150</v>
      </c>
      <c r="R11">
        <v>543</v>
      </c>
      <c r="S11">
        <v>749</v>
      </c>
      <c r="T11">
        <v>1118</v>
      </c>
      <c r="U11">
        <v>1050</v>
      </c>
      <c r="V11">
        <v>986</v>
      </c>
      <c r="W11">
        <v>554</v>
      </c>
      <c r="X11">
        <v>401</v>
      </c>
      <c r="Y11">
        <v>254</v>
      </c>
      <c r="Z11">
        <v>240</v>
      </c>
      <c r="AA11">
        <v>24</v>
      </c>
      <c r="AB11">
        <v>125</v>
      </c>
      <c r="CH11" t="str">
        <f t="shared" si="0"/>
        <v>D-0260</v>
      </c>
      <c r="CI11" s="1" t="s">
        <v>102</v>
      </c>
    </row>
    <row r="12" spans="1:90">
      <c r="A12" t="s">
        <v>1159</v>
      </c>
      <c r="B12">
        <v>521</v>
      </c>
      <c r="C12" t="s">
        <v>685</v>
      </c>
      <c r="D12" t="s">
        <v>457</v>
      </c>
      <c r="E12" t="s">
        <v>629</v>
      </c>
      <c r="F12" t="s">
        <v>672</v>
      </c>
      <c r="G12" t="s">
        <v>686</v>
      </c>
      <c r="L12">
        <v>6</v>
      </c>
      <c r="M12">
        <v>6</v>
      </c>
      <c r="N12">
        <v>6</v>
      </c>
      <c r="O12">
        <v>6</v>
      </c>
      <c r="P12">
        <v>12</v>
      </c>
      <c r="Q12">
        <v>18</v>
      </c>
      <c r="R12">
        <v>30</v>
      </c>
      <c r="S12">
        <v>42</v>
      </c>
      <c r="T12">
        <v>47</v>
      </c>
      <c r="U12">
        <v>42</v>
      </c>
      <c r="V12">
        <v>42</v>
      </c>
      <c r="W12">
        <v>42</v>
      </c>
      <c r="X12">
        <v>36</v>
      </c>
      <c r="Y12">
        <v>48</v>
      </c>
      <c r="Z12">
        <v>42</v>
      </c>
      <c r="AA12">
        <v>30</v>
      </c>
      <c r="AB12">
        <v>30</v>
      </c>
      <c r="AC12">
        <v>24</v>
      </c>
      <c r="AD12">
        <v>18</v>
      </c>
      <c r="AF12">
        <v>12</v>
      </c>
      <c r="CH12" t="str">
        <f t="shared" si="0"/>
        <v>JV1-0695-3</v>
      </c>
      <c r="CI12" s="1" t="s">
        <v>102</v>
      </c>
    </row>
    <row r="13" spans="1:90">
      <c r="A13" t="s">
        <v>2381</v>
      </c>
      <c r="B13">
        <v>6526</v>
      </c>
      <c r="C13" t="s">
        <v>940</v>
      </c>
      <c r="D13" t="s">
        <v>249</v>
      </c>
      <c r="E13" t="s">
        <v>642</v>
      </c>
      <c r="F13" t="s">
        <v>657</v>
      </c>
      <c r="G13" t="s">
        <v>941</v>
      </c>
      <c r="P13">
        <v>31</v>
      </c>
      <c r="Q13">
        <v>121</v>
      </c>
      <c r="R13">
        <v>369</v>
      </c>
      <c r="S13">
        <v>339</v>
      </c>
      <c r="T13">
        <v>1173</v>
      </c>
      <c r="U13">
        <v>270</v>
      </c>
      <c r="V13">
        <v>1615</v>
      </c>
      <c r="W13">
        <v>655</v>
      </c>
      <c r="X13">
        <v>797</v>
      </c>
      <c r="Y13">
        <v>123</v>
      </c>
      <c r="Z13">
        <v>533</v>
      </c>
      <c r="AA13">
        <v>26</v>
      </c>
      <c r="AB13">
        <v>214</v>
      </c>
      <c r="AC13">
        <v>52</v>
      </c>
      <c r="AD13">
        <v>94</v>
      </c>
      <c r="AE13">
        <v>25</v>
      </c>
      <c r="AF13">
        <v>54</v>
      </c>
      <c r="AG13">
        <v>21</v>
      </c>
      <c r="AH13">
        <v>14</v>
      </c>
      <c r="CH13" t="str">
        <f t="shared" si="0"/>
        <v>D-0271</v>
      </c>
      <c r="CI13" s="1" t="s">
        <v>102</v>
      </c>
    </row>
    <row r="14" spans="1:90">
      <c r="A14" t="s">
        <v>2382</v>
      </c>
      <c r="B14">
        <v>6897</v>
      </c>
      <c r="C14" t="s">
        <v>940</v>
      </c>
      <c r="D14" t="s">
        <v>249</v>
      </c>
      <c r="E14" t="s">
        <v>642</v>
      </c>
      <c r="F14" t="s">
        <v>657</v>
      </c>
      <c r="G14" t="s">
        <v>941</v>
      </c>
      <c r="P14">
        <v>84</v>
      </c>
      <c r="Q14">
        <v>150</v>
      </c>
      <c r="R14">
        <v>684</v>
      </c>
      <c r="S14">
        <v>918</v>
      </c>
      <c r="T14">
        <v>1165</v>
      </c>
      <c r="U14">
        <v>720</v>
      </c>
      <c r="V14">
        <v>624</v>
      </c>
      <c r="W14">
        <v>354</v>
      </c>
      <c r="X14">
        <v>464</v>
      </c>
      <c r="Y14">
        <v>510</v>
      </c>
      <c r="Z14">
        <v>450</v>
      </c>
      <c r="AA14">
        <v>330</v>
      </c>
      <c r="AB14">
        <v>264</v>
      </c>
      <c r="AC14">
        <v>48</v>
      </c>
      <c r="AD14">
        <v>132</v>
      </c>
      <c r="CH14" t="str">
        <f t="shared" si="0"/>
        <v>D-0271</v>
      </c>
      <c r="CI14" s="1" t="s">
        <v>102</v>
      </c>
    </row>
    <row r="15" spans="1:90">
      <c r="A15" t="s">
        <v>1521</v>
      </c>
      <c r="B15">
        <v>753</v>
      </c>
      <c r="C15" t="s">
        <v>1520</v>
      </c>
      <c r="D15" t="s">
        <v>413</v>
      </c>
      <c r="E15" t="s">
        <v>642</v>
      </c>
      <c r="F15" t="s">
        <v>657</v>
      </c>
      <c r="G15" t="s">
        <v>1155</v>
      </c>
      <c r="P15">
        <v>18</v>
      </c>
      <c r="Q15">
        <v>24</v>
      </c>
      <c r="R15">
        <v>46</v>
      </c>
      <c r="S15">
        <v>51</v>
      </c>
      <c r="T15">
        <v>71</v>
      </c>
      <c r="U15">
        <v>74</v>
      </c>
      <c r="V15">
        <v>83</v>
      </c>
      <c r="W15">
        <v>74</v>
      </c>
      <c r="X15">
        <v>57</v>
      </c>
      <c r="Y15">
        <v>50</v>
      </c>
      <c r="Z15">
        <v>44</v>
      </c>
      <c r="AA15">
        <v>41</v>
      </c>
      <c r="AB15">
        <v>30</v>
      </c>
      <c r="AC15">
        <v>25</v>
      </c>
      <c r="AD15">
        <v>17</v>
      </c>
      <c r="AE15">
        <v>13</v>
      </c>
      <c r="AF15">
        <v>8</v>
      </c>
      <c r="AG15">
        <v>7</v>
      </c>
      <c r="AH15">
        <v>7</v>
      </c>
      <c r="AI15">
        <v>7</v>
      </c>
      <c r="AK15">
        <v>6</v>
      </c>
      <c r="CH15" t="str">
        <f t="shared" si="0"/>
        <v>D-0594</v>
      </c>
      <c r="CI15" s="1" t="s">
        <v>102</v>
      </c>
    </row>
    <row r="16" spans="1:90">
      <c r="A16" t="s">
        <v>3070</v>
      </c>
      <c r="B16">
        <v>504</v>
      </c>
      <c r="C16" t="s">
        <v>951</v>
      </c>
      <c r="D16" t="s">
        <v>233</v>
      </c>
      <c r="E16" t="s">
        <v>642</v>
      </c>
      <c r="F16" t="s">
        <v>657</v>
      </c>
      <c r="G16" t="s">
        <v>952</v>
      </c>
      <c r="AA16">
        <v>504</v>
      </c>
      <c r="CH16" t="str">
        <f t="shared" si="0"/>
        <v>D-0265</v>
      </c>
      <c r="CI16" s="1" t="s">
        <v>102</v>
      </c>
    </row>
    <row r="17" spans="1:87">
      <c r="A17" t="s">
        <v>2260</v>
      </c>
      <c r="B17">
        <v>24</v>
      </c>
      <c r="C17" t="s">
        <v>1735</v>
      </c>
      <c r="D17" t="s">
        <v>261</v>
      </c>
      <c r="E17" t="s">
        <v>629</v>
      </c>
      <c r="F17" t="s">
        <v>652</v>
      </c>
      <c r="G17" t="s">
        <v>1736</v>
      </c>
      <c r="R17">
        <v>3</v>
      </c>
      <c r="S17">
        <v>3</v>
      </c>
      <c r="T17">
        <v>4</v>
      </c>
      <c r="U17">
        <v>4</v>
      </c>
      <c r="W17">
        <v>4</v>
      </c>
      <c r="Y17">
        <v>3</v>
      </c>
      <c r="Z17">
        <v>2</v>
      </c>
      <c r="AB17">
        <v>1</v>
      </c>
      <c r="CH17" t="str">
        <f t="shared" si="0"/>
        <v>D-0310</v>
      </c>
      <c r="CI17" s="1" t="s">
        <v>102</v>
      </c>
    </row>
    <row r="18" spans="1:87">
      <c r="A18" t="s">
        <v>2594</v>
      </c>
      <c r="B18">
        <v>12756</v>
      </c>
      <c r="C18" t="s">
        <v>2591</v>
      </c>
      <c r="D18" t="s">
        <v>313</v>
      </c>
      <c r="E18" t="s">
        <v>629</v>
      </c>
      <c r="F18" t="s">
        <v>636</v>
      </c>
      <c r="G18" t="s">
        <v>2283</v>
      </c>
      <c r="U18">
        <v>397</v>
      </c>
      <c r="V18">
        <v>470</v>
      </c>
      <c r="W18">
        <v>1076</v>
      </c>
      <c r="X18">
        <v>1230</v>
      </c>
      <c r="Y18">
        <v>1636</v>
      </c>
      <c r="AA18">
        <v>1835</v>
      </c>
      <c r="AB18">
        <v>1691</v>
      </c>
      <c r="AC18">
        <v>1579</v>
      </c>
      <c r="AD18">
        <v>895</v>
      </c>
      <c r="AE18">
        <v>1168</v>
      </c>
      <c r="AF18">
        <v>779</v>
      </c>
      <c r="CH18" t="str">
        <f t="shared" si="0"/>
        <v>D-0468</v>
      </c>
      <c r="CI18" s="1" t="s">
        <v>102</v>
      </c>
    </row>
    <row r="19" spans="1:87">
      <c r="A19" t="s">
        <v>1543</v>
      </c>
      <c r="B19">
        <v>1716</v>
      </c>
      <c r="C19" t="s">
        <v>1542</v>
      </c>
      <c r="D19" t="s">
        <v>261</v>
      </c>
      <c r="E19" t="s">
        <v>629</v>
      </c>
      <c r="F19" t="s">
        <v>635</v>
      </c>
      <c r="G19" t="s">
        <v>1516</v>
      </c>
      <c r="L19">
        <v>24</v>
      </c>
      <c r="M19">
        <v>24</v>
      </c>
      <c r="N19">
        <v>24</v>
      </c>
      <c r="O19">
        <v>24</v>
      </c>
      <c r="P19">
        <v>36</v>
      </c>
      <c r="Q19">
        <v>48</v>
      </c>
      <c r="R19">
        <v>84</v>
      </c>
      <c r="S19">
        <v>36</v>
      </c>
      <c r="T19">
        <v>144</v>
      </c>
      <c r="U19">
        <v>132</v>
      </c>
      <c r="V19">
        <v>84</v>
      </c>
      <c r="W19">
        <v>204</v>
      </c>
      <c r="X19">
        <v>120</v>
      </c>
      <c r="Y19">
        <v>216</v>
      </c>
      <c r="Z19">
        <v>204</v>
      </c>
      <c r="AA19">
        <v>60</v>
      </c>
      <c r="AB19">
        <v>144</v>
      </c>
      <c r="AC19">
        <v>96</v>
      </c>
      <c r="AD19">
        <v>24</v>
      </c>
      <c r="AF19">
        <v>12</v>
      </c>
      <c r="CH19" t="str">
        <f t="shared" si="0"/>
        <v>D-0310</v>
      </c>
      <c r="CI19" s="1" t="s">
        <v>102</v>
      </c>
    </row>
    <row r="20" spans="1:87">
      <c r="A20" t="s">
        <v>1548</v>
      </c>
      <c r="B20">
        <v>384</v>
      </c>
      <c r="C20" t="s">
        <v>1542</v>
      </c>
      <c r="D20" t="s">
        <v>261</v>
      </c>
      <c r="E20" t="s">
        <v>629</v>
      </c>
      <c r="F20" t="s">
        <v>635</v>
      </c>
      <c r="G20" t="s">
        <v>1516</v>
      </c>
      <c r="T20">
        <v>12</v>
      </c>
      <c r="U20">
        <v>36</v>
      </c>
      <c r="V20">
        <v>12</v>
      </c>
      <c r="W20">
        <v>60</v>
      </c>
      <c r="X20">
        <v>24</v>
      </c>
      <c r="Y20">
        <v>72</v>
      </c>
      <c r="Z20">
        <v>72</v>
      </c>
      <c r="AA20">
        <v>24</v>
      </c>
      <c r="AB20">
        <v>48</v>
      </c>
      <c r="AC20">
        <v>24</v>
      </c>
      <c r="CH20" t="str">
        <f t="shared" si="0"/>
        <v>D-0310</v>
      </c>
      <c r="CI20" s="1" t="s">
        <v>102</v>
      </c>
    </row>
    <row r="21" spans="1:87">
      <c r="A21" t="s">
        <v>1653</v>
      </c>
      <c r="B21">
        <v>360</v>
      </c>
      <c r="C21" t="s">
        <v>1542</v>
      </c>
      <c r="D21" t="s">
        <v>261</v>
      </c>
      <c r="E21" t="s">
        <v>629</v>
      </c>
      <c r="F21" t="s">
        <v>635</v>
      </c>
      <c r="G21" t="s">
        <v>1516</v>
      </c>
      <c r="T21">
        <v>24</v>
      </c>
      <c r="U21">
        <v>60</v>
      </c>
      <c r="W21">
        <v>96</v>
      </c>
      <c r="Y21">
        <v>72</v>
      </c>
      <c r="Z21">
        <v>60</v>
      </c>
      <c r="AB21">
        <v>36</v>
      </c>
      <c r="AC21">
        <v>12</v>
      </c>
      <c r="CH21" t="str">
        <f t="shared" si="0"/>
        <v>D-0310</v>
      </c>
      <c r="CI21" s="1" t="s">
        <v>102</v>
      </c>
    </row>
    <row r="22" spans="1:87">
      <c r="A22" t="s">
        <v>1652</v>
      </c>
      <c r="B22">
        <v>120</v>
      </c>
      <c r="C22" t="s">
        <v>1542</v>
      </c>
      <c r="D22" t="s">
        <v>261</v>
      </c>
      <c r="E22" t="s">
        <v>629</v>
      </c>
      <c r="F22" t="s">
        <v>635</v>
      </c>
      <c r="G22" t="s">
        <v>1516</v>
      </c>
      <c r="U22">
        <v>12</v>
      </c>
      <c r="W22">
        <v>12</v>
      </c>
      <c r="X22">
        <v>12</v>
      </c>
      <c r="Y22">
        <v>24</v>
      </c>
      <c r="Z22">
        <v>24</v>
      </c>
      <c r="AA22">
        <v>12</v>
      </c>
      <c r="AB22">
        <v>12</v>
      </c>
      <c r="AC22">
        <v>12</v>
      </c>
      <c r="CH22" t="str">
        <f t="shared" si="0"/>
        <v>D-0310</v>
      </c>
      <c r="CI22" s="1" t="s">
        <v>102</v>
      </c>
    </row>
    <row r="23" spans="1:87">
      <c r="A23" t="s">
        <v>1662</v>
      </c>
      <c r="B23">
        <v>516</v>
      </c>
      <c r="C23" t="s">
        <v>1542</v>
      </c>
      <c r="D23" t="s">
        <v>261</v>
      </c>
      <c r="E23" t="s">
        <v>629</v>
      </c>
      <c r="F23" t="s">
        <v>635</v>
      </c>
      <c r="G23" t="s">
        <v>1516</v>
      </c>
      <c r="R23">
        <v>12</v>
      </c>
      <c r="T23">
        <v>60</v>
      </c>
      <c r="V23">
        <v>144</v>
      </c>
      <c r="X23">
        <v>132</v>
      </c>
      <c r="Z23">
        <v>96</v>
      </c>
      <c r="AB23">
        <v>72</v>
      </c>
      <c r="CH23" t="str">
        <f t="shared" si="0"/>
        <v>D-0310</v>
      </c>
      <c r="CI23" s="1" t="s">
        <v>102</v>
      </c>
    </row>
    <row r="24" spans="1:87">
      <c r="A24" t="s">
        <v>1650</v>
      </c>
      <c r="B24">
        <v>1146</v>
      </c>
      <c r="C24" t="s">
        <v>1542</v>
      </c>
      <c r="D24" t="s">
        <v>261</v>
      </c>
      <c r="E24" t="s">
        <v>629</v>
      </c>
      <c r="F24" t="s">
        <v>635</v>
      </c>
      <c r="G24" t="s">
        <v>1516</v>
      </c>
      <c r="L24">
        <v>12</v>
      </c>
      <c r="M24">
        <v>12</v>
      </c>
      <c r="N24">
        <v>12</v>
      </c>
      <c r="O24">
        <v>12</v>
      </c>
      <c r="P24">
        <v>12</v>
      </c>
      <c r="Q24">
        <v>24</v>
      </c>
      <c r="R24">
        <v>36</v>
      </c>
      <c r="S24">
        <v>36</v>
      </c>
      <c r="T24">
        <v>60</v>
      </c>
      <c r="U24">
        <v>48</v>
      </c>
      <c r="V24">
        <v>72</v>
      </c>
      <c r="W24">
        <v>72</v>
      </c>
      <c r="X24">
        <v>60</v>
      </c>
      <c r="Y24">
        <v>72</v>
      </c>
      <c r="Z24">
        <v>84</v>
      </c>
      <c r="AA24">
        <v>60</v>
      </c>
      <c r="AB24">
        <v>84</v>
      </c>
      <c r="AC24">
        <v>60</v>
      </c>
      <c r="AD24">
        <v>96</v>
      </c>
      <c r="AF24">
        <v>96</v>
      </c>
      <c r="AH24">
        <v>72</v>
      </c>
      <c r="AJ24">
        <v>48</v>
      </c>
      <c r="AL24">
        <v>6</v>
      </c>
      <c r="CH24" t="str">
        <f t="shared" si="0"/>
        <v>D-0310</v>
      </c>
      <c r="CI24" s="1" t="s">
        <v>102</v>
      </c>
    </row>
    <row r="25" spans="1:87">
      <c r="A25" t="s">
        <v>1654</v>
      </c>
      <c r="B25">
        <v>312</v>
      </c>
      <c r="C25" t="s">
        <v>1542</v>
      </c>
      <c r="D25" t="s">
        <v>261</v>
      </c>
      <c r="E25" t="s">
        <v>629</v>
      </c>
      <c r="F25" t="s">
        <v>635</v>
      </c>
      <c r="G25" t="s">
        <v>1516</v>
      </c>
      <c r="T25">
        <v>12</v>
      </c>
      <c r="U25">
        <v>24</v>
      </c>
      <c r="V25">
        <v>24</v>
      </c>
      <c r="W25">
        <v>60</v>
      </c>
      <c r="X25">
        <v>24</v>
      </c>
      <c r="Y25">
        <v>60</v>
      </c>
      <c r="Z25">
        <v>48</v>
      </c>
      <c r="AA25">
        <v>12</v>
      </c>
      <c r="AB25">
        <v>36</v>
      </c>
      <c r="AC25">
        <v>12</v>
      </c>
      <c r="CH25" t="str">
        <f t="shared" si="0"/>
        <v>D-0310</v>
      </c>
      <c r="CI25" s="1" t="s">
        <v>102</v>
      </c>
    </row>
    <row r="26" spans="1:87">
      <c r="A26" t="s">
        <v>1655</v>
      </c>
      <c r="B26">
        <v>180</v>
      </c>
      <c r="C26" t="s">
        <v>1542</v>
      </c>
      <c r="D26" t="s">
        <v>261</v>
      </c>
      <c r="E26" t="s">
        <v>629</v>
      </c>
      <c r="F26" t="s">
        <v>635</v>
      </c>
      <c r="G26" t="s">
        <v>1516</v>
      </c>
      <c r="T26">
        <v>12</v>
      </c>
      <c r="U26">
        <v>12</v>
      </c>
      <c r="V26">
        <v>24</v>
      </c>
      <c r="W26">
        <v>24</v>
      </c>
      <c r="X26">
        <v>24</v>
      </c>
      <c r="Y26">
        <v>24</v>
      </c>
      <c r="Z26">
        <v>24</v>
      </c>
      <c r="AA26">
        <v>12</v>
      </c>
      <c r="AB26">
        <v>12</v>
      </c>
      <c r="AC26">
        <v>12</v>
      </c>
      <c r="CH26" t="str">
        <f t="shared" si="0"/>
        <v>D-0310</v>
      </c>
      <c r="CI26" s="1" t="s">
        <v>102</v>
      </c>
    </row>
    <row r="27" spans="1:87">
      <c r="A27" t="s">
        <v>1656</v>
      </c>
      <c r="B27">
        <v>1440</v>
      </c>
      <c r="C27" t="s">
        <v>1542</v>
      </c>
      <c r="D27" t="s">
        <v>261</v>
      </c>
      <c r="E27" t="s">
        <v>629</v>
      </c>
      <c r="F27" t="s">
        <v>635</v>
      </c>
      <c r="G27" t="s">
        <v>1516</v>
      </c>
      <c r="P27">
        <v>60</v>
      </c>
      <c r="R27">
        <v>84</v>
      </c>
      <c r="T27">
        <v>144</v>
      </c>
      <c r="V27">
        <v>252</v>
      </c>
      <c r="X27">
        <v>300</v>
      </c>
      <c r="Z27">
        <v>276</v>
      </c>
      <c r="AB27">
        <v>204</v>
      </c>
      <c r="AD27">
        <v>84</v>
      </c>
      <c r="AF27">
        <v>12</v>
      </c>
      <c r="CH27" t="str">
        <f t="shared" si="0"/>
        <v>D-0310</v>
      </c>
      <c r="CI27" s="1" t="s">
        <v>102</v>
      </c>
    </row>
    <row r="28" spans="1:87">
      <c r="A28" t="s">
        <v>1657</v>
      </c>
      <c r="B28">
        <v>1056</v>
      </c>
      <c r="C28" t="s">
        <v>1542</v>
      </c>
      <c r="D28" t="s">
        <v>261</v>
      </c>
      <c r="E28" t="s">
        <v>629</v>
      </c>
      <c r="F28" t="s">
        <v>635</v>
      </c>
      <c r="G28" t="s">
        <v>1516</v>
      </c>
      <c r="P28">
        <v>60</v>
      </c>
      <c r="R28">
        <v>84</v>
      </c>
      <c r="T28">
        <v>132</v>
      </c>
      <c r="V28">
        <v>192</v>
      </c>
      <c r="X28">
        <v>216</v>
      </c>
      <c r="Z28">
        <v>180</v>
      </c>
      <c r="AB28">
        <v>120</v>
      </c>
      <c r="AD28">
        <v>48</v>
      </c>
      <c r="CH28" t="str">
        <f t="shared" si="0"/>
        <v>D-0310</v>
      </c>
      <c r="CI28" s="1" t="s">
        <v>102</v>
      </c>
    </row>
    <row r="29" spans="1:87">
      <c r="A29" t="s">
        <v>1659</v>
      </c>
      <c r="B29">
        <v>228</v>
      </c>
      <c r="C29" t="s">
        <v>1542</v>
      </c>
      <c r="D29" t="s">
        <v>261</v>
      </c>
      <c r="E29" t="s">
        <v>629</v>
      </c>
      <c r="F29" t="s">
        <v>635</v>
      </c>
      <c r="G29" t="s">
        <v>1516</v>
      </c>
      <c r="T29">
        <v>19</v>
      </c>
      <c r="U29">
        <v>38</v>
      </c>
      <c r="V29">
        <v>38</v>
      </c>
      <c r="W29">
        <v>38</v>
      </c>
      <c r="X29">
        <v>38</v>
      </c>
      <c r="Y29">
        <v>19</v>
      </c>
      <c r="Z29">
        <v>19</v>
      </c>
      <c r="AA29">
        <v>19</v>
      </c>
      <c r="CH29" t="str">
        <f t="shared" si="0"/>
        <v>D-0310</v>
      </c>
      <c r="CI29" s="1" t="s">
        <v>102</v>
      </c>
    </row>
    <row r="30" spans="1:87">
      <c r="A30" t="s">
        <v>1660</v>
      </c>
      <c r="B30">
        <v>132</v>
      </c>
      <c r="C30" t="s">
        <v>1542</v>
      </c>
      <c r="D30" t="s">
        <v>261</v>
      </c>
      <c r="E30" t="s">
        <v>629</v>
      </c>
      <c r="F30" t="s">
        <v>635</v>
      </c>
      <c r="G30" t="s">
        <v>1516</v>
      </c>
      <c r="T30">
        <v>12</v>
      </c>
      <c r="U30">
        <v>24</v>
      </c>
      <c r="W30">
        <v>24</v>
      </c>
      <c r="Y30">
        <v>24</v>
      </c>
      <c r="Z30">
        <v>24</v>
      </c>
      <c r="AB30">
        <v>12</v>
      </c>
      <c r="AC30">
        <v>12</v>
      </c>
      <c r="CH30" t="str">
        <f t="shared" si="0"/>
        <v>D-0310</v>
      </c>
      <c r="CI30" s="1" t="s">
        <v>102</v>
      </c>
    </row>
    <row r="31" spans="1:87">
      <c r="A31" t="s">
        <v>1661</v>
      </c>
      <c r="B31">
        <v>684</v>
      </c>
      <c r="C31" t="s">
        <v>1542</v>
      </c>
      <c r="D31" t="s">
        <v>261</v>
      </c>
      <c r="E31" t="s">
        <v>629</v>
      </c>
      <c r="F31" t="s">
        <v>635</v>
      </c>
      <c r="G31" t="s">
        <v>1516</v>
      </c>
      <c r="P31">
        <v>12</v>
      </c>
      <c r="R31">
        <v>48</v>
      </c>
      <c r="T31">
        <v>96</v>
      </c>
      <c r="V31">
        <v>180</v>
      </c>
      <c r="X31">
        <v>156</v>
      </c>
      <c r="Z31">
        <v>108</v>
      </c>
      <c r="AB31">
        <v>72</v>
      </c>
      <c r="CH31" t="str">
        <f t="shared" si="0"/>
        <v>D-0310</v>
      </c>
      <c r="CI31" s="1" t="s">
        <v>102</v>
      </c>
    </row>
    <row r="32" spans="1:87">
      <c r="A32" t="s">
        <v>1672</v>
      </c>
      <c r="B32">
        <v>156</v>
      </c>
      <c r="C32" t="s">
        <v>1542</v>
      </c>
      <c r="D32" t="s">
        <v>261</v>
      </c>
      <c r="E32" t="s">
        <v>629</v>
      </c>
      <c r="F32" t="s">
        <v>635</v>
      </c>
      <c r="G32" t="s">
        <v>1516</v>
      </c>
      <c r="T32">
        <v>26</v>
      </c>
      <c r="V32">
        <v>39</v>
      </c>
      <c r="X32">
        <v>39</v>
      </c>
      <c r="Z32">
        <v>26</v>
      </c>
      <c r="AB32">
        <v>13</v>
      </c>
      <c r="AD32">
        <v>13</v>
      </c>
      <c r="CH32" t="str">
        <f t="shared" si="0"/>
        <v>D-0310</v>
      </c>
      <c r="CI32" s="1" t="s">
        <v>102</v>
      </c>
    </row>
    <row r="33" spans="1:87">
      <c r="A33" t="s">
        <v>1651</v>
      </c>
      <c r="B33">
        <v>540</v>
      </c>
      <c r="C33" t="s">
        <v>1542</v>
      </c>
      <c r="D33" t="s">
        <v>261</v>
      </c>
      <c r="E33" t="s">
        <v>629</v>
      </c>
      <c r="F33" t="s">
        <v>635</v>
      </c>
      <c r="G33" t="s">
        <v>1516</v>
      </c>
      <c r="U33">
        <v>48</v>
      </c>
      <c r="V33">
        <v>12</v>
      </c>
      <c r="W33">
        <v>84</v>
      </c>
      <c r="X33">
        <v>24</v>
      </c>
      <c r="Y33">
        <v>120</v>
      </c>
      <c r="Z33">
        <v>120</v>
      </c>
      <c r="AA33">
        <v>24</v>
      </c>
      <c r="AB33">
        <v>72</v>
      </c>
      <c r="AC33">
        <v>36</v>
      </c>
      <c r="CH33" t="str">
        <f t="shared" si="0"/>
        <v>D-0310</v>
      </c>
      <c r="CI33" s="1" t="s">
        <v>102</v>
      </c>
    </row>
    <row r="34" spans="1:87">
      <c r="A34" t="s">
        <v>1319</v>
      </c>
      <c r="B34">
        <v>5494</v>
      </c>
      <c r="C34" t="s">
        <v>727</v>
      </c>
      <c r="D34" t="s">
        <v>505</v>
      </c>
      <c r="E34" t="s">
        <v>629</v>
      </c>
      <c r="F34" t="s">
        <v>657</v>
      </c>
      <c r="G34" t="s">
        <v>728</v>
      </c>
      <c r="N34">
        <v>12</v>
      </c>
      <c r="O34">
        <v>18</v>
      </c>
      <c r="P34">
        <v>30</v>
      </c>
      <c r="Q34">
        <v>42</v>
      </c>
      <c r="R34">
        <v>78</v>
      </c>
      <c r="S34">
        <v>102</v>
      </c>
      <c r="T34">
        <v>208</v>
      </c>
      <c r="U34">
        <v>147</v>
      </c>
      <c r="V34">
        <v>465</v>
      </c>
      <c r="W34">
        <v>480</v>
      </c>
      <c r="X34">
        <v>716</v>
      </c>
      <c r="Y34">
        <v>699</v>
      </c>
      <c r="Z34">
        <v>747</v>
      </c>
      <c r="AA34">
        <v>471</v>
      </c>
      <c r="AB34">
        <v>463</v>
      </c>
      <c r="AC34">
        <v>138</v>
      </c>
      <c r="AD34">
        <v>351</v>
      </c>
      <c r="AE34">
        <v>72</v>
      </c>
      <c r="AF34">
        <v>165</v>
      </c>
      <c r="AH34">
        <v>54</v>
      </c>
      <c r="AJ34">
        <v>36</v>
      </c>
      <c r="CH34" t="str">
        <f t="shared" si="0"/>
        <v>QMR-2</v>
      </c>
      <c r="CI34" s="1" t="s">
        <v>102</v>
      </c>
    </row>
    <row r="35" spans="1:87">
      <c r="A35" t="s">
        <v>1496</v>
      </c>
      <c r="B35">
        <v>66</v>
      </c>
      <c r="C35" t="s">
        <v>1491</v>
      </c>
      <c r="D35" t="s">
        <v>142</v>
      </c>
      <c r="E35" t="s">
        <v>629</v>
      </c>
      <c r="F35" t="s">
        <v>1467</v>
      </c>
      <c r="G35" t="s">
        <v>1492</v>
      </c>
      <c r="Y35">
        <v>66</v>
      </c>
      <c r="CH35" t="str">
        <f t="shared" si="0"/>
        <v>D-0077</v>
      </c>
      <c r="CI35" s="1" t="s">
        <v>102</v>
      </c>
    </row>
    <row r="36" spans="1:87">
      <c r="A36" t="s">
        <v>1497</v>
      </c>
      <c r="B36">
        <v>101</v>
      </c>
      <c r="C36" t="s">
        <v>1491</v>
      </c>
      <c r="D36" t="s">
        <v>142</v>
      </c>
      <c r="E36" t="s">
        <v>629</v>
      </c>
      <c r="F36" t="s">
        <v>1467</v>
      </c>
      <c r="G36" t="s">
        <v>1492</v>
      </c>
      <c r="Z36">
        <v>101</v>
      </c>
      <c r="CH36" t="str">
        <f t="shared" si="0"/>
        <v>D-0077</v>
      </c>
      <c r="CI36" s="1" t="s">
        <v>102</v>
      </c>
    </row>
    <row r="37" spans="1:87">
      <c r="A37" t="s">
        <v>1737</v>
      </c>
      <c r="B37">
        <v>114</v>
      </c>
      <c r="C37" t="s">
        <v>1735</v>
      </c>
      <c r="D37" t="s">
        <v>261</v>
      </c>
      <c r="E37" t="s">
        <v>629</v>
      </c>
      <c r="F37" t="s">
        <v>652</v>
      </c>
      <c r="G37" t="s">
        <v>1736</v>
      </c>
      <c r="L37">
        <v>1</v>
      </c>
      <c r="M37">
        <v>1</v>
      </c>
      <c r="N37">
        <v>1</v>
      </c>
      <c r="O37">
        <v>1</v>
      </c>
      <c r="P37">
        <v>1</v>
      </c>
      <c r="Q37">
        <v>1</v>
      </c>
      <c r="R37">
        <v>4</v>
      </c>
      <c r="T37">
        <v>4</v>
      </c>
      <c r="U37">
        <v>10</v>
      </c>
      <c r="V37">
        <v>13</v>
      </c>
      <c r="W37">
        <v>13</v>
      </c>
      <c r="X37">
        <v>17</v>
      </c>
      <c r="Y37">
        <v>18</v>
      </c>
      <c r="Z37">
        <v>18</v>
      </c>
      <c r="AA37">
        <v>9</v>
      </c>
      <c r="AB37">
        <v>5</v>
      </c>
      <c r="CH37" t="str">
        <f t="shared" si="0"/>
        <v>D-0310</v>
      </c>
      <c r="CI37" s="1" t="s">
        <v>102</v>
      </c>
    </row>
    <row r="38" spans="1:87">
      <c r="A38" t="s">
        <v>2389</v>
      </c>
      <c r="B38">
        <v>456</v>
      </c>
      <c r="C38" t="s">
        <v>1678</v>
      </c>
      <c r="D38" t="s">
        <v>261</v>
      </c>
      <c r="E38" t="s">
        <v>629</v>
      </c>
      <c r="F38" t="s">
        <v>1645</v>
      </c>
      <c r="G38" t="s">
        <v>1647</v>
      </c>
      <c r="L38">
        <v>76</v>
      </c>
      <c r="M38">
        <v>76</v>
      </c>
      <c r="N38">
        <v>76</v>
      </c>
      <c r="O38">
        <v>76</v>
      </c>
      <c r="P38">
        <v>76</v>
      </c>
      <c r="Q38">
        <v>76</v>
      </c>
      <c r="R38">
        <v>76</v>
      </c>
      <c r="S38">
        <v>76</v>
      </c>
      <c r="T38">
        <v>76</v>
      </c>
      <c r="CH38" t="str">
        <f t="shared" si="0"/>
        <v>D-0310</v>
      </c>
      <c r="CI38" s="1" t="s">
        <v>102</v>
      </c>
    </row>
    <row r="39" spans="1:87">
      <c r="A39" t="s">
        <v>2034</v>
      </c>
      <c r="B39">
        <v>360</v>
      </c>
      <c r="C39" t="s">
        <v>2032</v>
      </c>
      <c r="D39" t="s">
        <v>133</v>
      </c>
      <c r="E39" t="s">
        <v>642</v>
      </c>
      <c r="F39" t="s">
        <v>635</v>
      </c>
      <c r="G39" t="s">
        <v>2033</v>
      </c>
      <c r="P39">
        <v>60</v>
      </c>
      <c r="R39">
        <v>96</v>
      </c>
      <c r="T39">
        <v>72</v>
      </c>
      <c r="V39">
        <v>36</v>
      </c>
      <c r="X39">
        <v>24</v>
      </c>
      <c r="CH39" t="str">
        <f t="shared" si="0"/>
        <v>D-0036</v>
      </c>
      <c r="CI39" s="1" t="s">
        <v>102</v>
      </c>
    </row>
    <row r="40" spans="1:87">
      <c r="A40" t="s">
        <v>1744</v>
      </c>
      <c r="B40">
        <v>459</v>
      </c>
      <c r="C40" t="s">
        <v>1743</v>
      </c>
      <c r="D40" t="s">
        <v>261</v>
      </c>
      <c r="E40" t="s">
        <v>629</v>
      </c>
      <c r="F40" t="s">
        <v>652</v>
      </c>
      <c r="G40" t="s">
        <v>1556</v>
      </c>
      <c r="T40">
        <v>51</v>
      </c>
      <c r="U40">
        <v>51</v>
      </c>
      <c r="W40">
        <v>153</v>
      </c>
      <c r="Y40">
        <v>102</v>
      </c>
      <c r="Z40">
        <v>51</v>
      </c>
      <c r="AB40">
        <v>51</v>
      </c>
      <c r="CH40" t="str">
        <f t="shared" si="0"/>
        <v>D-0310</v>
      </c>
      <c r="CI40" s="1" t="s">
        <v>102</v>
      </c>
    </row>
    <row r="41" spans="1:87">
      <c r="A41" t="s">
        <v>1618</v>
      </c>
      <c r="B41">
        <v>70</v>
      </c>
      <c r="C41" t="s">
        <v>1616</v>
      </c>
      <c r="D41" t="s">
        <v>367</v>
      </c>
      <c r="E41" t="s">
        <v>642</v>
      </c>
      <c r="F41" t="s">
        <v>634</v>
      </c>
      <c r="G41" t="s">
        <v>1617</v>
      </c>
      <c r="R41">
        <v>10</v>
      </c>
      <c r="T41">
        <v>10</v>
      </c>
      <c r="U41">
        <v>10</v>
      </c>
      <c r="V41">
        <v>20</v>
      </c>
      <c r="W41">
        <v>10</v>
      </c>
      <c r="X41">
        <v>10</v>
      </c>
      <c r="CH41" t="str">
        <f t="shared" si="0"/>
        <v>D-0528</v>
      </c>
      <c r="CI41" s="1" t="s">
        <v>102</v>
      </c>
    </row>
    <row r="42" spans="1:87">
      <c r="A42" t="s">
        <v>1679</v>
      </c>
      <c r="B42">
        <v>1800</v>
      </c>
      <c r="C42" t="s">
        <v>1680</v>
      </c>
      <c r="D42" t="s">
        <v>261</v>
      </c>
      <c r="E42" t="s">
        <v>629</v>
      </c>
      <c r="F42" t="s">
        <v>635</v>
      </c>
      <c r="G42" t="s">
        <v>1647</v>
      </c>
      <c r="L42">
        <v>96</v>
      </c>
      <c r="M42">
        <v>96</v>
      </c>
      <c r="N42">
        <v>96</v>
      </c>
      <c r="O42">
        <v>96</v>
      </c>
      <c r="Q42">
        <v>168</v>
      </c>
      <c r="R42">
        <v>192</v>
      </c>
      <c r="S42">
        <v>72</v>
      </c>
      <c r="T42">
        <v>108</v>
      </c>
      <c r="U42">
        <v>96</v>
      </c>
      <c r="V42">
        <v>96</v>
      </c>
      <c r="W42">
        <v>108</v>
      </c>
      <c r="X42">
        <v>204</v>
      </c>
      <c r="Y42">
        <v>216</v>
      </c>
      <c r="Z42">
        <v>180</v>
      </c>
      <c r="AA42">
        <v>96</v>
      </c>
      <c r="AB42">
        <v>60</v>
      </c>
      <c r="AC42">
        <v>36</v>
      </c>
      <c r="AF42">
        <v>12</v>
      </c>
      <c r="AH42">
        <v>12</v>
      </c>
      <c r="CH42" t="str">
        <f t="shared" si="0"/>
        <v>D-0310</v>
      </c>
      <c r="CI42" s="1" t="s">
        <v>102</v>
      </c>
    </row>
    <row r="43" spans="1:87">
      <c r="A43" t="s">
        <v>3357</v>
      </c>
      <c r="B43">
        <v>2786</v>
      </c>
      <c r="C43" t="s">
        <v>1359</v>
      </c>
      <c r="D43" t="s">
        <v>365</v>
      </c>
      <c r="E43" t="s">
        <v>629</v>
      </c>
      <c r="F43" t="s">
        <v>706</v>
      </c>
      <c r="G43" t="s">
        <v>737</v>
      </c>
      <c r="U43">
        <v>96</v>
      </c>
      <c r="V43">
        <v>264</v>
      </c>
      <c r="W43">
        <v>264</v>
      </c>
      <c r="X43">
        <v>278</v>
      </c>
      <c r="Y43">
        <v>264</v>
      </c>
      <c r="Z43">
        <v>276</v>
      </c>
      <c r="AA43">
        <v>264</v>
      </c>
      <c r="AB43">
        <v>276</v>
      </c>
      <c r="AC43">
        <v>264</v>
      </c>
      <c r="AD43">
        <v>276</v>
      </c>
      <c r="AF43">
        <v>264</v>
      </c>
      <c r="CH43" t="str">
        <f t="shared" si="0"/>
        <v>D-0524</v>
      </c>
      <c r="CI43" s="1" t="s">
        <v>102</v>
      </c>
    </row>
    <row r="44" spans="1:87">
      <c r="A44" t="s">
        <v>2159</v>
      </c>
      <c r="B44">
        <v>276</v>
      </c>
      <c r="C44" t="s">
        <v>2155</v>
      </c>
      <c r="D44" t="s">
        <v>133</v>
      </c>
      <c r="E44" t="s">
        <v>629</v>
      </c>
      <c r="F44" t="s">
        <v>635</v>
      </c>
      <c r="G44" t="s">
        <v>2156</v>
      </c>
      <c r="L44">
        <v>36</v>
      </c>
      <c r="M44">
        <v>36</v>
      </c>
      <c r="N44">
        <v>36</v>
      </c>
      <c r="O44">
        <v>36</v>
      </c>
      <c r="P44">
        <v>24</v>
      </c>
      <c r="Q44">
        <v>60</v>
      </c>
      <c r="R44">
        <v>48</v>
      </c>
      <c r="S44">
        <v>24</v>
      </c>
      <c r="T44">
        <v>36</v>
      </c>
      <c r="U44">
        <v>24</v>
      </c>
      <c r="CH44" t="str">
        <f t="shared" si="0"/>
        <v>D-0036</v>
      </c>
      <c r="CI44" s="1" t="s">
        <v>102</v>
      </c>
    </row>
    <row r="45" spans="1:87">
      <c r="A45" t="s">
        <v>1501</v>
      </c>
      <c r="B45">
        <v>25</v>
      </c>
      <c r="C45" t="s">
        <v>1491</v>
      </c>
      <c r="D45" t="s">
        <v>142</v>
      </c>
      <c r="E45" t="s">
        <v>629</v>
      </c>
      <c r="F45" t="s">
        <v>1467</v>
      </c>
      <c r="G45" t="s">
        <v>1492</v>
      </c>
      <c r="AF45">
        <v>25</v>
      </c>
      <c r="CH45" t="str">
        <f t="shared" si="0"/>
        <v>D-0077</v>
      </c>
      <c r="CI45" s="1" t="s">
        <v>102</v>
      </c>
    </row>
    <row r="46" spans="1:87">
      <c r="A46" t="s">
        <v>1499</v>
      </c>
      <c r="B46">
        <v>51</v>
      </c>
      <c r="C46" t="s">
        <v>1491</v>
      </c>
      <c r="D46" t="s">
        <v>142</v>
      </c>
      <c r="E46" t="s">
        <v>629</v>
      </c>
      <c r="F46" t="s">
        <v>1467</v>
      </c>
      <c r="G46" t="s">
        <v>1492</v>
      </c>
      <c r="AD46">
        <v>51</v>
      </c>
      <c r="CH46" t="str">
        <f t="shared" si="0"/>
        <v>D-0077</v>
      </c>
      <c r="CI46" s="1" t="s">
        <v>102</v>
      </c>
    </row>
    <row r="47" spans="1:87">
      <c r="A47" t="s">
        <v>1500</v>
      </c>
      <c r="B47">
        <v>16</v>
      </c>
      <c r="C47" t="s">
        <v>1491</v>
      </c>
      <c r="D47" t="s">
        <v>142</v>
      </c>
      <c r="E47" t="s">
        <v>629</v>
      </c>
      <c r="F47" t="s">
        <v>1467</v>
      </c>
      <c r="G47" t="s">
        <v>1492</v>
      </c>
      <c r="AE47">
        <v>16</v>
      </c>
      <c r="CH47" t="str">
        <f t="shared" si="0"/>
        <v>D-0077</v>
      </c>
      <c r="CI47" s="1" t="s">
        <v>102</v>
      </c>
    </row>
    <row r="48" spans="1:87">
      <c r="A48" t="s">
        <v>1498</v>
      </c>
      <c r="B48">
        <v>65</v>
      </c>
      <c r="C48" t="s">
        <v>1491</v>
      </c>
      <c r="D48" t="s">
        <v>142</v>
      </c>
      <c r="E48" t="s">
        <v>629</v>
      </c>
      <c r="F48" t="s">
        <v>1467</v>
      </c>
      <c r="G48" t="s">
        <v>1492</v>
      </c>
      <c r="AC48">
        <v>65</v>
      </c>
      <c r="CH48" t="str">
        <f t="shared" si="0"/>
        <v>D-0077</v>
      </c>
      <c r="CI48" s="1" t="s">
        <v>102</v>
      </c>
    </row>
    <row r="49" spans="1:87">
      <c r="A49" t="s">
        <v>1900</v>
      </c>
      <c r="B49">
        <v>426</v>
      </c>
      <c r="C49" t="s">
        <v>1746</v>
      </c>
      <c r="D49" t="s">
        <v>410</v>
      </c>
      <c r="E49" t="s">
        <v>629</v>
      </c>
      <c r="F49" t="s">
        <v>652</v>
      </c>
      <c r="G49" t="s">
        <v>1742</v>
      </c>
      <c r="S49">
        <v>24</v>
      </c>
      <c r="U49">
        <v>69</v>
      </c>
      <c r="W49">
        <v>100</v>
      </c>
      <c r="Y49">
        <v>102</v>
      </c>
      <c r="AA49">
        <v>74</v>
      </c>
      <c r="AC49">
        <v>45</v>
      </c>
      <c r="AE49">
        <v>12</v>
      </c>
      <c r="CH49" t="str">
        <f t="shared" si="0"/>
        <v>D-0591</v>
      </c>
      <c r="CI49" s="1" t="s">
        <v>102</v>
      </c>
    </row>
    <row r="50" spans="1:87">
      <c r="A50" t="s">
        <v>1905</v>
      </c>
      <c r="B50">
        <v>477</v>
      </c>
      <c r="C50" t="s">
        <v>1746</v>
      </c>
      <c r="D50" t="s">
        <v>410</v>
      </c>
      <c r="E50" t="s">
        <v>629</v>
      </c>
      <c r="F50" t="s">
        <v>652</v>
      </c>
      <c r="G50" t="s">
        <v>1742</v>
      </c>
      <c r="L50">
        <v>2</v>
      </c>
      <c r="M50">
        <v>2</v>
      </c>
      <c r="N50">
        <v>2</v>
      </c>
      <c r="O50">
        <v>2</v>
      </c>
      <c r="Q50">
        <v>18</v>
      </c>
      <c r="S50">
        <v>50</v>
      </c>
      <c r="U50">
        <v>89</v>
      </c>
      <c r="W50">
        <v>121</v>
      </c>
      <c r="Y50">
        <v>119</v>
      </c>
      <c r="AA50">
        <v>47</v>
      </c>
      <c r="AC50">
        <v>17</v>
      </c>
      <c r="AE50">
        <v>12</v>
      </c>
      <c r="CH50" t="str">
        <f t="shared" si="0"/>
        <v>D-0591</v>
      </c>
      <c r="CI50" s="1" t="s">
        <v>102</v>
      </c>
    </row>
    <row r="51" spans="1:87">
      <c r="A51" t="s">
        <v>1757</v>
      </c>
      <c r="B51">
        <v>252</v>
      </c>
      <c r="C51" t="s">
        <v>1746</v>
      </c>
      <c r="D51" t="s">
        <v>410</v>
      </c>
      <c r="E51" t="s">
        <v>629</v>
      </c>
      <c r="F51" t="s">
        <v>652</v>
      </c>
      <c r="G51" t="s">
        <v>1742</v>
      </c>
      <c r="W51">
        <v>12</v>
      </c>
      <c r="X51">
        <v>60</v>
      </c>
      <c r="Y51">
        <v>24</v>
      </c>
      <c r="Z51">
        <v>60</v>
      </c>
      <c r="AA51">
        <v>36</v>
      </c>
      <c r="AB51">
        <v>12</v>
      </c>
      <c r="AC51">
        <v>36</v>
      </c>
      <c r="AD51">
        <v>12</v>
      </c>
      <c r="CH51" t="str">
        <f t="shared" si="0"/>
        <v>D-0591</v>
      </c>
      <c r="CI51" s="1" t="s">
        <v>102</v>
      </c>
    </row>
    <row r="52" spans="1:87">
      <c r="A52" t="s">
        <v>1846</v>
      </c>
      <c r="B52">
        <v>126</v>
      </c>
      <c r="C52" t="s">
        <v>1746</v>
      </c>
      <c r="D52" t="s">
        <v>410</v>
      </c>
      <c r="E52" t="s">
        <v>629</v>
      </c>
      <c r="F52" t="s">
        <v>652</v>
      </c>
      <c r="G52" t="s">
        <v>1742</v>
      </c>
      <c r="S52">
        <v>14</v>
      </c>
      <c r="U52">
        <v>14</v>
      </c>
      <c r="V52">
        <v>28</v>
      </c>
      <c r="X52">
        <v>28</v>
      </c>
      <c r="Z52">
        <v>28</v>
      </c>
      <c r="AA52">
        <v>14</v>
      </c>
      <c r="CH52" t="str">
        <f t="shared" si="0"/>
        <v>D-0591</v>
      </c>
      <c r="CI52" s="1" t="s">
        <v>102</v>
      </c>
    </row>
    <row r="53" spans="1:87">
      <c r="A53" t="s">
        <v>1848</v>
      </c>
      <c r="B53">
        <v>90</v>
      </c>
      <c r="C53" t="s">
        <v>1746</v>
      </c>
      <c r="D53" t="s">
        <v>410</v>
      </c>
      <c r="E53" t="s">
        <v>629</v>
      </c>
      <c r="F53" t="s">
        <v>652</v>
      </c>
      <c r="G53" t="s">
        <v>1742</v>
      </c>
      <c r="S53">
        <v>10</v>
      </c>
      <c r="U53">
        <v>10</v>
      </c>
      <c r="V53">
        <v>20</v>
      </c>
      <c r="X53">
        <v>20</v>
      </c>
      <c r="Z53">
        <v>20</v>
      </c>
      <c r="AA53">
        <v>10</v>
      </c>
      <c r="CH53" t="str">
        <f t="shared" si="0"/>
        <v>D-0591</v>
      </c>
      <c r="CI53" s="1" t="s">
        <v>102</v>
      </c>
    </row>
    <row r="54" spans="1:87">
      <c r="A54" t="s">
        <v>1767</v>
      </c>
      <c r="B54">
        <v>600</v>
      </c>
      <c r="C54" t="s">
        <v>1746</v>
      </c>
      <c r="D54" t="s">
        <v>410</v>
      </c>
      <c r="E54" t="s">
        <v>629</v>
      </c>
      <c r="F54" t="s">
        <v>652</v>
      </c>
      <c r="G54" t="s">
        <v>1742</v>
      </c>
      <c r="L54">
        <v>24</v>
      </c>
      <c r="M54">
        <v>24</v>
      </c>
      <c r="N54">
        <v>24</v>
      </c>
      <c r="O54">
        <v>24</v>
      </c>
      <c r="P54">
        <v>24</v>
      </c>
      <c r="Q54">
        <v>24</v>
      </c>
      <c r="R54">
        <v>24</v>
      </c>
      <c r="S54">
        <v>24</v>
      </c>
      <c r="T54">
        <v>24</v>
      </c>
      <c r="U54">
        <v>24</v>
      </c>
      <c r="V54">
        <v>24</v>
      </c>
      <c r="W54">
        <v>36</v>
      </c>
      <c r="X54">
        <v>36</v>
      </c>
      <c r="Y54">
        <v>36</v>
      </c>
      <c r="Z54">
        <v>48</v>
      </c>
      <c r="AA54">
        <v>48</v>
      </c>
      <c r="AB54">
        <v>48</v>
      </c>
      <c r="AC54">
        <v>36</v>
      </c>
      <c r="AD54">
        <v>24</v>
      </c>
      <c r="AE54">
        <v>24</v>
      </c>
      <c r="AG54">
        <v>24</v>
      </c>
      <c r="CH54" t="str">
        <f t="shared" si="0"/>
        <v>D-0591</v>
      </c>
      <c r="CI54" s="1" t="s">
        <v>102</v>
      </c>
    </row>
    <row r="55" spans="1:87">
      <c r="A55" t="s">
        <v>1788</v>
      </c>
      <c r="B55">
        <v>312</v>
      </c>
      <c r="C55" t="s">
        <v>1746</v>
      </c>
      <c r="D55" t="s">
        <v>410</v>
      </c>
      <c r="E55" t="s">
        <v>629</v>
      </c>
      <c r="F55" t="s">
        <v>652</v>
      </c>
      <c r="G55" t="s">
        <v>1742</v>
      </c>
      <c r="P55">
        <v>120</v>
      </c>
      <c r="R55">
        <v>120</v>
      </c>
      <c r="CH55" t="str">
        <f t="shared" si="0"/>
        <v>D-0591</v>
      </c>
      <c r="CI55" s="1" t="s">
        <v>102</v>
      </c>
    </row>
    <row r="56" spans="1:87">
      <c r="A56" t="s">
        <v>1944</v>
      </c>
      <c r="B56">
        <v>90</v>
      </c>
      <c r="C56" t="s">
        <v>1746</v>
      </c>
      <c r="D56" t="s">
        <v>410</v>
      </c>
      <c r="E56" t="s">
        <v>629</v>
      </c>
      <c r="F56" t="s">
        <v>652</v>
      </c>
      <c r="G56" t="s">
        <v>1742</v>
      </c>
      <c r="L56">
        <v>2</v>
      </c>
      <c r="M56">
        <v>2</v>
      </c>
      <c r="N56">
        <v>2</v>
      </c>
      <c r="O56">
        <v>2</v>
      </c>
      <c r="P56">
        <v>2</v>
      </c>
      <c r="Q56">
        <v>2</v>
      </c>
      <c r="R56">
        <v>2</v>
      </c>
      <c r="S56">
        <v>3</v>
      </c>
      <c r="T56">
        <v>3</v>
      </c>
      <c r="U56">
        <v>6</v>
      </c>
      <c r="V56">
        <v>3</v>
      </c>
      <c r="W56">
        <v>8</v>
      </c>
      <c r="X56">
        <v>9</v>
      </c>
      <c r="Y56">
        <v>8</v>
      </c>
      <c r="Z56">
        <v>9</v>
      </c>
      <c r="AA56">
        <v>9</v>
      </c>
      <c r="AB56">
        <v>7</v>
      </c>
      <c r="AC56">
        <v>9</v>
      </c>
      <c r="AE56">
        <v>5</v>
      </c>
      <c r="AG56">
        <v>2</v>
      </c>
      <c r="CH56" t="str">
        <f t="shared" si="0"/>
        <v>D-0591</v>
      </c>
      <c r="CI56" s="1" t="s">
        <v>102</v>
      </c>
    </row>
    <row r="57" spans="1:87">
      <c r="A57" t="s">
        <v>1781</v>
      </c>
      <c r="B57">
        <v>318</v>
      </c>
      <c r="C57" t="s">
        <v>1746</v>
      </c>
      <c r="D57" t="s">
        <v>410</v>
      </c>
      <c r="E57" t="s">
        <v>629</v>
      </c>
      <c r="F57" t="s">
        <v>652</v>
      </c>
      <c r="G57" t="s">
        <v>1742</v>
      </c>
      <c r="L57">
        <v>53</v>
      </c>
      <c r="M57">
        <v>53</v>
      </c>
      <c r="N57">
        <v>53</v>
      </c>
      <c r="O57">
        <v>53</v>
      </c>
      <c r="P57">
        <v>106</v>
      </c>
      <c r="R57">
        <v>106</v>
      </c>
      <c r="T57">
        <v>53</v>
      </c>
      <c r="CH57" t="str">
        <f t="shared" si="0"/>
        <v>D-0591</v>
      </c>
      <c r="CI57" s="1" t="s">
        <v>102</v>
      </c>
    </row>
    <row r="58" spans="1:87">
      <c r="A58" t="s">
        <v>1790</v>
      </c>
      <c r="B58">
        <v>336</v>
      </c>
      <c r="C58" t="s">
        <v>1746</v>
      </c>
      <c r="D58" t="s">
        <v>410</v>
      </c>
      <c r="E58" t="s">
        <v>629</v>
      </c>
      <c r="F58" t="s">
        <v>652</v>
      </c>
      <c r="G58" t="s">
        <v>1742</v>
      </c>
      <c r="L58">
        <v>12</v>
      </c>
      <c r="M58">
        <v>12</v>
      </c>
      <c r="N58">
        <v>12</v>
      </c>
      <c r="O58">
        <v>12</v>
      </c>
      <c r="P58">
        <v>48</v>
      </c>
      <c r="Q58">
        <v>48</v>
      </c>
      <c r="R58">
        <v>60</v>
      </c>
      <c r="S58">
        <v>72</v>
      </c>
      <c r="T58">
        <v>60</v>
      </c>
      <c r="U58">
        <v>36</v>
      </c>
      <c r="CH58" t="str">
        <f t="shared" si="0"/>
        <v>D-0591</v>
      </c>
      <c r="CI58" s="1" t="s">
        <v>102</v>
      </c>
    </row>
    <row r="59" spans="1:87">
      <c r="A59" t="s">
        <v>1778</v>
      </c>
      <c r="B59">
        <v>204</v>
      </c>
      <c r="C59" t="s">
        <v>1746</v>
      </c>
      <c r="D59" t="s">
        <v>410</v>
      </c>
      <c r="E59" t="s">
        <v>629</v>
      </c>
      <c r="F59" t="s">
        <v>652</v>
      </c>
      <c r="G59" t="s">
        <v>1742</v>
      </c>
      <c r="P59">
        <v>24</v>
      </c>
      <c r="Q59">
        <v>24</v>
      </c>
      <c r="R59">
        <v>48</v>
      </c>
      <c r="S59">
        <v>48</v>
      </c>
      <c r="T59">
        <v>36</v>
      </c>
      <c r="U59">
        <v>24</v>
      </c>
      <c r="CH59" t="str">
        <f t="shared" si="0"/>
        <v>D-0591</v>
      </c>
      <c r="CI59" s="1" t="s">
        <v>102</v>
      </c>
    </row>
    <row r="60" spans="1:87">
      <c r="A60" t="s">
        <v>1911</v>
      </c>
      <c r="B60">
        <v>468</v>
      </c>
      <c r="C60" t="s">
        <v>1746</v>
      </c>
      <c r="D60" t="s">
        <v>410</v>
      </c>
      <c r="E60" t="s">
        <v>629</v>
      </c>
      <c r="F60" t="s">
        <v>652</v>
      </c>
      <c r="G60" t="s">
        <v>1742</v>
      </c>
      <c r="L60">
        <v>12</v>
      </c>
      <c r="M60">
        <v>12</v>
      </c>
      <c r="N60">
        <v>12</v>
      </c>
      <c r="O60">
        <v>12</v>
      </c>
      <c r="P60">
        <v>24</v>
      </c>
      <c r="Q60">
        <v>12</v>
      </c>
      <c r="R60">
        <v>24</v>
      </c>
      <c r="S60">
        <v>36</v>
      </c>
      <c r="T60">
        <v>12</v>
      </c>
      <c r="U60">
        <v>60</v>
      </c>
      <c r="V60">
        <v>72</v>
      </c>
      <c r="W60">
        <v>24</v>
      </c>
      <c r="X60">
        <v>72</v>
      </c>
      <c r="Y60">
        <v>24</v>
      </c>
      <c r="Z60">
        <v>48</v>
      </c>
      <c r="AA60">
        <v>12</v>
      </c>
      <c r="AC60">
        <v>12</v>
      </c>
      <c r="CH60" t="str">
        <f t="shared" si="0"/>
        <v>D-0591</v>
      </c>
      <c r="CI60" s="1" t="s">
        <v>102</v>
      </c>
    </row>
    <row r="61" spans="1:87">
      <c r="A61" t="s">
        <v>1760</v>
      </c>
      <c r="B61">
        <v>24</v>
      </c>
      <c r="C61" t="s">
        <v>1746</v>
      </c>
      <c r="D61" t="s">
        <v>410</v>
      </c>
      <c r="E61" t="s">
        <v>629</v>
      </c>
      <c r="F61" t="s">
        <v>652</v>
      </c>
      <c r="G61" t="s">
        <v>1742</v>
      </c>
      <c r="U61">
        <v>2</v>
      </c>
      <c r="V61">
        <v>2</v>
      </c>
      <c r="X61">
        <v>4</v>
      </c>
      <c r="Y61">
        <v>4</v>
      </c>
      <c r="Z61">
        <v>6</v>
      </c>
      <c r="AA61">
        <v>4</v>
      </c>
      <c r="AC61">
        <v>2</v>
      </c>
      <c r="CH61" t="str">
        <f t="shared" si="0"/>
        <v>D-0591</v>
      </c>
      <c r="CI61" s="1" t="s">
        <v>102</v>
      </c>
    </row>
    <row r="62" spans="1:87">
      <c r="A62" t="s">
        <v>1923</v>
      </c>
      <c r="B62">
        <v>240</v>
      </c>
      <c r="C62" t="s">
        <v>1746</v>
      </c>
      <c r="D62" t="s">
        <v>410</v>
      </c>
      <c r="E62" t="s">
        <v>629</v>
      </c>
      <c r="F62" t="s">
        <v>652</v>
      </c>
      <c r="G62" t="s">
        <v>1742</v>
      </c>
      <c r="L62">
        <v>12</v>
      </c>
      <c r="M62">
        <v>12</v>
      </c>
      <c r="N62">
        <v>12</v>
      </c>
      <c r="O62">
        <v>12</v>
      </c>
      <c r="Q62">
        <v>12</v>
      </c>
      <c r="T62">
        <v>12</v>
      </c>
      <c r="U62">
        <v>12</v>
      </c>
      <c r="V62">
        <v>24</v>
      </c>
      <c r="W62">
        <v>24</v>
      </c>
      <c r="X62">
        <v>48</v>
      </c>
      <c r="Y62">
        <v>36</v>
      </c>
      <c r="Z62">
        <v>36</v>
      </c>
      <c r="AA62">
        <v>12</v>
      </c>
      <c r="AB62">
        <v>12</v>
      </c>
      <c r="CH62" t="str">
        <f t="shared" si="0"/>
        <v>D-0591</v>
      </c>
      <c r="CI62" s="1" t="s">
        <v>102</v>
      </c>
    </row>
    <row r="63" spans="1:87">
      <c r="A63" t="s">
        <v>1774</v>
      </c>
      <c r="B63">
        <v>264</v>
      </c>
      <c r="C63" t="s">
        <v>1746</v>
      </c>
      <c r="D63" t="s">
        <v>410</v>
      </c>
      <c r="E63" t="s">
        <v>629</v>
      </c>
      <c r="F63" t="s">
        <v>652</v>
      </c>
      <c r="G63" t="s">
        <v>1742</v>
      </c>
      <c r="L63">
        <v>24</v>
      </c>
      <c r="M63">
        <v>24</v>
      </c>
      <c r="N63">
        <v>24</v>
      </c>
      <c r="O63">
        <v>24</v>
      </c>
      <c r="P63">
        <v>60</v>
      </c>
      <c r="R63">
        <v>108</v>
      </c>
      <c r="T63">
        <v>72</v>
      </c>
      <c r="CH63" t="str">
        <f t="shared" si="0"/>
        <v>D-0591</v>
      </c>
      <c r="CI63" s="1" t="s">
        <v>102</v>
      </c>
    </row>
    <row r="64" spans="1:87">
      <c r="A64" t="s">
        <v>2231</v>
      </c>
      <c r="B64">
        <v>16</v>
      </c>
      <c r="C64" t="s">
        <v>1746</v>
      </c>
      <c r="D64" t="s">
        <v>410</v>
      </c>
      <c r="E64" t="s">
        <v>629</v>
      </c>
      <c r="F64" t="s">
        <v>652</v>
      </c>
      <c r="G64" t="s">
        <v>1742</v>
      </c>
      <c r="V64">
        <v>8</v>
      </c>
      <c r="X64">
        <v>8</v>
      </c>
      <c r="CH64" t="str">
        <f t="shared" si="0"/>
        <v>D-0591</v>
      </c>
      <c r="CI64" s="1" t="s">
        <v>102</v>
      </c>
    </row>
    <row r="65" spans="1:87">
      <c r="A65" t="s">
        <v>2232</v>
      </c>
      <c r="B65">
        <v>12</v>
      </c>
      <c r="C65" t="s">
        <v>1746</v>
      </c>
      <c r="D65" t="s">
        <v>410</v>
      </c>
      <c r="E65" t="s">
        <v>629</v>
      </c>
      <c r="F65" t="s">
        <v>652</v>
      </c>
      <c r="G65" t="s">
        <v>1742</v>
      </c>
      <c r="V65">
        <v>6</v>
      </c>
      <c r="X65">
        <v>6</v>
      </c>
      <c r="CH65" t="str">
        <f t="shared" si="0"/>
        <v>D-0591</v>
      </c>
      <c r="CI65" s="1" t="s">
        <v>102</v>
      </c>
    </row>
    <row r="66" spans="1:87">
      <c r="A66" t="s">
        <v>2230</v>
      </c>
      <c r="B66">
        <v>10</v>
      </c>
      <c r="C66" t="s">
        <v>1746</v>
      </c>
      <c r="D66" t="s">
        <v>410</v>
      </c>
      <c r="E66" t="s">
        <v>629</v>
      </c>
      <c r="F66" t="s">
        <v>652</v>
      </c>
      <c r="G66" t="s">
        <v>1742</v>
      </c>
      <c r="V66">
        <v>5</v>
      </c>
      <c r="X66">
        <v>5</v>
      </c>
      <c r="CH66" t="str">
        <f t="shared" ref="CH66:CH129" si="1">TRIM(IFERROR(IFERROR(MID($D66,FIND("(D-",$D66)+1,6),LEFT($D66,FIND("(",$D66)-1)),$D66))</f>
        <v>D-0591</v>
      </c>
      <c r="CI66" s="1" t="s">
        <v>102</v>
      </c>
    </row>
    <row r="67" spans="1:87">
      <c r="A67" t="s">
        <v>1779</v>
      </c>
      <c r="B67">
        <v>288</v>
      </c>
      <c r="C67" t="s">
        <v>1746</v>
      </c>
      <c r="D67" t="s">
        <v>410</v>
      </c>
      <c r="E67" t="s">
        <v>629</v>
      </c>
      <c r="F67" t="s">
        <v>652</v>
      </c>
      <c r="G67" t="s">
        <v>1742</v>
      </c>
      <c r="W67">
        <v>36</v>
      </c>
      <c r="X67">
        <v>24</v>
      </c>
      <c r="Y67">
        <v>48</v>
      </c>
      <c r="Z67">
        <v>36</v>
      </c>
      <c r="AA67">
        <v>48</v>
      </c>
      <c r="AB67">
        <v>24</v>
      </c>
      <c r="AC67">
        <v>48</v>
      </c>
      <c r="AD67">
        <v>24</v>
      </c>
      <c r="CH67" t="str">
        <f t="shared" si="1"/>
        <v>D-0591</v>
      </c>
      <c r="CI67" s="1" t="s">
        <v>102</v>
      </c>
    </row>
    <row r="68" spans="1:87">
      <c r="A68" t="s">
        <v>1943</v>
      </c>
      <c r="B68">
        <v>35</v>
      </c>
      <c r="C68" t="s">
        <v>1746</v>
      </c>
      <c r="D68" t="s">
        <v>410</v>
      </c>
      <c r="E68" t="s">
        <v>629</v>
      </c>
      <c r="F68" t="s">
        <v>652</v>
      </c>
      <c r="G68" t="s">
        <v>1742</v>
      </c>
      <c r="U68">
        <v>3</v>
      </c>
      <c r="V68">
        <v>6</v>
      </c>
      <c r="X68">
        <v>6</v>
      </c>
      <c r="Y68">
        <v>3</v>
      </c>
      <c r="Z68">
        <v>6</v>
      </c>
      <c r="AA68">
        <v>6</v>
      </c>
      <c r="AC68">
        <v>3</v>
      </c>
      <c r="AD68">
        <v>2</v>
      </c>
      <c r="CH68" t="str">
        <f t="shared" si="1"/>
        <v>D-0591</v>
      </c>
      <c r="CI68" s="1" t="s">
        <v>102</v>
      </c>
    </row>
    <row r="69" spans="1:87">
      <c r="A69" t="s">
        <v>1958</v>
      </c>
      <c r="B69">
        <v>171</v>
      </c>
      <c r="C69" t="s">
        <v>1746</v>
      </c>
      <c r="D69" t="s">
        <v>410</v>
      </c>
      <c r="E69" t="s">
        <v>629</v>
      </c>
      <c r="F69" t="s">
        <v>652</v>
      </c>
      <c r="G69" t="s">
        <v>1742</v>
      </c>
      <c r="S69">
        <v>19</v>
      </c>
      <c r="U69">
        <v>19</v>
      </c>
      <c r="V69">
        <v>38</v>
      </c>
      <c r="X69">
        <v>38</v>
      </c>
      <c r="Z69">
        <v>38</v>
      </c>
      <c r="AA69">
        <v>19</v>
      </c>
      <c r="CH69" t="str">
        <f t="shared" si="1"/>
        <v>D-0591</v>
      </c>
      <c r="CI69" s="1" t="s">
        <v>102</v>
      </c>
    </row>
    <row r="70" spans="1:87">
      <c r="A70" t="s">
        <v>1792</v>
      </c>
      <c r="B70">
        <v>204</v>
      </c>
      <c r="C70" t="s">
        <v>1746</v>
      </c>
      <c r="D70" t="s">
        <v>410</v>
      </c>
      <c r="E70" t="s">
        <v>629</v>
      </c>
      <c r="F70" t="s">
        <v>652</v>
      </c>
      <c r="G70" t="s">
        <v>1742</v>
      </c>
      <c r="W70">
        <v>24</v>
      </c>
      <c r="X70">
        <v>12</v>
      </c>
      <c r="Y70">
        <v>24</v>
      </c>
      <c r="Z70">
        <v>24</v>
      </c>
      <c r="AA70">
        <v>36</v>
      </c>
      <c r="AB70">
        <v>24</v>
      </c>
      <c r="AC70">
        <v>36</v>
      </c>
      <c r="AD70">
        <v>24</v>
      </c>
      <c r="CH70" t="str">
        <f t="shared" si="1"/>
        <v>D-0591</v>
      </c>
      <c r="CI70" s="1" t="s">
        <v>102</v>
      </c>
    </row>
    <row r="71" spans="1:87">
      <c r="A71" t="s">
        <v>1793</v>
      </c>
      <c r="B71">
        <v>2088</v>
      </c>
      <c r="C71" t="s">
        <v>1746</v>
      </c>
      <c r="D71" t="s">
        <v>410</v>
      </c>
      <c r="E71" t="s">
        <v>629</v>
      </c>
      <c r="F71" t="s">
        <v>652</v>
      </c>
      <c r="G71" t="s">
        <v>1742</v>
      </c>
      <c r="W71">
        <v>348</v>
      </c>
      <c r="X71">
        <v>348</v>
      </c>
      <c r="Y71">
        <v>348</v>
      </c>
      <c r="Z71">
        <v>348</v>
      </c>
      <c r="AA71">
        <v>348</v>
      </c>
      <c r="AC71">
        <v>348</v>
      </c>
      <c r="CH71" t="str">
        <f t="shared" si="1"/>
        <v>D-0591</v>
      </c>
      <c r="CI71" s="1" t="s">
        <v>102</v>
      </c>
    </row>
    <row r="72" spans="1:87">
      <c r="A72" t="s">
        <v>1859</v>
      </c>
      <c r="B72">
        <v>180</v>
      </c>
      <c r="C72" t="s">
        <v>1746</v>
      </c>
      <c r="D72" t="s">
        <v>410</v>
      </c>
      <c r="E72" t="s">
        <v>629</v>
      </c>
      <c r="F72" t="s">
        <v>652</v>
      </c>
      <c r="G72" t="s">
        <v>1742</v>
      </c>
      <c r="U72">
        <v>15</v>
      </c>
      <c r="V72">
        <v>30</v>
      </c>
      <c r="W72">
        <v>30</v>
      </c>
      <c r="X72">
        <v>30</v>
      </c>
      <c r="Y72">
        <v>30</v>
      </c>
      <c r="Z72">
        <v>15</v>
      </c>
      <c r="AA72">
        <v>15</v>
      </c>
      <c r="AB72">
        <v>15</v>
      </c>
      <c r="CH72" t="str">
        <f t="shared" si="1"/>
        <v>D-0591</v>
      </c>
      <c r="CI72" s="1" t="s">
        <v>102</v>
      </c>
    </row>
    <row r="73" spans="1:87">
      <c r="A73" t="s">
        <v>1752</v>
      </c>
      <c r="B73">
        <v>5400</v>
      </c>
      <c r="C73" t="s">
        <v>1746</v>
      </c>
      <c r="D73" t="s">
        <v>410</v>
      </c>
      <c r="E73" t="s">
        <v>629</v>
      </c>
      <c r="F73" t="s">
        <v>652</v>
      </c>
      <c r="G73" t="s">
        <v>1742</v>
      </c>
      <c r="L73">
        <v>120</v>
      </c>
      <c r="M73">
        <v>120</v>
      </c>
      <c r="N73">
        <v>120</v>
      </c>
      <c r="O73">
        <v>120</v>
      </c>
      <c r="P73">
        <v>108</v>
      </c>
      <c r="Q73">
        <v>276</v>
      </c>
      <c r="R73">
        <v>240</v>
      </c>
      <c r="S73">
        <v>456</v>
      </c>
      <c r="T73">
        <v>180</v>
      </c>
      <c r="U73">
        <v>480</v>
      </c>
      <c r="V73">
        <v>348</v>
      </c>
      <c r="W73">
        <v>300</v>
      </c>
      <c r="X73">
        <v>540</v>
      </c>
      <c r="Y73">
        <v>432</v>
      </c>
      <c r="Z73">
        <v>564</v>
      </c>
      <c r="AA73">
        <v>492</v>
      </c>
      <c r="AB73">
        <v>156</v>
      </c>
      <c r="AC73">
        <v>360</v>
      </c>
      <c r="AD73">
        <v>192</v>
      </c>
      <c r="AE73">
        <v>48</v>
      </c>
      <c r="CH73" t="str">
        <f t="shared" si="1"/>
        <v>D-0591</v>
      </c>
      <c r="CI73" s="1" t="s">
        <v>102</v>
      </c>
    </row>
    <row r="74" spans="1:87">
      <c r="A74" t="s">
        <v>1493</v>
      </c>
      <c r="B74">
        <v>267</v>
      </c>
      <c r="C74" t="s">
        <v>1494</v>
      </c>
      <c r="D74" t="s">
        <v>142</v>
      </c>
      <c r="E74" t="s">
        <v>629</v>
      </c>
      <c r="F74" t="s">
        <v>1467</v>
      </c>
      <c r="G74" t="s">
        <v>1495</v>
      </c>
      <c r="X74">
        <v>267</v>
      </c>
      <c r="CH74" t="str">
        <f t="shared" si="1"/>
        <v>D-0077</v>
      </c>
      <c r="CI74" s="1" t="s">
        <v>102</v>
      </c>
    </row>
    <row r="75" spans="1:87">
      <c r="A75" t="s">
        <v>1508</v>
      </c>
      <c r="B75">
        <v>334</v>
      </c>
      <c r="C75" t="s">
        <v>1494</v>
      </c>
      <c r="D75" t="s">
        <v>142</v>
      </c>
      <c r="E75" t="s">
        <v>629</v>
      </c>
      <c r="F75" t="s">
        <v>1467</v>
      </c>
      <c r="G75" t="s">
        <v>1495</v>
      </c>
      <c r="Z75">
        <v>334</v>
      </c>
      <c r="CH75" t="str">
        <f t="shared" si="1"/>
        <v>D-0077</v>
      </c>
      <c r="CI75" s="1" t="s">
        <v>102</v>
      </c>
    </row>
    <row r="76" spans="1:87">
      <c r="A76" t="s">
        <v>1509</v>
      </c>
      <c r="B76">
        <v>269</v>
      </c>
      <c r="C76" t="s">
        <v>1494</v>
      </c>
      <c r="D76" t="s">
        <v>142</v>
      </c>
      <c r="E76" t="s">
        <v>629</v>
      </c>
      <c r="F76" t="s">
        <v>1467</v>
      </c>
      <c r="G76" t="s">
        <v>1495</v>
      </c>
      <c r="AA76">
        <v>269</v>
      </c>
      <c r="CH76" t="str">
        <f t="shared" si="1"/>
        <v>D-0077</v>
      </c>
      <c r="CI76" s="1" t="s">
        <v>102</v>
      </c>
    </row>
    <row r="77" spans="1:87">
      <c r="A77" t="s">
        <v>1525</v>
      </c>
      <c r="B77">
        <v>3796</v>
      </c>
      <c r="C77" t="s">
        <v>1523</v>
      </c>
      <c r="D77" t="s">
        <v>413</v>
      </c>
      <c r="E77" t="s">
        <v>642</v>
      </c>
      <c r="F77" t="s">
        <v>657</v>
      </c>
      <c r="G77" t="s">
        <v>1155</v>
      </c>
      <c r="P77">
        <v>25</v>
      </c>
      <c r="Q77">
        <v>73</v>
      </c>
      <c r="R77">
        <v>175</v>
      </c>
      <c r="S77">
        <v>294</v>
      </c>
      <c r="T77">
        <v>339</v>
      </c>
      <c r="U77">
        <v>354</v>
      </c>
      <c r="V77">
        <v>332</v>
      </c>
      <c r="W77">
        <v>322</v>
      </c>
      <c r="X77">
        <v>243</v>
      </c>
      <c r="Y77">
        <v>202</v>
      </c>
      <c r="Z77">
        <v>154</v>
      </c>
      <c r="AA77">
        <v>226</v>
      </c>
      <c r="AB77">
        <v>210</v>
      </c>
      <c r="AC77">
        <v>211</v>
      </c>
      <c r="AD77">
        <v>168</v>
      </c>
      <c r="AE77">
        <v>111</v>
      </c>
      <c r="AF77">
        <v>96</v>
      </c>
      <c r="AG77">
        <v>94</v>
      </c>
      <c r="AH77">
        <v>11</v>
      </c>
      <c r="AI77">
        <v>78</v>
      </c>
      <c r="AK77">
        <v>78</v>
      </c>
      <c r="CH77" t="str">
        <f t="shared" si="1"/>
        <v>D-0594</v>
      </c>
      <c r="CI77" s="1" t="s">
        <v>102</v>
      </c>
    </row>
    <row r="78" spans="1:87">
      <c r="A78" t="s">
        <v>1592</v>
      </c>
      <c r="B78">
        <v>60</v>
      </c>
      <c r="C78" t="s">
        <v>1587</v>
      </c>
      <c r="D78" t="s">
        <v>282</v>
      </c>
      <c r="E78" t="s">
        <v>639</v>
      </c>
      <c r="F78" t="s">
        <v>699</v>
      </c>
      <c r="G78" t="s">
        <v>749</v>
      </c>
      <c r="CH78" t="str">
        <f t="shared" si="1"/>
        <v>D-0390</v>
      </c>
      <c r="CI78" s="1" t="s">
        <v>102</v>
      </c>
    </row>
    <row r="79" spans="1:87">
      <c r="A79" t="s">
        <v>2161</v>
      </c>
      <c r="B79">
        <v>120</v>
      </c>
      <c r="C79" t="s">
        <v>2155</v>
      </c>
      <c r="D79" t="s">
        <v>133</v>
      </c>
      <c r="E79" t="s">
        <v>629</v>
      </c>
      <c r="F79" t="s">
        <v>635</v>
      </c>
      <c r="G79" t="s">
        <v>2156</v>
      </c>
      <c r="L79">
        <v>10</v>
      </c>
      <c r="M79">
        <v>10</v>
      </c>
      <c r="N79">
        <v>10</v>
      </c>
      <c r="O79">
        <v>10</v>
      </c>
      <c r="P79">
        <v>10</v>
      </c>
      <c r="Q79">
        <v>20</v>
      </c>
      <c r="R79">
        <v>20</v>
      </c>
      <c r="S79">
        <v>10</v>
      </c>
      <c r="T79">
        <v>20</v>
      </c>
      <c r="U79">
        <v>10</v>
      </c>
      <c r="CH79" t="str">
        <f t="shared" si="1"/>
        <v>D-0036</v>
      </c>
      <c r="CI79" s="1" t="s">
        <v>102</v>
      </c>
    </row>
    <row r="80" spans="1:87">
      <c r="A80" t="s">
        <v>2158</v>
      </c>
      <c r="B80">
        <v>312</v>
      </c>
      <c r="C80" t="s">
        <v>2155</v>
      </c>
      <c r="D80" t="s">
        <v>133</v>
      </c>
      <c r="E80" t="s">
        <v>629</v>
      </c>
      <c r="F80" t="s">
        <v>635</v>
      </c>
      <c r="G80" t="s">
        <v>2156</v>
      </c>
      <c r="L80">
        <v>48</v>
      </c>
      <c r="M80">
        <v>48</v>
      </c>
      <c r="N80">
        <v>48</v>
      </c>
      <c r="O80">
        <v>48</v>
      </c>
      <c r="P80">
        <v>24</v>
      </c>
      <c r="Q80">
        <v>60</v>
      </c>
      <c r="R80">
        <v>60</v>
      </c>
      <c r="S80">
        <v>24</v>
      </c>
      <c r="T80">
        <v>36</v>
      </c>
      <c r="U80">
        <v>12</v>
      </c>
      <c r="CH80" t="str">
        <f t="shared" si="1"/>
        <v>D-0036</v>
      </c>
      <c r="CI80" s="1" t="s">
        <v>102</v>
      </c>
    </row>
    <row r="81" spans="1:87">
      <c r="A81" t="s">
        <v>2160</v>
      </c>
      <c r="B81">
        <v>156</v>
      </c>
      <c r="C81" t="s">
        <v>2155</v>
      </c>
      <c r="D81" t="s">
        <v>133</v>
      </c>
      <c r="E81" t="s">
        <v>629</v>
      </c>
      <c r="F81" t="s">
        <v>635</v>
      </c>
      <c r="G81" t="s">
        <v>2156</v>
      </c>
      <c r="L81">
        <v>24</v>
      </c>
      <c r="M81">
        <v>24</v>
      </c>
      <c r="N81">
        <v>24</v>
      </c>
      <c r="O81">
        <v>24</v>
      </c>
      <c r="P81">
        <v>24</v>
      </c>
      <c r="Q81">
        <v>24</v>
      </c>
      <c r="R81">
        <v>24</v>
      </c>
      <c r="S81">
        <v>12</v>
      </c>
      <c r="T81">
        <v>12</v>
      </c>
      <c r="U81">
        <v>12</v>
      </c>
      <c r="CH81" t="str">
        <f t="shared" si="1"/>
        <v>D-0036</v>
      </c>
      <c r="CI81" s="1" t="s">
        <v>102</v>
      </c>
    </row>
    <row r="82" spans="1:87">
      <c r="A82" t="s">
        <v>2270</v>
      </c>
      <c r="B82">
        <v>322</v>
      </c>
      <c r="C82" t="s">
        <v>2271</v>
      </c>
      <c r="D82" t="s">
        <v>256</v>
      </c>
      <c r="E82" t="s">
        <v>629</v>
      </c>
      <c r="F82" t="s">
        <v>2272</v>
      </c>
      <c r="G82" t="s">
        <v>2273</v>
      </c>
      <c r="L82">
        <v>13</v>
      </c>
      <c r="M82">
        <v>13</v>
      </c>
      <c r="N82">
        <v>13</v>
      </c>
      <c r="O82">
        <v>13</v>
      </c>
      <c r="P82">
        <v>27</v>
      </c>
      <c r="Q82">
        <v>39</v>
      </c>
      <c r="R82">
        <v>27</v>
      </c>
      <c r="S82">
        <v>46</v>
      </c>
      <c r="T82">
        <v>57</v>
      </c>
      <c r="U82">
        <v>56</v>
      </c>
      <c r="V82">
        <v>21</v>
      </c>
      <c r="Y82">
        <v>19</v>
      </c>
      <c r="AA82">
        <v>17</v>
      </c>
      <c r="CH82" t="str">
        <f t="shared" si="1"/>
        <v>D-0275</v>
      </c>
      <c r="CI82" s="1" t="s">
        <v>102</v>
      </c>
    </row>
    <row r="83" spans="1:87">
      <c r="A83" t="s">
        <v>2157</v>
      </c>
      <c r="B83">
        <v>144</v>
      </c>
      <c r="C83" t="s">
        <v>2155</v>
      </c>
      <c r="D83" t="s">
        <v>133</v>
      </c>
      <c r="E83" t="s">
        <v>629</v>
      </c>
      <c r="F83" t="s">
        <v>635</v>
      </c>
      <c r="G83" t="s">
        <v>2156</v>
      </c>
      <c r="L83">
        <v>24</v>
      </c>
      <c r="M83">
        <v>24</v>
      </c>
      <c r="N83">
        <v>24</v>
      </c>
      <c r="O83">
        <v>24</v>
      </c>
      <c r="P83">
        <v>12</v>
      </c>
      <c r="Q83">
        <v>24</v>
      </c>
      <c r="R83">
        <v>24</v>
      </c>
      <c r="S83">
        <v>12</v>
      </c>
      <c r="T83">
        <v>12</v>
      </c>
      <c r="U83">
        <v>12</v>
      </c>
      <c r="CH83" t="str">
        <f t="shared" si="1"/>
        <v>D-0036</v>
      </c>
      <c r="CI83" s="1" t="s">
        <v>102</v>
      </c>
    </row>
    <row r="84" spans="1:87">
      <c r="A84" t="s">
        <v>1519</v>
      </c>
      <c r="B84">
        <v>100</v>
      </c>
      <c r="C84" t="s">
        <v>1520</v>
      </c>
      <c r="D84" t="s">
        <v>413</v>
      </c>
      <c r="E84" t="s">
        <v>642</v>
      </c>
      <c r="F84" t="s">
        <v>657</v>
      </c>
      <c r="G84" t="s">
        <v>1155</v>
      </c>
      <c r="P84">
        <v>3</v>
      </c>
      <c r="Q84">
        <v>3</v>
      </c>
      <c r="R84">
        <v>5</v>
      </c>
      <c r="S84">
        <v>5</v>
      </c>
      <c r="T84">
        <v>8</v>
      </c>
      <c r="U84">
        <v>8</v>
      </c>
      <c r="V84">
        <v>7</v>
      </c>
      <c r="W84">
        <v>7</v>
      </c>
      <c r="X84">
        <v>7</v>
      </c>
      <c r="Y84">
        <v>7</v>
      </c>
      <c r="Z84">
        <v>7</v>
      </c>
      <c r="AA84">
        <v>7</v>
      </c>
      <c r="AB84">
        <v>5</v>
      </c>
      <c r="AC84">
        <v>5</v>
      </c>
      <c r="AD84">
        <v>5</v>
      </c>
      <c r="AE84">
        <v>3</v>
      </c>
      <c r="AF84">
        <v>3</v>
      </c>
      <c r="AG84">
        <v>2</v>
      </c>
      <c r="AH84">
        <v>2</v>
      </c>
      <c r="AI84">
        <v>1</v>
      </c>
      <c r="CH84" t="str">
        <f t="shared" si="1"/>
        <v>D-0594</v>
      </c>
      <c r="CI84" s="1" t="s">
        <v>102</v>
      </c>
    </row>
    <row r="85" spans="1:87">
      <c r="A85" t="s">
        <v>1745</v>
      </c>
      <c r="B85">
        <v>468</v>
      </c>
      <c r="C85" t="s">
        <v>1743</v>
      </c>
      <c r="D85" t="s">
        <v>261</v>
      </c>
      <c r="E85" t="s">
        <v>629</v>
      </c>
      <c r="F85" t="s">
        <v>652</v>
      </c>
      <c r="G85" t="s">
        <v>1556</v>
      </c>
      <c r="T85">
        <v>52</v>
      </c>
      <c r="U85">
        <v>52</v>
      </c>
      <c r="W85">
        <v>156</v>
      </c>
      <c r="Y85">
        <v>104</v>
      </c>
      <c r="Z85">
        <v>52</v>
      </c>
      <c r="AB85">
        <v>52</v>
      </c>
      <c r="CH85" t="str">
        <f t="shared" si="1"/>
        <v>D-0310</v>
      </c>
      <c r="CI85" s="1" t="s">
        <v>102</v>
      </c>
    </row>
    <row r="86" spans="1:87">
      <c r="A86" t="s">
        <v>3246</v>
      </c>
      <c r="B86">
        <v>3206</v>
      </c>
      <c r="C86" t="s">
        <v>753</v>
      </c>
      <c r="D86" t="s">
        <v>308</v>
      </c>
      <c r="E86" t="s">
        <v>629</v>
      </c>
      <c r="F86" t="s">
        <v>633</v>
      </c>
      <c r="G86" t="s">
        <v>3247</v>
      </c>
      <c r="L86">
        <v>143</v>
      </c>
      <c r="M86">
        <v>143</v>
      </c>
      <c r="N86">
        <v>143</v>
      </c>
      <c r="O86">
        <v>143</v>
      </c>
      <c r="P86">
        <v>189</v>
      </c>
      <c r="Q86">
        <v>339</v>
      </c>
      <c r="R86">
        <v>380</v>
      </c>
      <c r="S86">
        <v>509</v>
      </c>
      <c r="T86">
        <v>433</v>
      </c>
      <c r="U86">
        <v>425</v>
      </c>
      <c r="V86">
        <v>255</v>
      </c>
      <c r="W86">
        <v>223</v>
      </c>
      <c r="X86">
        <v>61</v>
      </c>
      <c r="Y86">
        <v>97</v>
      </c>
      <c r="Z86">
        <v>20</v>
      </c>
      <c r="AA86">
        <v>34</v>
      </c>
      <c r="CH86" t="str">
        <f t="shared" si="1"/>
        <v>D-0454</v>
      </c>
      <c r="CI86" s="1" t="s">
        <v>102</v>
      </c>
    </row>
    <row r="87" spans="1:87">
      <c r="A87" t="s">
        <v>2063</v>
      </c>
      <c r="B87">
        <v>120</v>
      </c>
      <c r="C87" t="s">
        <v>2061</v>
      </c>
      <c r="D87" t="s">
        <v>304</v>
      </c>
      <c r="E87" t="s">
        <v>629</v>
      </c>
      <c r="F87" t="s">
        <v>2046</v>
      </c>
      <c r="G87" t="s">
        <v>2062</v>
      </c>
      <c r="V87">
        <v>20</v>
      </c>
      <c r="W87">
        <v>10</v>
      </c>
      <c r="X87">
        <v>20</v>
      </c>
      <c r="Y87">
        <v>20</v>
      </c>
      <c r="Z87">
        <v>20</v>
      </c>
      <c r="AA87">
        <v>10</v>
      </c>
      <c r="AB87">
        <v>10</v>
      </c>
      <c r="AD87">
        <v>10</v>
      </c>
      <c r="CH87" t="str">
        <f t="shared" si="1"/>
        <v>D-0451</v>
      </c>
      <c r="CI87" s="1" t="s">
        <v>102</v>
      </c>
    </row>
    <row r="88" spans="1:87">
      <c r="A88" t="s">
        <v>2065</v>
      </c>
      <c r="B88">
        <v>120</v>
      </c>
      <c r="C88" t="s">
        <v>2061</v>
      </c>
      <c r="D88" t="s">
        <v>304</v>
      </c>
      <c r="E88" t="s">
        <v>629</v>
      </c>
      <c r="F88" t="s">
        <v>2046</v>
      </c>
      <c r="G88" t="s">
        <v>2062</v>
      </c>
      <c r="P88">
        <v>10</v>
      </c>
      <c r="R88">
        <v>20</v>
      </c>
      <c r="T88">
        <v>20</v>
      </c>
      <c r="V88">
        <v>20</v>
      </c>
      <c r="X88">
        <v>20</v>
      </c>
      <c r="Z88">
        <v>10</v>
      </c>
      <c r="AB88">
        <v>10</v>
      </c>
      <c r="CH88" t="str">
        <f t="shared" si="1"/>
        <v>D-0451</v>
      </c>
      <c r="CI88" s="1" t="s">
        <v>102</v>
      </c>
    </row>
    <row r="89" spans="1:87">
      <c r="A89" t="s">
        <v>2060</v>
      </c>
      <c r="B89">
        <v>120</v>
      </c>
      <c r="C89" t="s">
        <v>2061</v>
      </c>
      <c r="D89" t="s">
        <v>304</v>
      </c>
      <c r="E89" t="s">
        <v>629</v>
      </c>
      <c r="F89" t="s">
        <v>2046</v>
      </c>
      <c r="G89" t="s">
        <v>2062</v>
      </c>
      <c r="S89">
        <v>12</v>
      </c>
      <c r="T89">
        <v>12</v>
      </c>
      <c r="V89">
        <v>12</v>
      </c>
      <c r="W89">
        <v>24</v>
      </c>
      <c r="X89">
        <v>12</v>
      </c>
      <c r="Y89">
        <v>24</v>
      </c>
      <c r="Z89">
        <v>12</v>
      </c>
      <c r="AB89">
        <v>12</v>
      </c>
      <c r="CH89" t="str">
        <f t="shared" si="1"/>
        <v>D-0451</v>
      </c>
      <c r="CI89" s="1" t="s">
        <v>102</v>
      </c>
    </row>
    <row r="90" spans="1:87">
      <c r="A90" t="s">
        <v>2070</v>
      </c>
      <c r="B90">
        <v>216</v>
      </c>
      <c r="C90" t="s">
        <v>2061</v>
      </c>
      <c r="D90" t="s">
        <v>304</v>
      </c>
      <c r="E90" t="s">
        <v>629</v>
      </c>
      <c r="F90" t="s">
        <v>2046</v>
      </c>
      <c r="G90" t="s">
        <v>2062</v>
      </c>
      <c r="P90">
        <v>18</v>
      </c>
      <c r="R90">
        <v>36</v>
      </c>
      <c r="T90">
        <v>36</v>
      </c>
      <c r="V90">
        <v>36</v>
      </c>
      <c r="X90">
        <v>36</v>
      </c>
      <c r="Z90">
        <v>18</v>
      </c>
      <c r="AB90">
        <v>18</v>
      </c>
      <c r="CH90" t="str">
        <f t="shared" si="1"/>
        <v>D-0451</v>
      </c>
      <c r="CI90" s="1" t="s">
        <v>102</v>
      </c>
    </row>
    <row r="91" spans="1:87">
      <c r="A91" t="s">
        <v>2069</v>
      </c>
      <c r="B91">
        <v>840</v>
      </c>
      <c r="C91" t="s">
        <v>2061</v>
      </c>
      <c r="D91" t="s">
        <v>304</v>
      </c>
      <c r="E91" t="s">
        <v>629</v>
      </c>
      <c r="F91" t="s">
        <v>2046</v>
      </c>
      <c r="G91" t="s">
        <v>2062</v>
      </c>
      <c r="L91">
        <v>24</v>
      </c>
      <c r="M91">
        <v>24</v>
      </c>
      <c r="N91">
        <v>24</v>
      </c>
      <c r="O91">
        <v>24</v>
      </c>
      <c r="P91">
        <v>72</v>
      </c>
      <c r="Q91">
        <v>24</v>
      </c>
      <c r="R91">
        <v>60</v>
      </c>
      <c r="S91">
        <v>24</v>
      </c>
      <c r="T91">
        <v>96</v>
      </c>
      <c r="U91">
        <v>72</v>
      </c>
      <c r="V91">
        <v>108</v>
      </c>
      <c r="W91">
        <v>108</v>
      </c>
      <c r="X91">
        <v>108</v>
      </c>
      <c r="Y91">
        <v>48</v>
      </c>
      <c r="Z91">
        <v>36</v>
      </c>
      <c r="AB91">
        <v>24</v>
      </c>
      <c r="CH91" t="str">
        <f t="shared" si="1"/>
        <v>D-0451</v>
      </c>
      <c r="CI91" s="1" t="s">
        <v>102</v>
      </c>
    </row>
    <row r="92" spans="1:87">
      <c r="A92" t="s">
        <v>2066</v>
      </c>
      <c r="B92">
        <v>420</v>
      </c>
      <c r="C92" t="s">
        <v>2061</v>
      </c>
      <c r="D92" t="s">
        <v>304</v>
      </c>
      <c r="E92" t="s">
        <v>629</v>
      </c>
      <c r="F92" t="s">
        <v>2046</v>
      </c>
      <c r="G92" t="s">
        <v>2062</v>
      </c>
      <c r="Q92">
        <v>12</v>
      </c>
      <c r="T92">
        <v>24</v>
      </c>
      <c r="V92">
        <v>72</v>
      </c>
      <c r="X92">
        <v>96</v>
      </c>
      <c r="Z92">
        <v>108</v>
      </c>
      <c r="AB92">
        <v>84</v>
      </c>
      <c r="AD92">
        <v>24</v>
      </c>
      <c r="CH92" t="str">
        <f t="shared" si="1"/>
        <v>D-0451</v>
      </c>
      <c r="CI92" s="1" t="s">
        <v>102</v>
      </c>
    </row>
    <row r="93" spans="1:87">
      <c r="A93" t="s">
        <v>2068</v>
      </c>
      <c r="B93">
        <v>288</v>
      </c>
      <c r="C93" t="s">
        <v>2061</v>
      </c>
      <c r="D93" t="s">
        <v>304</v>
      </c>
      <c r="E93" t="s">
        <v>629</v>
      </c>
      <c r="F93" t="s">
        <v>2046</v>
      </c>
      <c r="G93" t="s">
        <v>2062</v>
      </c>
      <c r="L93">
        <v>24</v>
      </c>
      <c r="M93">
        <v>24</v>
      </c>
      <c r="N93">
        <v>24</v>
      </c>
      <c r="O93">
        <v>24</v>
      </c>
      <c r="Q93">
        <v>48</v>
      </c>
      <c r="S93">
        <v>48</v>
      </c>
      <c r="T93">
        <v>24</v>
      </c>
      <c r="V93">
        <v>24</v>
      </c>
      <c r="W93">
        <v>48</v>
      </c>
      <c r="Y93">
        <v>48</v>
      </c>
      <c r="Z93">
        <v>24</v>
      </c>
      <c r="CH93" t="str">
        <f t="shared" si="1"/>
        <v>D-0451</v>
      </c>
      <c r="CI93" s="1" t="s">
        <v>102</v>
      </c>
    </row>
    <row r="94" spans="1:87">
      <c r="A94" t="s">
        <v>2067</v>
      </c>
      <c r="B94">
        <v>1164</v>
      </c>
      <c r="C94" t="s">
        <v>2061</v>
      </c>
      <c r="D94" t="s">
        <v>304</v>
      </c>
      <c r="E94" t="s">
        <v>629</v>
      </c>
      <c r="F94" t="s">
        <v>2046</v>
      </c>
      <c r="G94" t="s">
        <v>2062</v>
      </c>
      <c r="L94">
        <v>97</v>
      </c>
      <c r="M94">
        <v>97</v>
      </c>
      <c r="N94">
        <v>97</v>
      </c>
      <c r="O94">
        <v>97</v>
      </c>
      <c r="Q94">
        <v>194</v>
      </c>
      <c r="S94">
        <v>194</v>
      </c>
      <c r="T94">
        <v>97</v>
      </c>
      <c r="V94">
        <v>97</v>
      </c>
      <c r="W94">
        <v>194</v>
      </c>
      <c r="Y94">
        <v>194</v>
      </c>
      <c r="Z94">
        <v>97</v>
      </c>
      <c r="CH94" t="str">
        <f t="shared" si="1"/>
        <v>D-0451</v>
      </c>
      <c r="CI94" s="1" t="s">
        <v>102</v>
      </c>
    </row>
    <row r="95" spans="1:87">
      <c r="A95" t="s">
        <v>2064</v>
      </c>
      <c r="B95">
        <v>120</v>
      </c>
      <c r="C95" t="s">
        <v>2061</v>
      </c>
      <c r="D95" t="s">
        <v>304</v>
      </c>
      <c r="E95" t="s">
        <v>629</v>
      </c>
      <c r="F95" t="s">
        <v>2046</v>
      </c>
      <c r="G95" t="s">
        <v>2062</v>
      </c>
      <c r="P95">
        <v>20</v>
      </c>
      <c r="Q95">
        <v>20</v>
      </c>
      <c r="R95">
        <v>20</v>
      </c>
      <c r="S95">
        <v>20</v>
      </c>
      <c r="T95">
        <v>20</v>
      </c>
      <c r="U95">
        <v>20</v>
      </c>
      <c r="CH95" t="str">
        <f t="shared" si="1"/>
        <v>D-0451</v>
      </c>
      <c r="CI95" s="1" t="s">
        <v>102</v>
      </c>
    </row>
    <row r="96" spans="1:87">
      <c r="A96" t="s">
        <v>1503</v>
      </c>
      <c r="B96">
        <v>59</v>
      </c>
      <c r="C96" t="s">
        <v>1494</v>
      </c>
      <c r="D96" t="s">
        <v>142</v>
      </c>
      <c r="E96" t="s">
        <v>629</v>
      </c>
      <c r="F96" t="s">
        <v>1467</v>
      </c>
      <c r="G96" t="s">
        <v>1495</v>
      </c>
      <c r="T96">
        <v>59</v>
      </c>
      <c r="CH96" t="str">
        <f t="shared" si="1"/>
        <v>D-0077</v>
      </c>
      <c r="CI96" s="1" t="s">
        <v>102</v>
      </c>
    </row>
    <row r="97" spans="1:87">
      <c r="A97" t="s">
        <v>1606</v>
      </c>
      <c r="B97">
        <v>75</v>
      </c>
      <c r="C97" t="s">
        <v>1587</v>
      </c>
      <c r="D97" t="s">
        <v>282</v>
      </c>
      <c r="E97" t="s">
        <v>639</v>
      </c>
      <c r="F97" t="s">
        <v>699</v>
      </c>
      <c r="G97" t="s">
        <v>749</v>
      </c>
      <c r="CH97" t="str">
        <f t="shared" si="1"/>
        <v>D-0390</v>
      </c>
      <c r="CI97" s="1" t="s">
        <v>102</v>
      </c>
    </row>
    <row r="98" spans="1:87">
      <c r="A98" t="s">
        <v>1596</v>
      </c>
      <c r="B98">
        <v>262</v>
      </c>
      <c r="C98" t="s">
        <v>748</v>
      </c>
      <c r="D98" t="s">
        <v>282</v>
      </c>
      <c r="E98" t="s">
        <v>639</v>
      </c>
      <c r="F98" t="s">
        <v>699</v>
      </c>
      <c r="G98" t="s">
        <v>749</v>
      </c>
      <c r="CH98" t="str">
        <f t="shared" si="1"/>
        <v>D-0390</v>
      </c>
      <c r="CI98" s="1" t="s">
        <v>102</v>
      </c>
    </row>
    <row r="99" spans="1:87">
      <c r="A99" t="s">
        <v>1621</v>
      </c>
      <c r="B99">
        <v>5</v>
      </c>
      <c r="C99" t="s">
        <v>1012</v>
      </c>
      <c r="D99" t="s">
        <v>284</v>
      </c>
      <c r="E99" t="s">
        <v>698</v>
      </c>
      <c r="F99" t="s">
        <v>699</v>
      </c>
      <c r="G99" t="s">
        <v>751</v>
      </c>
      <c r="P99">
        <v>5</v>
      </c>
      <c r="CH99" t="str">
        <f t="shared" si="1"/>
        <v>D-0391</v>
      </c>
      <c r="CI99" s="1" t="s">
        <v>102</v>
      </c>
    </row>
    <row r="100" spans="1:87">
      <c r="A100" t="s">
        <v>1602</v>
      </c>
      <c r="B100">
        <v>505</v>
      </c>
      <c r="C100" t="s">
        <v>748</v>
      </c>
      <c r="D100" t="s">
        <v>282</v>
      </c>
      <c r="E100" t="s">
        <v>639</v>
      </c>
      <c r="F100" t="s">
        <v>699</v>
      </c>
      <c r="G100" t="s">
        <v>749</v>
      </c>
      <c r="H100">
        <v>70</v>
      </c>
      <c r="J100">
        <v>50</v>
      </c>
      <c r="K100">
        <v>60</v>
      </c>
      <c r="CD100">
        <v>40</v>
      </c>
      <c r="CF100">
        <v>40</v>
      </c>
      <c r="CG100">
        <v>40</v>
      </c>
      <c r="CH100" t="str">
        <f t="shared" si="1"/>
        <v>D-0390</v>
      </c>
      <c r="CI100" s="1" t="s">
        <v>102</v>
      </c>
    </row>
    <row r="101" spans="1:87">
      <c r="A101" t="s">
        <v>2820</v>
      </c>
      <c r="B101">
        <v>341</v>
      </c>
      <c r="C101" t="s">
        <v>1167</v>
      </c>
      <c r="D101" t="s">
        <v>457</v>
      </c>
      <c r="E101" t="s">
        <v>629</v>
      </c>
      <c r="F101" t="s">
        <v>672</v>
      </c>
      <c r="G101" t="s">
        <v>686</v>
      </c>
      <c r="L101">
        <v>24</v>
      </c>
      <c r="M101">
        <v>24</v>
      </c>
      <c r="N101">
        <v>24</v>
      </c>
      <c r="O101">
        <v>24</v>
      </c>
      <c r="P101">
        <v>30</v>
      </c>
      <c r="Q101">
        <v>54</v>
      </c>
      <c r="R101">
        <v>48</v>
      </c>
      <c r="S101">
        <v>48</v>
      </c>
      <c r="T101">
        <v>36</v>
      </c>
      <c r="U101">
        <v>24</v>
      </c>
      <c r="V101">
        <v>23</v>
      </c>
      <c r="W101">
        <v>12</v>
      </c>
      <c r="X101">
        <v>12</v>
      </c>
      <c r="Y101">
        <v>6</v>
      </c>
      <c r="Z101">
        <v>6</v>
      </c>
      <c r="CH101" t="str">
        <f t="shared" si="1"/>
        <v>JV1-0695-3</v>
      </c>
      <c r="CI101" s="1" t="s">
        <v>102</v>
      </c>
    </row>
    <row r="102" spans="1:87">
      <c r="A102" t="s">
        <v>2818</v>
      </c>
      <c r="B102">
        <v>2615</v>
      </c>
      <c r="C102" t="s">
        <v>1167</v>
      </c>
      <c r="D102" t="s">
        <v>457</v>
      </c>
      <c r="E102" t="s">
        <v>629</v>
      </c>
      <c r="F102" t="s">
        <v>672</v>
      </c>
      <c r="G102" t="s">
        <v>686</v>
      </c>
      <c r="P102">
        <v>6</v>
      </c>
      <c r="Q102">
        <v>6</v>
      </c>
      <c r="R102">
        <v>6</v>
      </c>
      <c r="S102">
        <v>6</v>
      </c>
      <c r="V102">
        <v>317</v>
      </c>
      <c r="W102">
        <v>498</v>
      </c>
      <c r="X102">
        <v>252</v>
      </c>
      <c r="Y102">
        <v>492</v>
      </c>
      <c r="Z102">
        <v>342</v>
      </c>
      <c r="AA102">
        <v>156</v>
      </c>
      <c r="AB102">
        <v>288</v>
      </c>
      <c r="AC102">
        <v>6</v>
      </c>
      <c r="AD102">
        <v>210</v>
      </c>
      <c r="AF102">
        <v>30</v>
      </c>
      <c r="CH102" t="str">
        <f t="shared" si="1"/>
        <v>JV1-0695-3</v>
      </c>
      <c r="CI102" s="1" t="s">
        <v>102</v>
      </c>
    </row>
    <row r="103" spans="1:87">
      <c r="A103" t="s">
        <v>2821</v>
      </c>
      <c r="B103">
        <v>1535</v>
      </c>
      <c r="C103" t="s">
        <v>1167</v>
      </c>
      <c r="D103" t="s">
        <v>457</v>
      </c>
      <c r="E103" t="s">
        <v>629</v>
      </c>
      <c r="F103" t="s">
        <v>672</v>
      </c>
      <c r="G103" t="s">
        <v>686</v>
      </c>
      <c r="L103">
        <v>108</v>
      </c>
      <c r="M103">
        <v>108</v>
      </c>
      <c r="N103">
        <v>108</v>
      </c>
      <c r="O103">
        <v>108</v>
      </c>
      <c r="P103">
        <v>120</v>
      </c>
      <c r="Q103">
        <v>222</v>
      </c>
      <c r="R103">
        <v>210</v>
      </c>
      <c r="S103">
        <v>210</v>
      </c>
      <c r="T103">
        <v>150</v>
      </c>
      <c r="U103">
        <v>108</v>
      </c>
      <c r="V103">
        <v>83</v>
      </c>
      <c r="W103">
        <v>48</v>
      </c>
      <c r="X103">
        <v>48</v>
      </c>
      <c r="Y103">
        <v>48</v>
      </c>
      <c r="Z103">
        <v>30</v>
      </c>
      <c r="AA103">
        <v>18</v>
      </c>
      <c r="AB103">
        <v>18</v>
      </c>
      <c r="AC103">
        <v>18</v>
      </c>
      <c r="AD103">
        <v>18</v>
      </c>
      <c r="CH103" t="str">
        <f t="shared" si="1"/>
        <v>JV1-0695-3</v>
      </c>
      <c r="CI103" s="1" t="s">
        <v>102</v>
      </c>
    </row>
    <row r="104" spans="1:87">
      <c r="A104" t="s">
        <v>2832</v>
      </c>
      <c r="B104">
        <v>149</v>
      </c>
      <c r="C104" t="s">
        <v>1167</v>
      </c>
      <c r="D104" t="s">
        <v>457</v>
      </c>
      <c r="E104" t="s">
        <v>629</v>
      </c>
      <c r="F104" t="s">
        <v>672</v>
      </c>
      <c r="G104" t="s">
        <v>686</v>
      </c>
      <c r="T104">
        <v>6</v>
      </c>
      <c r="U104">
        <v>6</v>
      </c>
      <c r="V104">
        <v>11</v>
      </c>
      <c r="W104">
        <v>12</v>
      </c>
      <c r="X104">
        <v>12</v>
      </c>
      <c r="Y104">
        <v>24</v>
      </c>
      <c r="Z104">
        <v>30</v>
      </c>
      <c r="AA104">
        <v>18</v>
      </c>
      <c r="AB104">
        <v>12</v>
      </c>
      <c r="AC104">
        <v>12</v>
      </c>
      <c r="AD104">
        <v>6</v>
      </c>
      <c r="CH104" t="str">
        <f t="shared" si="1"/>
        <v>JV1-0695-3</v>
      </c>
      <c r="CI104" s="1" t="s">
        <v>102</v>
      </c>
    </row>
    <row r="105" spans="1:87">
      <c r="A105" t="s">
        <v>2833</v>
      </c>
      <c r="B105">
        <v>2075</v>
      </c>
      <c r="C105" t="s">
        <v>1167</v>
      </c>
      <c r="D105" t="s">
        <v>457</v>
      </c>
      <c r="E105" t="s">
        <v>629</v>
      </c>
      <c r="F105" t="s">
        <v>672</v>
      </c>
      <c r="G105" t="s">
        <v>686</v>
      </c>
      <c r="L105">
        <v>96</v>
      </c>
      <c r="M105">
        <v>96</v>
      </c>
      <c r="N105">
        <v>96</v>
      </c>
      <c r="O105">
        <v>96</v>
      </c>
      <c r="P105">
        <v>126</v>
      </c>
      <c r="Q105">
        <v>186</v>
      </c>
      <c r="R105">
        <v>186</v>
      </c>
      <c r="S105">
        <v>258</v>
      </c>
      <c r="T105">
        <v>180</v>
      </c>
      <c r="U105">
        <v>138</v>
      </c>
      <c r="V105">
        <v>125</v>
      </c>
      <c r="W105">
        <v>126</v>
      </c>
      <c r="X105">
        <v>90</v>
      </c>
      <c r="Y105">
        <v>96</v>
      </c>
      <c r="Z105">
        <v>84</v>
      </c>
      <c r="AA105">
        <v>84</v>
      </c>
      <c r="AB105">
        <v>72</v>
      </c>
      <c r="AC105">
        <v>36</v>
      </c>
      <c r="AD105">
        <v>60</v>
      </c>
      <c r="AF105">
        <v>36</v>
      </c>
      <c r="AH105">
        <v>24</v>
      </c>
      <c r="AJ105">
        <v>12</v>
      </c>
      <c r="AL105">
        <v>6</v>
      </c>
      <c r="CH105" t="str">
        <f t="shared" si="1"/>
        <v>JV1-0695-3</v>
      </c>
      <c r="CI105" s="1" t="s">
        <v>102</v>
      </c>
    </row>
    <row r="106" spans="1:87">
      <c r="A106" t="s">
        <v>2834</v>
      </c>
      <c r="B106">
        <v>2735</v>
      </c>
      <c r="C106" t="s">
        <v>1167</v>
      </c>
      <c r="D106" t="s">
        <v>457</v>
      </c>
      <c r="E106" t="s">
        <v>629</v>
      </c>
      <c r="F106" t="s">
        <v>672</v>
      </c>
      <c r="G106" t="s">
        <v>686</v>
      </c>
      <c r="L106">
        <v>126</v>
      </c>
      <c r="M106">
        <v>126</v>
      </c>
      <c r="N106">
        <v>126</v>
      </c>
      <c r="O106">
        <v>126</v>
      </c>
      <c r="P106">
        <v>168</v>
      </c>
      <c r="Q106">
        <v>246</v>
      </c>
      <c r="R106">
        <v>246</v>
      </c>
      <c r="S106">
        <v>342</v>
      </c>
      <c r="T106">
        <v>240</v>
      </c>
      <c r="U106">
        <v>186</v>
      </c>
      <c r="V106">
        <v>167</v>
      </c>
      <c r="W106">
        <v>156</v>
      </c>
      <c r="X106">
        <v>126</v>
      </c>
      <c r="Y106">
        <v>132</v>
      </c>
      <c r="Z106">
        <v>108</v>
      </c>
      <c r="AA106">
        <v>108</v>
      </c>
      <c r="AB106">
        <v>96</v>
      </c>
      <c r="AC106">
        <v>48</v>
      </c>
      <c r="AD106">
        <v>78</v>
      </c>
      <c r="AF106">
        <v>48</v>
      </c>
      <c r="AH106">
        <v>30</v>
      </c>
      <c r="AJ106">
        <v>12</v>
      </c>
      <c r="AL106">
        <v>6</v>
      </c>
      <c r="CH106" t="str">
        <f t="shared" si="1"/>
        <v>JV1-0695-3</v>
      </c>
      <c r="CI106" s="1" t="s">
        <v>102</v>
      </c>
    </row>
    <row r="107" spans="1:87">
      <c r="A107" t="s">
        <v>1227</v>
      </c>
      <c r="B107">
        <v>347</v>
      </c>
      <c r="C107" t="s">
        <v>1167</v>
      </c>
      <c r="D107" t="s">
        <v>457</v>
      </c>
      <c r="E107" t="s">
        <v>629</v>
      </c>
      <c r="F107" t="s">
        <v>672</v>
      </c>
      <c r="G107" t="s">
        <v>686</v>
      </c>
      <c r="L107">
        <v>18</v>
      </c>
      <c r="M107">
        <v>18</v>
      </c>
      <c r="N107">
        <v>18</v>
      </c>
      <c r="O107">
        <v>18</v>
      </c>
      <c r="P107">
        <v>24</v>
      </c>
      <c r="Q107">
        <v>60</v>
      </c>
      <c r="R107">
        <v>30</v>
      </c>
      <c r="S107">
        <v>30</v>
      </c>
      <c r="T107">
        <v>24</v>
      </c>
      <c r="U107">
        <v>23</v>
      </c>
      <c r="V107">
        <v>12</v>
      </c>
      <c r="W107">
        <v>18</v>
      </c>
      <c r="X107">
        <v>18</v>
      </c>
      <c r="Y107">
        <v>30</v>
      </c>
      <c r="Z107">
        <v>18</v>
      </c>
      <c r="AA107">
        <v>6</v>
      </c>
      <c r="AB107">
        <v>12</v>
      </c>
      <c r="AC107">
        <v>6</v>
      </c>
      <c r="AD107">
        <v>6</v>
      </c>
      <c r="CH107" t="str">
        <f t="shared" si="1"/>
        <v>JV1-0695-3</v>
      </c>
      <c r="CI107" s="1" t="s">
        <v>102</v>
      </c>
    </row>
    <row r="108" spans="1:87">
      <c r="A108" t="s">
        <v>1852</v>
      </c>
      <c r="B108">
        <v>972</v>
      </c>
      <c r="C108" t="s">
        <v>1746</v>
      </c>
      <c r="D108" t="s">
        <v>410</v>
      </c>
      <c r="E108" t="s">
        <v>629</v>
      </c>
      <c r="F108" t="s">
        <v>652</v>
      </c>
      <c r="G108" t="s">
        <v>1742</v>
      </c>
      <c r="L108">
        <v>36</v>
      </c>
      <c r="M108">
        <v>36</v>
      </c>
      <c r="N108">
        <v>36</v>
      </c>
      <c r="O108">
        <v>36</v>
      </c>
      <c r="P108">
        <v>36</v>
      </c>
      <c r="Q108">
        <v>12</v>
      </c>
      <c r="R108">
        <v>48</v>
      </c>
      <c r="S108">
        <v>60</v>
      </c>
      <c r="T108">
        <v>60</v>
      </c>
      <c r="U108">
        <v>84</v>
      </c>
      <c r="V108">
        <v>96</v>
      </c>
      <c r="W108">
        <v>108</v>
      </c>
      <c r="X108">
        <v>144</v>
      </c>
      <c r="Y108">
        <v>120</v>
      </c>
      <c r="Z108">
        <v>60</v>
      </c>
      <c r="AA108">
        <v>60</v>
      </c>
      <c r="AB108">
        <v>12</v>
      </c>
      <c r="AC108">
        <v>24</v>
      </c>
      <c r="CH108" t="str">
        <f t="shared" si="1"/>
        <v>D-0591</v>
      </c>
      <c r="CI108" s="1" t="s">
        <v>102</v>
      </c>
    </row>
    <row r="109" spans="1:87">
      <c r="A109" t="s">
        <v>1753</v>
      </c>
      <c r="B109">
        <v>3468</v>
      </c>
      <c r="C109" t="s">
        <v>1746</v>
      </c>
      <c r="D109" t="s">
        <v>410</v>
      </c>
      <c r="E109" t="s">
        <v>629</v>
      </c>
      <c r="F109" t="s">
        <v>652</v>
      </c>
      <c r="G109" t="s">
        <v>1742</v>
      </c>
      <c r="L109">
        <v>36</v>
      </c>
      <c r="M109">
        <v>36</v>
      </c>
      <c r="N109">
        <v>36</v>
      </c>
      <c r="O109">
        <v>36</v>
      </c>
      <c r="P109">
        <v>84</v>
      </c>
      <c r="Q109">
        <v>96</v>
      </c>
      <c r="R109">
        <v>168</v>
      </c>
      <c r="S109">
        <v>204</v>
      </c>
      <c r="T109">
        <v>108</v>
      </c>
      <c r="U109">
        <v>252</v>
      </c>
      <c r="V109">
        <v>240</v>
      </c>
      <c r="W109">
        <v>252</v>
      </c>
      <c r="X109">
        <v>384</v>
      </c>
      <c r="Y109">
        <v>300</v>
      </c>
      <c r="Z109">
        <v>420</v>
      </c>
      <c r="AA109">
        <v>336</v>
      </c>
      <c r="AB109">
        <v>96</v>
      </c>
      <c r="AC109">
        <v>264</v>
      </c>
      <c r="AD109">
        <v>108</v>
      </c>
      <c r="AE109">
        <v>48</v>
      </c>
      <c r="AG109">
        <v>24</v>
      </c>
      <c r="CH109" t="str">
        <f t="shared" si="1"/>
        <v>D-0591</v>
      </c>
      <c r="CI109" s="1" t="s">
        <v>102</v>
      </c>
    </row>
    <row r="110" spans="1:87">
      <c r="A110" t="s">
        <v>1901</v>
      </c>
      <c r="B110">
        <v>611</v>
      </c>
      <c r="C110" t="s">
        <v>1746</v>
      </c>
      <c r="D110" t="s">
        <v>410</v>
      </c>
      <c r="E110" t="s">
        <v>629</v>
      </c>
      <c r="F110" t="s">
        <v>652</v>
      </c>
      <c r="G110" t="s">
        <v>1742</v>
      </c>
      <c r="L110">
        <v>12</v>
      </c>
      <c r="M110">
        <v>12</v>
      </c>
      <c r="N110">
        <v>12</v>
      </c>
      <c r="O110">
        <v>12</v>
      </c>
      <c r="Q110">
        <v>21</v>
      </c>
      <c r="S110">
        <v>58</v>
      </c>
      <c r="U110">
        <v>97</v>
      </c>
      <c r="W110">
        <v>140</v>
      </c>
      <c r="Y110">
        <v>138</v>
      </c>
      <c r="AA110">
        <v>91</v>
      </c>
      <c r="AC110">
        <v>42</v>
      </c>
      <c r="AE110">
        <v>12</v>
      </c>
      <c r="CH110" t="str">
        <f t="shared" si="1"/>
        <v>D-0591</v>
      </c>
      <c r="CI110" s="1" t="s">
        <v>102</v>
      </c>
    </row>
    <row r="111" spans="1:87">
      <c r="A111" t="s">
        <v>1892</v>
      </c>
      <c r="B111">
        <v>432</v>
      </c>
      <c r="C111" t="s">
        <v>1746</v>
      </c>
      <c r="D111" t="s">
        <v>410</v>
      </c>
      <c r="E111" t="s">
        <v>629</v>
      </c>
      <c r="F111" t="s">
        <v>652</v>
      </c>
      <c r="G111" t="s">
        <v>1742</v>
      </c>
      <c r="T111">
        <v>36</v>
      </c>
      <c r="U111">
        <v>72</v>
      </c>
      <c r="V111">
        <v>72</v>
      </c>
      <c r="W111">
        <v>72</v>
      </c>
      <c r="X111">
        <v>72</v>
      </c>
      <c r="Y111">
        <v>36</v>
      </c>
      <c r="Z111">
        <v>36</v>
      </c>
      <c r="AA111">
        <v>36</v>
      </c>
      <c r="CH111" t="str">
        <f t="shared" si="1"/>
        <v>D-0591</v>
      </c>
      <c r="CI111" s="1" t="s">
        <v>102</v>
      </c>
    </row>
    <row r="112" spans="1:87">
      <c r="A112" t="s">
        <v>1787</v>
      </c>
      <c r="B112">
        <v>768</v>
      </c>
      <c r="C112" t="s">
        <v>1746</v>
      </c>
      <c r="D112" t="s">
        <v>410</v>
      </c>
      <c r="E112" t="s">
        <v>629</v>
      </c>
      <c r="F112" t="s">
        <v>652</v>
      </c>
      <c r="G112" t="s">
        <v>1742</v>
      </c>
      <c r="L112">
        <v>60</v>
      </c>
      <c r="M112">
        <v>60</v>
      </c>
      <c r="N112">
        <v>60</v>
      </c>
      <c r="O112">
        <v>60</v>
      </c>
      <c r="P112">
        <v>120</v>
      </c>
      <c r="Q112">
        <v>132</v>
      </c>
      <c r="R112">
        <v>120</v>
      </c>
      <c r="S112">
        <v>180</v>
      </c>
      <c r="T112">
        <v>96</v>
      </c>
      <c r="U112">
        <v>60</v>
      </c>
      <c r="CH112" t="str">
        <f t="shared" si="1"/>
        <v>D-0591</v>
      </c>
      <c r="CI112" s="1" t="s">
        <v>102</v>
      </c>
    </row>
    <row r="113" spans="1:87">
      <c r="A113" t="s">
        <v>3194</v>
      </c>
      <c r="B113">
        <v>4391</v>
      </c>
      <c r="C113" t="s">
        <v>3195</v>
      </c>
      <c r="D113" t="s">
        <v>534</v>
      </c>
      <c r="E113" t="s">
        <v>698</v>
      </c>
      <c r="F113" t="s">
        <v>703</v>
      </c>
      <c r="G113" t="s">
        <v>704</v>
      </c>
      <c r="CH113" t="str">
        <f t="shared" si="1"/>
        <v>D-0666</v>
      </c>
      <c r="CI113" s="1" t="s">
        <v>102</v>
      </c>
    </row>
    <row r="114" spans="1:87">
      <c r="A114" t="s">
        <v>3455</v>
      </c>
      <c r="B114">
        <v>21</v>
      </c>
      <c r="C114" t="s">
        <v>1182</v>
      </c>
      <c r="D114" t="s">
        <v>444</v>
      </c>
      <c r="E114" t="s">
        <v>642</v>
      </c>
      <c r="F114" t="s">
        <v>636</v>
      </c>
      <c r="G114" t="s">
        <v>1183</v>
      </c>
      <c r="P114">
        <v>1</v>
      </c>
      <c r="Q114">
        <v>1</v>
      </c>
      <c r="R114">
        <v>1</v>
      </c>
      <c r="S114">
        <v>2</v>
      </c>
      <c r="T114">
        <v>2</v>
      </c>
      <c r="U114">
        <v>2</v>
      </c>
      <c r="V114">
        <v>2</v>
      </c>
      <c r="W114">
        <v>2</v>
      </c>
      <c r="X114">
        <v>2</v>
      </c>
      <c r="Y114">
        <v>1</v>
      </c>
      <c r="Z114">
        <v>1</v>
      </c>
      <c r="AA114">
        <v>1</v>
      </c>
      <c r="AB114">
        <v>1</v>
      </c>
      <c r="AC114">
        <v>1</v>
      </c>
      <c r="AD114">
        <v>1</v>
      </c>
      <c r="CH114" t="str">
        <f t="shared" si="1"/>
        <v>D-0686</v>
      </c>
      <c r="CI114" s="1" t="s">
        <v>102</v>
      </c>
    </row>
    <row r="115" spans="1:87">
      <c r="A115" t="s">
        <v>3304</v>
      </c>
      <c r="B115">
        <v>38</v>
      </c>
      <c r="C115" t="s">
        <v>1153</v>
      </c>
      <c r="D115" t="s">
        <v>207</v>
      </c>
      <c r="E115" t="s">
        <v>974</v>
      </c>
      <c r="F115" t="s">
        <v>645</v>
      </c>
      <c r="G115" t="s">
        <v>1154</v>
      </c>
      <c r="L115">
        <v>3</v>
      </c>
      <c r="M115">
        <v>3</v>
      </c>
      <c r="N115">
        <v>3</v>
      </c>
      <c r="O115">
        <v>3</v>
      </c>
      <c r="P115">
        <v>5</v>
      </c>
      <c r="R115">
        <v>5</v>
      </c>
      <c r="S115">
        <v>4</v>
      </c>
      <c r="T115">
        <v>6</v>
      </c>
      <c r="CH115" t="str">
        <f t="shared" si="1"/>
        <v>D-0249</v>
      </c>
      <c r="CI115" s="1" t="s">
        <v>102</v>
      </c>
    </row>
    <row r="116" spans="1:87">
      <c r="A116" t="s">
        <v>4149</v>
      </c>
      <c r="B116">
        <v>37</v>
      </c>
      <c r="C116" t="s">
        <v>981</v>
      </c>
      <c r="D116" t="s">
        <v>444</v>
      </c>
      <c r="E116" t="s">
        <v>629</v>
      </c>
      <c r="F116" t="s">
        <v>636</v>
      </c>
      <c r="G116" t="s">
        <v>982</v>
      </c>
      <c r="S116">
        <v>1</v>
      </c>
      <c r="T116">
        <v>3</v>
      </c>
      <c r="U116">
        <v>2</v>
      </c>
      <c r="V116">
        <v>8</v>
      </c>
      <c r="W116">
        <v>9</v>
      </c>
      <c r="X116">
        <v>4</v>
      </c>
      <c r="Y116">
        <v>6</v>
      </c>
      <c r="Z116">
        <v>2</v>
      </c>
      <c r="AA116">
        <v>1</v>
      </c>
      <c r="AB116">
        <v>1</v>
      </c>
      <c r="CH116" t="str">
        <f t="shared" si="1"/>
        <v>D-0686</v>
      </c>
      <c r="CI116" s="1" t="s">
        <v>102</v>
      </c>
    </row>
    <row r="117" spans="1:87">
      <c r="A117" t="s">
        <v>2620</v>
      </c>
      <c r="B117">
        <v>1188</v>
      </c>
      <c r="C117" t="s">
        <v>1158</v>
      </c>
      <c r="D117" t="s">
        <v>464</v>
      </c>
      <c r="E117" t="s">
        <v>629</v>
      </c>
      <c r="F117" t="s">
        <v>942</v>
      </c>
      <c r="G117" t="s">
        <v>943</v>
      </c>
      <c r="L117">
        <v>24</v>
      </c>
      <c r="M117">
        <v>24</v>
      </c>
      <c r="N117">
        <v>24</v>
      </c>
      <c r="O117">
        <v>24</v>
      </c>
      <c r="P117">
        <v>24</v>
      </c>
      <c r="Q117">
        <v>54</v>
      </c>
      <c r="R117">
        <v>66</v>
      </c>
      <c r="S117">
        <v>72</v>
      </c>
      <c r="T117">
        <v>72</v>
      </c>
      <c r="U117">
        <v>66</v>
      </c>
      <c r="V117">
        <v>72</v>
      </c>
      <c r="W117">
        <v>72</v>
      </c>
      <c r="X117">
        <v>78</v>
      </c>
      <c r="Y117">
        <v>132</v>
      </c>
      <c r="Z117">
        <v>102</v>
      </c>
      <c r="AA117">
        <v>66</v>
      </c>
      <c r="AB117">
        <v>78</v>
      </c>
      <c r="AC117">
        <v>54</v>
      </c>
      <c r="AD117">
        <v>60</v>
      </c>
      <c r="AF117">
        <v>48</v>
      </c>
      <c r="AH117">
        <v>18</v>
      </c>
      <c r="AJ117">
        <v>12</v>
      </c>
      <c r="CH117" t="str">
        <f t="shared" si="1"/>
        <v>JVC6-027-1</v>
      </c>
      <c r="CI117" s="1" t="s">
        <v>102</v>
      </c>
    </row>
    <row r="118" spans="1:87">
      <c r="A118" t="s">
        <v>2621</v>
      </c>
      <c r="B118">
        <v>1242</v>
      </c>
      <c r="C118" t="s">
        <v>1158</v>
      </c>
      <c r="D118" t="s">
        <v>464</v>
      </c>
      <c r="E118" t="s">
        <v>629</v>
      </c>
      <c r="F118" t="s">
        <v>942</v>
      </c>
      <c r="G118" t="s">
        <v>943</v>
      </c>
      <c r="N118">
        <v>6</v>
      </c>
      <c r="O118">
        <v>18</v>
      </c>
      <c r="P118">
        <v>24</v>
      </c>
      <c r="Q118">
        <v>54</v>
      </c>
      <c r="R118">
        <v>72</v>
      </c>
      <c r="S118">
        <v>72</v>
      </c>
      <c r="T118">
        <v>78</v>
      </c>
      <c r="U118">
        <v>72</v>
      </c>
      <c r="V118">
        <v>72</v>
      </c>
      <c r="W118">
        <v>90</v>
      </c>
      <c r="X118">
        <v>90</v>
      </c>
      <c r="Y118">
        <v>150</v>
      </c>
      <c r="Z118">
        <v>114</v>
      </c>
      <c r="AA118">
        <v>66</v>
      </c>
      <c r="AB118">
        <v>84</v>
      </c>
      <c r="AC118">
        <v>54</v>
      </c>
      <c r="AD118">
        <v>60</v>
      </c>
      <c r="AF118">
        <v>48</v>
      </c>
      <c r="AH118">
        <v>12</v>
      </c>
      <c r="AJ118">
        <v>6</v>
      </c>
      <c r="CH118" t="str">
        <f t="shared" si="1"/>
        <v>JVC6-027-1</v>
      </c>
      <c r="CI118" s="1" t="s">
        <v>102</v>
      </c>
    </row>
    <row r="119" spans="1:87">
      <c r="A119" t="s">
        <v>3258</v>
      </c>
      <c r="B119">
        <v>6</v>
      </c>
      <c r="C119" t="s">
        <v>1109</v>
      </c>
      <c r="D119" t="s">
        <v>223</v>
      </c>
      <c r="E119" t="s">
        <v>629</v>
      </c>
      <c r="F119" t="s">
        <v>693</v>
      </c>
      <c r="G119" t="s">
        <v>2469</v>
      </c>
      <c r="S119">
        <v>1</v>
      </c>
      <c r="V119">
        <v>2</v>
      </c>
      <c r="X119">
        <v>2</v>
      </c>
      <c r="AB119">
        <v>1</v>
      </c>
      <c r="CH119" t="str">
        <f t="shared" si="1"/>
        <v>D-0263</v>
      </c>
      <c r="CI119" s="1" t="s">
        <v>102</v>
      </c>
    </row>
    <row r="120" spans="1:87">
      <c r="A120" t="s">
        <v>1522</v>
      </c>
      <c r="B120">
        <v>418</v>
      </c>
      <c r="C120" t="s">
        <v>1520</v>
      </c>
      <c r="D120" t="s">
        <v>413</v>
      </c>
      <c r="E120" t="s">
        <v>642</v>
      </c>
      <c r="F120" t="s">
        <v>657</v>
      </c>
      <c r="G120" t="s">
        <v>1155</v>
      </c>
      <c r="P120">
        <v>12</v>
      </c>
      <c r="Q120">
        <v>3</v>
      </c>
      <c r="R120">
        <v>44</v>
      </c>
      <c r="S120">
        <v>15</v>
      </c>
      <c r="T120">
        <v>74</v>
      </c>
      <c r="U120">
        <v>32</v>
      </c>
      <c r="V120">
        <v>73</v>
      </c>
      <c r="W120">
        <v>29</v>
      </c>
      <c r="X120">
        <v>50</v>
      </c>
      <c r="Y120">
        <v>17</v>
      </c>
      <c r="Z120">
        <v>30</v>
      </c>
      <c r="AA120">
        <v>8</v>
      </c>
      <c r="AB120">
        <v>15</v>
      </c>
      <c r="AC120">
        <v>6</v>
      </c>
      <c r="AD120">
        <v>10</v>
      </c>
      <c r="CH120" t="str">
        <f t="shared" si="1"/>
        <v>D-0594</v>
      </c>
      <c r="CI120" s="1" t="s">
        <v>102</v>
      </c>
    </row>
    <row r="121" spans="1:87">
      <c r="A121" t="s">
        <v>3811</v>
      </c>
      <c r="B121">
        <v>54</v>
      </c>
      <c r="C121" t="s">
        <v>666</v>
      </c>
      <c r="D121" t="s">
        <v>444</v>
      </c>
      <c r="E121" t="s">
        <v>629</v>
      </c>
      <c r="F121" t="s">
        <v>636</v>
      </c>
      <c r="G121" t="s">
        <v>667</v>
      </c>
      <c r="S121">
        <v>3</v>
      </c>
      <c r="T121">
        <v>5</v>
      </c>
      <c r="U121">
        <v>3</v>
      </c>
      <c r="V121">
        <v>10</v>
      </c>
      <c r="W121">
        <v>10</v>
      </c>
      <c r="X121">
        <v>7</v>
      </c>
      <c r="Y121">
        <v>8</v>
      </c>
      <c r="Z121">
        <v>3</v>
      </c>
      <c r="AA121">
        <v>2</v>
      </c>
      <c r="AB121">
        <v>2</v>
      </c>
      <c r="AD121">
        <v>1</v>
      </c>
      <c r="CH121" t="str">
        <f t="shared" si="1"/>
        <v>D-0686</v>
      </c>
      <c r="CI121" s="1" t="s">
        <v>102</v>
      </c>
    </row>
    <row r="122" spans="1:87">
      <c r="A122" t="s">
        <v>3122</v>
      </c>
      <c r="B122">
        <v>12</v>
      </c>
      <c r="C122" t="s">
        <v>1122</v>
      </c>
      <c r="D122" t="s">
        <v>291</v>
      </c>
      <c r="E122" t="s">
        <v>642</v>
      </c>
      <c r="F122" t="s">
        <v>661</v>
      </c>
      <c r="G122" t="s">
        <v>2737</v>
      </c>
      <c r="Y122">
        <v>12</v>
      </c>
      <c r="CH122" t="str">
        <f t="shared" si="1"/>
        <v>D-0419</v>
      </c>
      <c r="CI122" s="1" t="s">
        <v>102</v>
      </c>
    </row>
    <row r="123" spans="1:87">
      <c r="A123" t="s">
        <v>3115</v>
      </c>
      <c r="B123">
        <v>18</v>
      </c>
      <c r="C123" t="s">
        <v>1122</v>
      </c>
      <c r="D123" t="s">
        <v>291</v>
      </c>
      <c r="E123" t="s">
        <v>642</v>
      </c>
      <c r="F123" t="s">
        <v>661</v>
      </c>
      <c r="G123" t="s">
        <v>2737</v>
      </c>
      <c r="W123">
        <v>18</v>
      </c>
      <c r="CH123" t="str">
        <f t="shared" si="1"/>
        <v>D-0419</v>
      </c>
      <c r="CI123" s="1" t="s">
        <v>683</v>
      </c>
    </row>
    <row r="124" spans="1:87">
      <c r="A124" t="s">
        <v>3118</v>
      </c>
      <c r="B124">
        <v>12</v>
      </c>
      <c r="C124" t="s">
        <v>1122</v>
      </c>
      <c r="D124" t="s">
        <v>291</v>
      </c>
      <c r="E124" t="s">
        <v>642</v>
      </c>
      <c r="F124" t="s">
        <v>661</v>
      </c>
      <c r="G124" t="s">
        <v>2737</v>
      </c>
      <c r="T124">
        <v>12</v>
      </c>
      <c r="CH124" t="str">
        <f t="shared" si="1"/>
        <v>D-0419</v>
      </c>
      <c r="CI124" s="1" t="s">
        <v>683</v>
      </c>
    </row>
    <row r="125" spans="1:87">
      <c r="A125" t="s">
        <v>3121</v>
      </c>
      <c r="B125">
        <v>6</v>
      </c>
      <c r="C125" t="s">
        <v>1122</v>
      </c>
      <c r="D125" t="s">
        <v>291</v>
      </c>
      <c r="E125" t="s">
        <v>642</v>
      </c>
      <c r="F125" t="s">
        <v>661</v>
      </c>
      <c r="G125" t="s">
        <v>2737</v>
      </c>
      <c r="Q125">
        <v>6</v>
      </c>
      <c r="CH125" t="str">
        <f t="shared" si="1"/>
        <v>D-0419</v>
      </c>
      <c r="CI125" s="1" t="s">
        <v>683</v>
      </c>
    </row>
    <row r="126" spans="1:87">
      <c r="A126" t="s">
        <v>3119</v>
      </c>
      <c r="B126">
        <v>6</v>
      </c>
      <c r="C126" t="s">
        <v>1122</v>
      </c>
      <c r="D126" t="s">
        <v>291</v>
      </c>
      <c r="E126" t="s">
        <v>642</v>
      </c>
      <c r="F126" t="s">
        <v>661</v>
      </c>
      <c r="G126" t="s">
        <v>2737</v>
      </c>
      <c r="S126">
        <v>6</v>
      </c>
      <c r="CH126" t="str">
        <f t="shared" si="1"/>
        <v>D-0419</v>
      </c>
      <c r="CI126" s="1" t="s">
        <v>683</v>
      </c>
    </row>
    <row r="127" spans="1:87">
      <c r="A127" t="s">
        <v>3120</v>
      </c>
      <c r="B127">
        <v>6</v>
      </c>
      <c r="C127" t="s">
        <v>1122</v>
      </c>
      <c r="D127" t="s">
        <v>291</v>
      </c>
      <c r="E127" t="s">
        <v>642</v>
      </c>
      <c r="F127" t="s">
        <v>661</v>
      </c>
      <c r="G127" t="s">
        <v>2737</v>
      </c>
      <c r="R127">
        <v>6</v>
      </c>
      <c r="CH127" t="str">
        <f t="shared" si="1"/>
        <v>D-0419</v>
      </c>
      <c r="CI127" s="1" t="s">
        <v>102</v>
      </c>
    </row>
    <row r="128" spans="1:87">
      <c r="A128" t="s">
        <v>2805</v>
      </c>
      <c r="B128">
        <v>4</v>
      </c>
      <c r="C128" t="s">
        <v>2736</v>
      </c>
      <c r="D128" t="s">
        <v>430</v>
      </c>
      <c r="E128" t="s">
        <v>974</v>
      </c>
      <c r="F128" t="s">
        <v>661</v>
      </c>
      <c r="G128" t="s">
        <v>2737</v>
      </c>
      <c r="CB128">
        <v>4</v>
      </c>
      <c r="CH128" t="str">
        <f t="shared" si="1"/>
        <v>D-0631</v>
      </c>
      <c r="CI128" s="1" t="s">
        <v>102</v>
      </c>
    </row>
    <row r="129" spans="1:87">
      <c r="A129" t="s">
        <v>3116</v>
      </c>
      <c r="B129">
        <v>18</v>
      </c>
      <c r="C129" t="s">
        <v>1122</v>
      </c>
      <c r="D129" t="s">
        <v>291</v>
      </c>
      <c r="E129" t="s">
        <v>642</v>
      </c>
      <c r="F129" t="s">
        <v>661</v>
      </c>
      <c r="G129" t="s">
        <v>2737</v>
      </c>
      <c r="V129">
        <v>18</v>
      </c>
      <c r="CH129" t="str">
        <f t="shared" si="1"/>
        <v>D-0419</v>
      </c>
      <c r="CI129" s="1" t="s">
        <v>102</v>
      </c>
    </row>
    <row r="130" spans="1:87">
      <c r="A130" t="s">
        <v>3470</v>
      </c>
      <c r="B130">
        <v>1</v>
      </c>
      <c r="C130" t="s">
        <v>2736</v>
      </c>
      <c r="D130" t="s">
        <v>430</v>
      </c>
      <c r="E130" t="s">
        <v>974</v>
      </c>
      <c r="F130" t="s">
        <v>661</v>
      </c>
      <c r="G130" t="s">
        <v>2737</v>
      </c>
      <c r="BV130">
        <v>1</v>
      </c>
      <c r="CH130" t="str">
        <f t="shared" ref="CH130:CH193" si="2">TRIM(IFERROR(IFERROR(MID($D130,FIND("(D-",$D130)+1,6),LEFT($D130,FIND("(",$D130)-1)),$D130))</f>
        <v>D-0631</v>
      </c>
      <c r="CI130" s="1" t="s">
        <v>102</v>
      </c>
    </row>
    <row r="131" spans="1:87">
      <c r="A131" t="s">
        <v>2329</v>
      </c>
      <c r="B131">
        <v>561</v>
      </c>
      <c r="C131" t="s">
        <v>638</v>
      </c>
      <c r="D131" t="s">
        <v>177</v>
      </c>
      <c r="E131" t="s">
        <v>639</v>
      </c>
      <c r="F131" t="s">
        <v>640</v>
      </c>
      <c r="G131" t="s">
        <v>641</v>
      </c>
      <c r="Q131">
        <v>561</v>
      </c>
      <c r="CH131" t="str">
        <f t="shared" si="2"/>
        <v>D-0152</v>
      </c>
      <c r="CI131" s="1" t="s">
        <v>102</v>
      </c>
    </row>
    <row r="132" spans="1:87">
      <c r="A132" t="s">
        <v>2512</v>
      </c>
      <c r="B132">
        <v>10875</v>
      </c>
      <c r="C132" t="s">
        <v>1113</v>
      </c>
      <c r="D132" t="s">
        <v>249</v>
      </c>
      <c r="E132" t="s">
        <v>642</v>
      </c>
      <c r="F132" t="s">
        <v>657</v>
      </c>
      <c r="G132" t="s">
        <v>1114</v>
      </c>
      <c r="P132">
        <v>12</v>
      </c>
      <c r="Q132">
        <v>218</v>
      </c>
      <c r="R132">
        <v>359</v>
      </c>
      <c r="S132">
        <v>1367</v>
      </c>
      <c r="T132">
        <v>1283</v>
      </c>
      <c r="U132">
        <v>1628</v>
      </c>
      <c r="V132">
        <v>1445</v>
      </c>
      <c r="W132">
        <v>1721</v>
      </c>
      <c r="X132">
        <v>765</v>
      </c>
      <c r="Y132">
        <v>1358</v>
      </c>
      <c r="Z132">
        <v>352</v>
      </c>
      <c r="AA132">
        <v>227</v>
      </c>
      <c r="AB132">
        <v>66</v>
      </c>
      <c r="AC132">
        <v>43</v>
      </c>
      <c r="AD132">
        <v>31</v>
      </c>
      <c r="CH132" t="str">
        <f t="shared" si="2"/>
        <v>D-0271</v>
      </c>
      <c r="CI132" s="1" t="s">
        <v>102</v>
      </c>
    </row>
    <row r="133" spans="1:87">
      <c r="A133" t="s">
        <v>2589</v>
      </c>
      <c r="B133">
        <v>10841</v>
      </c>
      <c r="C133" t="s">
        <v>2590</v>
      </c>
      <c r="D133" t="s">
        <v>313</v>
      </c>
      <c r="E133" t="s">
        <v>629</v>
      </c>
      <c r="F133" t="s">
        <v>636</v>
      </c>
      <c r="G133" t="s">
        <v>742</v>
      </c>
      <c r="O133">
        <v>216</v>
      </c>
      <c r="P133">
        <v>436</v>
      </c>
      <c r="Q133">
        <v>1084</v>
      </c>
      <c r="R133">
        <v>1511</v>
      </c>
      <c r="S133">
        <v>1734</v>
      </c>
      <c r="T133">
        <v>1947</v>
      </c>
      <c r="U133">
        <v>1518</v>
      </c>
      <c r="V133">
        <v>1081</v>
      </c>
      <c r="W133">
        <v>868</v>
      </c>
      <c r="X133">
        <v>446</v>
      </c>
      <c r="CH133" t="str">
        <f t="shared" si="2"/>
        <v>D-0468</v>
      </c>
      <c r="CI133" s="1" t="s">
        <v>102</v>
      </c>
    </row>
    <row r="134" spans="1:87">
      <c r="A134" t="s">
        <v>3850</v>
      </c>
      <c r="B134">
        <v>6217</v>
      </c>
      <c r="C134" t="s">
        <v>1062</v>
      </c>
      <c r="D134" t="s">
        <v>223</v>
      </c>
      <c r="E134" t="s">
        <v>629</v>
      </c>
      <c r="F134" t="s">
        <v>693</v>
      </c>
      <c r="G134" t="s">
        <v>2283</v>
      </c>
      <c r="T134">
        <v>150</v>
      </c>
      <c r="U134">
        <v>260</v>
      </c>
      <c r="V134">
        <v>600</v>
      </c>
      <c r="W134">
        <v>600</v>
      </c>
      <c r="X134">
        <v>707</v>
      </c>
      <c r="Y134">
        <v>800</v>
      </c>
      <c r="Z134">
        <v>800</v>
      </c>
      <c r="AA134">
        <v>800</v>
      </c>
      <c r="AB134">
        <v>800</v>
      </c>
      <c r="AC134">
        <v>400</v>
      </c>
      <c r="AD134">
        <v>300</v>
      </c>
      <c r="CH134" t="str">
        <f t="shared" si="2"/>
        <v>D-0263</v>
      </c>
      <c r="CI134" s="1" t="s">
        <v>102</v>
      </c>
    </row>
    <row r="135" spans="1:87">
      <c r="A135" t="s">
        <v>2521</v>
      </c>
      <c r="B135">
        <v>1482</v>
      </c>
      <c r="C135" t="s">
        <v>1182</v>
      </c>
      <c r="D135" t="s">
        <v>444</v>
      </c>
      <c r="E135" t="s">
        <v>642</v>
      </c>
      <c r="F135" t="s">
        <v>636</v>
      </c>
      <c r="G135" t="s">
        <v>1183</v>
      </c>
      <c r="U135">
        <v>129</v>
      </c>
      <c r="V135">
        <v>26</v>
      </c>
      <c r="W135">
        <v>465</v>
      </c>
      <c r="X135">
        <v>267</v>
      </c>
      <c r="Y135">
        <v>288</v>
      </c>
      <c r="Z135">
        <v>131</v>
      </c>
      <c r="AA135">
        <v>80</v>
      </c>
      <c r="AB135">
        <v>57</v>
      </c>
      <c r="AC135">
        <v>23</v>
      </c>
      <c r="AD135">
        <v>16</v>
      </c>
      <c r="CH135" t="str">
        <f t="shared" si="2"/>
        <v>D-0686</v>
      </c>
      <c r="CI135" s="1" t="s">
        <v>102</v>
      </c>
    </row>
    <row r="136" spans="1:87">
      <c r="A136" t="s">
        <v>3809</v>
      </c>
      <c r="B136">
        <v>43</v>
      </c>
      <c r="C136" t="s">
        <v>1182</v>
      </c>
      <c r="D136" t="s">
        <v>444</v>
      </c>
      <c r="E136" t="s">
        <v>642</v>
      </c>
      <c r="F136" t="s">
        <v>636</v>
      </c>
      <c r="G136" t="s">
        <v>1183</v>
      </c>
      <c r="P136">
        <v>1</v>
      </c>
      <c r="Q136">
        <v>1</v>
      </c>
      <c r="R136">
        <v>2</v>
      </c>
      <c r="S136">
        <v>4</v>
      </c>
      <c r="T136">
        <v>5</v>
      </c>
      <c r="U136">
        <v>5</v>
      </c>
      <c r="V136">
        <v>6</v>
      </c>
      <c r="W136">
        <v>5</v>
      </c>
      <c r="X136">
        <v>3</v>
      </c>
      <c r="Y136">
        <v>3</v>
      </c>
      <c r="Z136">
        <v>2</v>
      </c>
      <c r="AA136">
        <v>2</v>
      </c>
      <c r="AB136">
        <v>2</v>
      </c>
      <c r="AC136">
        <v>1</v>
      </c>
      <c r="AD136">
        <v>1</v>
      </c>
      <c r="CH136" t="str">
        <f t="shared" si="2"/>
        <v>D-0686</v>
      </c>
      <c r="CI136" s="1" t="s">
        <v>102</v>
      </c>
    </row>
    <row r="137" spans="1:87">
      <c r="A137" t="s">
        <v>1078</v>
      </c>
      <c r="B137">
        <v>2498</v>
      </c>
      <c r="C137" t="s">
        <v>1079</v>
      </c>
      <c r="D137" t="s">
        <v>365</v>
      </c>
      <c r="E137" t="s">
        <v>642</v>
      </c>
      <c r="F137" t="s">
        <v>706</v>
      </c>
      <c r="G137" t="s">
        <v>1080</v>
      </c>
      <c r="O137">
        <v>96</v>
      </c>
      <c r="P137">
        <v>240</v>
      </c>
      <c r="Q137">
        <v>264</v>
      </c>
      <c r="R137">
        <v>276</v>
      </c>
      <c r="S137">
        <v>276</v>
      </c>
      <c r="T137">
        <v>290</v>
      </c>
      <c r="U137">
        <v>288</v>
      </c>
      <c r="V137">
        <v>264</v>
      </c>
      <c r="W137">
        <v>264</v>
      </c>
      <c r="Y137">
        <v>240</v>
      </c>
      <c r="CH137" t="str">
        <f t="shared" si="2"/>
        <v>D-0524</v>
      </c>
      <c r="CI137" s="1" t="s">
        <v>102</v>
      </c>
    </row>
    <row r="138" spans="1:87">
      <c r="A138" t="s">
        <v>1747</v>
      </c>
      <c r="B138">
        <v>588</v>
      </c>
      <c r="C138" t="s">
        <v>1746</v>
      </c>
      <c r="D138" t="s">
        <v>410</v>
      </c>
      <c r="E138" t="s">
        <v>629</v>
      </c>
      <c r="F138" t="s">
        <v>652</v>
      </c>
      <c r="G138" t="s">
        <v>1742</v>
      </c>
      <c r="L138">
        <v>12</v>
      </c>
      <c r="M138">
        <v>12</v>
      </c>
      <c r="N138">
        <v>12</v>
      </c>
      <c r="O138">
        <v>12</v>
      </c>
      <c r="P138">
        <v>12</v>
      </c>
      <c r="Q138">
        <v>12</v>
      </c>
      <c r="R138">
        <v>24</v>
      </c>
      <c r="S138">
        <v>24</v>
      </c>
      <c r="T138">
        <v>12</v>
      </c>
      <c r="U138">
        <v>36</v>
      </c>
      <c r="V138">
        <v>24</v>
      </c>
      <c r="W138">
        <v>48</v>
      </c>
      <c r="X138">
        <v>72</v>
      </c>
      <c r="Y138">
        <v>48</v>
      </c>
      <c r="Z138">
        <v>84</v>
      </c>
      <c r="AA138">
        <v>60</v>
      </c>
      <c r="AB138">
        <v>24</v>
      </c>
      <c r="AC138">
        <v>36</v>
      </c>
      <c r="AD138">
        <v>24</v>
      </c>
      <c r="AE138">
        <v>12</v>
      </c>
      <c r="CH138" t="str">
        <f t="shared" si="2"/>
        <v>D-0591</v>
      </c>
      <c r="CI138" s="1" t="s">
        <v>102</v>
      </c>
    </row>
    <row r="139" spans="1:87">
      <c r="A139" t="s">
        <v>2314</v>
      </c>
      <c r="B139">
        <v>877</v>
      </c>
      <c r="C139" t="s">
        <v>638</v>
      </c>
      <c r="D139" t="s">
        <v>177</v>
      </c>
      <c r="E139" t="s">
        <v>639</v>
      </c>
      <c r="F139" t="s">
        <v>640</v>
      </c>
      <c r="G139" t="s">
        <v>641</v>
      </c>
      <c r="Q139">
        <v>877</v>
      </c>
      <c r="CH139" t="str">
        <f t="shared" si="2"/>
        <v>D-0152</v>
      </c>
      <c r="CI139" s="1" t="s">
        <v>102</v>
      </c>
    </row>
    <row r="140" spans="1:87">
      <c r="A140" t="s">
        <v>2315</v>
      </c>
      <c r="B140">
        <v>815</v>
      </c>
      <c r="C140" t="s">
        <v>638</v>
      </c>
      <c r="D140" t="s">
        <v>177</v>
      </c>
      <c r="E140" t="s">
        <v>639</v>
      </c>
      <c r="F140" t="s">
        <v>640</v>
      </c>
      <c r="G140" t="s">
        <v>641</v>
      </c>
      <c r="R140">
        <v>815</v>
      </c>
      <c r="CH140" t="str">
        <f t="shared" si="2"/>
        <v>D-0152</v>
      </c>
      <c r="CI140" s="1" t="s">
        <v>102</v>
      </c>
    </row>
    <row r="141" spans="1:87">
      <c r="A141" t="s">
        <v>2349</v>
      </c>
      <c r="B141">
        <v>34</v>
      </c>
      <c r="C141" t="s">
        <v>638</v>
      </c>
      <c r="D141" t="s">
        <v>177</v>
      </c>
      <c r="E141" t="s">
        <v>639</v>
      </c>
      <c r="F141" t="s">
        <v>640</v>
      </c>
      <c r="G141" t="s">
        <v>641</v>
      </c>
      <c r="Q141">
        <v>34</v>
      </c>
      <c r="CH141" t="str">
        <f t="shared" si="2"/>
        <v>D-0152</v>
      </c>
      <c r="CI141" s="1" t="s">
        <v>102</v>
      </c>
    </row>
    <row r="142" spans="1:87">
      <c r="A142" t="s">
        <v>2327</v>
      </c>
      <c r="B142">
        <v>517</v>
      </c>
      <c r="C142" t="s">
        <v>638</v>
      </c>
      <c r="D142" t="s">
        <v>177</v>
      </c>
      <c r="E142" t="s">
        <v>639</v>
      </c>
      <c r="F142" t="s">
        <v>640</v>
      </c>
      <c r="G142" t="s">
        <v>641</v>
      </c>
      <c r="S142">
        <v>517</v>
      </c>
      <c r="CH142" t="str">
        <f t="shared" si="2"/>
        <v>D-0152</v>
      </c>
      <c r="CI142" s="1" t="s">
        <v>102</v>
      </c>
    </row>
    <row r="143" spans="1:87">
      <c r="A143" t="s">
        <v>973</v>
      </c>
      <c r="B143">
        <v>701</v>
      </c>
      <c r="C143" t="s">
        <v>734</v>
      </c>
      <c r="D143" t="s">
        <v>210</v>
      </c>
      <c r="E143" t="s">
        <v>629</v>
      </c>
      <c r="F143" t="s">
        <v>633</v>
      </c>
      <c r="G143" t="s">
        <v>670</v>
      </c>
      <c r="T143">
        <v>61</v>
      </c>
      <c r="V143">
        <v>99</v>
      </c>
      <c r="W143">
        <v>106</v>
      </c>
      <c r="X143">
        <v>70</v>
      </c>
      <c r="Y143">
        <v>111</v>
      </c>
      <c r="Z143">
        <v>108</v>
      </c>
      <c r="AA143">
        <v>27</v>
      </c>
      <c r="AB143">
        <v>71</v>
      </c>
      <c r="AC143">
        <v>6</v>
      </c>
      <c r="AD143">
        <v>42</v>
      </c>
      <c r="CH143" t="str">
        <f t="shared" si="2"/>
        <v>D-0256</v>
      </c>
      <c r="CI143" s="1" t="s">
        <v>102</v>
      </c>
    </row>
    <row r="144" spans="1:87">
      <c r="A144" t="s">
        <v>1600</v>
      </c>
      <c r="B144">
        <v>80</v>
      </c>
      <c r="C144" t="s">
        <v>1587</v>
      </c>
      <c r="D144" t="s">
        <v>282</v>
      </c>
      <c r="E144" t="s">
        <v>639</v>
      </c>
      <c r="F144" t="s">
        <v>699</v>
      </c>
      <c r="G144" t="s">
        <v>749</v>
      </c>
      <c r="CH144" t="str">
        <f t="shared" si="2"/>
        <v>D-0390</v>
      </c>
      <c r="CI144" s="1" t="s">
        <v>102</v>
      </c>
    </row>
    <row r="145" spans="1:87">
      <c r="A145" t="s">
        <v>1610</v>
      </c>
      <c r="B145">
        <v>50</v>
      </c>
      <c r="C145" t="s">
        <v>1587</v>
      </c>
      <c r="D145" t="s">
        <v>282</v>
      </c>
      <c r="E145" t="s">
        <v>639</v>
      </c>
      <c r="F145" t="s">
        <v>699</v>
      </c>
      <c r="G145" t="s">
        <v>749</v>
      </c>
      <c r="CH145" t="str">
        <f t="shared" si="2"/>
        <v>D-0390</v>
      </c>
      <c r="CI145" s="1" t="s">
        <v>102</v>
      </c>
    </row>
    <row r="146" spans="1:87">
      <c r="A146" t="s">
        <v>1614</v>
      </c>
      <c r="B146">
        <v>50</v>
      </c>
      <c r="C146" t="s">
        <v>1587</v>
      </c>
      <c r="D146" t="s">
        <v>282</v>
      </c>
      <c r="E146" t="s">
        <v>639</v>
      </c>
      <c r="F146" t="s">
        <v>699</v>
      </c>
      <c r="G146" t="s">
        <v>749</v>
      </c>
      <c r="CH146" t="str">
        <f t="shared" si="2"/>
        <v>D-0390</v>
      </c>
      <c r="CI146" s="1" t="s">
        <v>102</v>
      </c>
    </row>
    <row r="147" spans="1:87">
      <c r="A147" t="s">
        <v>3057</v>
      </c>
      <c r="B147">
        <v>4339</v>
      </c>
      <c r="C147" t="s">
        <v>3058</v>
      </c>
      <c r="D147" t="s">
        <v>360</v>
      </c>
      <c r="E147" t="s">
        <v>629</v>
      </c>
      <c r="F147" t="s">
        <v>654</v>
      </c>
      <c r="G147" t="s">
        <v>655</v>
      </c>
      <c r="R147">
        <v>105</v>
      </c>
      <c r="S147">
        <v>113</v>
      </c>
      <c r="T147">
        <v>224</v>
      </c>
      <c r="U147">
        <v>386</v>
      </c>
      <c r="V147">
        <v>621</v>
      </c>
      <c r="W147">
        <v>690</v>
      </c>
      <c r="X147">
        <v>796</v>
      </c>
      <c r="Y147">
        <v>593</v>
      </c>
      <c r="Z147">
        <v>328</v>
      </c>
      <c r="AA147">
        <v>184</v>
      </c>
      <c r="AB147">
        <v>153</v>
      </c>
      <c r="AC147">
        <v>74</v>
      </c>
      <c r="AD147">
        <v>34</v>
      </c>
      <c r="AE147">
        <v>38</v>
      </c>
      <c r="CH147" t="str">
        <f t="shared" si="2"/>
        <v>D-0522</v>
      </c>
      <c r="CI147" s="1" t="s">
        <v>102</v>
      </c>
    </row>
    <row r="148" spans="1:87">
      <c r="A148" t="s">
        <v>3066</v>
      </c>
      <c r="B148">
        <v>43</v>
      </c>
      <c r="C148" t="s">
        <v>3058</v>
      </c>
      <c r="D148" t="s">
        <v>360</v>
      </c>
      <c r="E148" t="s">
        <v>629</v>
      </c>
      <c r="F148" t="s">
        <v>654</v>
      </c>
      <c r="G148" t="s">
        <v>655</v>
      </c>
      <c r="R148">
        <v>3</v>
      </c>
      <c r="S148">
        <v>3</v>
      </c>
      <c r="T148">
        <v>3</v>
      </c>
      <c r="U148">
        <v>3</v>
      </c>
      <c r="V148">
        <v>3</v>
      </c>
      <c r="W148">
        <v>4</v>
      </c>
      <c r="X148">
        <v>3</v>
      </c>
      <c r="Y148">
        <v>3</v>
      </c>
      <c r="Z148">
        <v>3</v>
      </c>
      <c r="AA148">
        <v>3</v>
      </c>
      <c r="AB148">
        <v>3</v>
      </c>
      <c r="AC148">
        <v>3</v>
      </c>
      <c r="AD148">
        <v>3</v>
      </c>
      <c r="AE148">
        <v>3</v>
      </c>
      <c r="CH148" t="str">
        <f t="shared" si="2"/>
        <v>D-0522</v>
      </c>
      <c r="CI148" s="1" t="s">
        <v>102</v>
      </c>
    </row>
    <row r="149" spans="1:87">
      <c r="A149" t="s">
        <v>3486</v>
      </c>
      <c r="B149">
        <v>400</v>
      </c>
      <c r="C149" t="s">
        <v>3297</v>
      </c>
      <c r="D149" t="s">
        <v>214</v>
      </c>
      <c r="E149" t="s">
        <v>629</v>
      </c>
      <c r="F149" t="s">
        <v>721</v>
      </c>
      <c r="G149" t="s">
        <v>3298</v>
      </c>
      <c r="T149">
        <v>24</v>
      </c>
      <c r="U149">
        <v>13</v>
      </c>
      <c r="V149">
        <v>35</v>
      </c>
      <c r="W149">
        <v>36</v>
      </c>
      <c r="X149">
        <v>79</v>
      </c>
      <c r="Y149">
        <v>48</v>
      </c>
      <c r="Z149">
        <v>61</v>
      </c>
      <c r="AA149">
        <v>30</v>
      </c>
      <c r="AB149">
        <v>44</v>
      </c>
      <c r="AC149">
        <v>6</v>
      </c>
      <c r="AD149">
        <v>24</v>
      </c>
      <c r="CH149" t="str">
        <f t="shared" si="2"/>
        <v>D-0258</v>
      </c>
      <c r="CI149" s="1" t="s">
        <v>102</v>
      </c>
    </row>
    <row r="150" spans="1:87">
      <c r="A150" t="s">
        <v>5131</v>
      </c>
      <c r="B150">
        <v>2773</v>
      </c>
      <c r="C150" t="s">
        <v>3297</v>
      </c>
      <c r="D150" t="s">
        <v>214</v>
      </c>
      <c r="E150" t="s">
        <v>629</v>
      </c>
      <c r="F150" t="s">
        <v>721</v>
      </c>
      <c r="G150" t="s">
        <v>3298</v>
      </c>
      <c r="R150">
        <v>7</v>
      </c>
      <c r="S150">
        <v>11</v>
      </c>
      <c r="T150">
        <v>32</v>
      </c>
      <c r="U150">
        <v>24</v>
      </c>
      <c r="V150">
        <v>437</v>
      </c>
      <c r="W150">
        <v>476</v>
      </c>
      <c r="X150">
        <v>702</v>
      </c>
      <c r="Y150">
        <v>498</v>
      </c>
      <c r="Z150">
        <v>297</v>
      </c>
      <c r="AA150">
        <v>36</v>
      </c>
      <c r="AB150">
        <v>118</v>
      </c>
      <c r="AC150">
        <v>62</v>
      </c>
      <c r="AD150">
        <v>63</v>
      </c>
      <c r="AF150">
        <v>10</v>
      </c>
      <c r="CH150" t="str">
        <f t="shared" si="2"/>
        <v>D-0258</v>
      </c>
      <c r="CI150" s="1" t="s">
        <v>102</v>
      </c>
    </row>
    <row r="151" spans="1:87">
      <c r="A151" t="s">
        <v>5132</v>
      </c>
      <c r="B151">
        <v>2577</v>
      </c>
      <c r="C151" t="s">
        <v>3297</v>
      </c>
      <c r="D151" t="s">
        <v>214</v>
      </c>
      <c r="E151" t="s">
        <v>629</v>
      </c>
      <c r="F151" t="s">
        <v>721</v>
      </c>
      <c r="G151" t="s">
        <v>3298</v>
      </c>
      <c r="R151">
        <v>3</v>
      </c>
      <c r="S151">
        <v>6</v>
      </c>
      <c r="T151">
        <v>38</v>
      </c>
      <c r="U151">
        <v>67</v>
      </c>
      <c r="V151">
        <v>380</v>
      </c>
      <c r="W151">
        <v>434</v>
      </c>
      <c r="X151">
        <v>603</v>
      </c>
      <c r="Y151">
        <v>442</v>
      </c>
      <c r="Z151">
        <v>258</v>
      </c>
      <c r="AA151">
        <v>112</v>
      </c>
      <c r="AB151">
        <v>109</v>
      </c>
      <c r="AC151">
        <v>59</v>
      </c>
      <c r="AD151">
        <v>60</v>
      </c>
      <c r="AF151">
        <v>6</v>
      </c>
      <c r="CH151" t="str">
        <f t="shared" si="2"/>
        <v>D-0258</v>
      </c>
      <c r="CI151" s="1" t="s">
        <v>102</v>
      </c>
    </row>
    <row r="152" spans="1:87">
      <c r="A152" t="s">
        <v>3755</v>
      </c>
      <c r="B152">
        <v>179</v>
      </c>
      <c r="C152" t="s">
        <v>3297</v>
      </c>
      <c r="D152" t="s">
        <v>214</v>
      </c>
      <c r="E152" t="s">
        <v>629</v>
      </c>
      <c r="F152" t="s">
        <v>721</v>
      </c>
      <c r="G152" t="s">
        <v>3298</v>
      </c>
      <c r="R152">
        <v>2</v>
      </c>
      <c r="S152">
        <v>4</v>
      </c>
      <c r="T152">
        <v>7</v>
      </c>
      <c r="U152">
        <v>7</v>
      </c>
      <c r="V152">
        <v>16</v>
      </c>
      <c r="W152">
        <v>16</v>
      </c>
      <c r="X152">
        <v>30</v>
      </c>
      <c r="Y152">
        <v>22</v>
      </c>
      <c r="Z152">
        <v>27</v>
      </c>
      <c r="AA152">
        <v>16</v>
      </c>
      <c r="AB152">
        <v>16</v>
      </c>
      <c r="AC152">
        <v>5</v>
      </c>
      <c r="AD152">
        <v>7</v>
      </c>
      <c r="AF152">
        <v>4</v>
      </c>
      <c r="CH152" t="str">
        <f t="shared" si="2"/>
        <v>D-0258</v>
      </c>
      <c r="CI152" s="1" t="s">
        <v>102</v>
      </c>
    </row>
    <row r="153" spans="1:87">
      <c r="A153" t="s">
        <v>5142</v>
      </c>
      <c r="B153">
        <v>3</v>
      </c>
      <c r="C153" t="s">
        <v>3297</v>
      </c>
      <c r="D153" t="s">
        <v>214</v>
      </c>
      <c r="E153" t="s">
        <v>629</v>
      </c>
      <c r="F153" t="s">
        <v>721</v>
      </c>
      <c r="G153" t="s">
        <v>3298</v>
      </c>
      <c r="AE153">
        <v>3</v>
      </c>
      <c r="CH153" t="str">
        <f t="shared" si="2"/>
        <v>D-0258</v>
      </c>
      <c r="CI153" s="1" t="s">
        <v>102</v>
      </c>
    </row>
    <row r="154" spans="1:87">
      <c r="A154" t="s">
        <v>5141</v>
      </c>
      <c r="B154">
        <v>4</v>
      </c>
      <c r="C154" t="s">
        <v>3297</v>
      </c>
      <c r="D154" t="s">
        <v>214</v>
      </c>
      <c r="E154" t="s">
        <v>629</v>
      </c>
      <c r="F154" t="s">
        <v>721</v>
      </c>
      <c r="G154" t="s">
        <v>3298</v>
      </c>
      <c r="AE154">
        <v>4</v>
      </c>
      <c r="CH154" t="str">
        <f t="shared" si="2"/>
        <v>D-0258</v>
      </c>
      <c r="CI154" s="1" t="s">
        <v>102</v>
      </c>
    </row>
    <row r="155" spans="1:87">
      <c r="A155" t="s">
        <v>3889</v>
      </c>
      <c r="B155">
        <v>4</v>
      </c>
      <c r="C155" t="s">
        <v>3297</v>
      </c>
      <c r="D155" t="s">
        <v>214</v>
      </c>
      <c r="E155" t="s">
        <v>629</v>
      </c>
      <c r="F155" t="s">
        <v>721</v>
      </c>
      <c r="G155" t="s">
        <v>3298</v>
      </c>
      <c r="AE155">
        <v>4</v>
      </c>
      <c r="CH155" t="str">
        <f t="shared" si="2"/>
        <v>D-0258</v>
      </c>
      <c r="CI155" s="1" t="s">
        <v>102</v>
      </c>
    </row>
    <row r="156" spans="1:87">
      <c r="A156" t="s">
        <v>3888</v>
      </c>
      <c r="B156">
        <v>2</v>
      </c>
      <c r="C156" t="s">
        <v>3297</v>
      </c>
      <c r="D156" t="s">
        <v>214</v>
      </c>
      <c r="E156" t="s">
        <v>629</v>
      </c>
      <c r="F156" t="s">
        <v>721</v>
      </c>
      <c r="G156" t="s">
        <v>3298</v>
      </c>
      <c r="AE156">
        <v>2</v>
      </c>
      <c r="CH156" t="str">
        <f t="shared" si="2"/>
        <v>D-0258</v>
      </c>
      <c r="CI156" s="1" t="s">
        <v>102</v>
      </c>
    </row>
    <row r="157" spans="1:87">
      <c r="A157" t="s">
        <v>3890</v>
      </c>
      <c r="B157">
        <v>7</v>
      </c>
      <c r="C157" t="s">
        <v>3297</v>
      </c>
      <c r="D157" t="s">
        <v>214</v>
      </c>
      <c r="E157" t="s">
        <v>629</v>
      </c>
      <c r="F157" t="s">
        <v>721</v>
      </c>
      <c r="G157" t="s">
        <v>3298</v>
      </c>
      <c r="AE157">
        <v>7</v>
      </c>
      <c r="CH157" t="str">
        <f t="shared" si="2"/>
        <v>D-0258</v>
      </c>
      <c r="CI157" s="1" t="s">
        <v>102</v>
      </c>
    </row>
    <row r="158" spans="1:87">
      <c r="A158" t="s">
        <v>3856</v>
      </c>
      <c r="B158">
        <v>415</v>
      </c>
      <c r="C158" t="s">
        <v>3297</v>
      </c>
      <c r="D158" t="s">
        <v>214</v>
      </c>
      <c r="E158" t="s">
        <v>629</v>
      </c>
      <c r="F158" t="s">
        <v>721</v>
      </c>
      <c r="G158" t="s">
        <v>3298</v>
      </c>
      <c r="R158">
        <v>13</v>
      </c>
      <c r="T158">
        <v>27</v>
      </c>
      <c r="U158">
        <v>45</v>
      </c>
      <c r="W158">
        <v>74</v>
      </c>
      <c r="Y158">
        <v>84</v>
      </c>
      <c r="Z158">
        <v>86</v>
      </c>
      <c r="AB158">
        <v>54</v>
      </c>
      <c r="AD158">
        <v>27</v>
      </c>
      <c r="AF158">
        <v>5</v>
      </c>
      <c r="CH158" t="str">
        <f t="shared" si="2"/>
        <v>D-0258</v>
      </c>
      <c r="CI158" s="1" t="s">
        <v>102</v>
      </c>
    </row>
    <row r="159" spans="1:87">
      <c r="A159" t="s">
        <v>2100</v>
      </c>
      <c r="B159">
        <v>708</v>
      </c>
      <c r="C159" t="s">
        <v>2099</v>
      </c>
      <c r="D159" t="s">
        <v>410</v>
      </c>
      <c r="E159" t="s">
        <v>629</v>
      </c>
      <c r="F159" t="s">
        <v>652</v>
      </c>
      <c r="G159" t="s">
        <v>1736</v>
      </c>
      <c r="L159">
        <v>72</v>
      </c>
      <c r="M159">
        <v>72</v>
      </c>
      <c r="N159">
        <v>72</v>
      </c>
      <c r="O159">
        <v>72</v>
      </c>
      <c r="P159">
        <v>132</v>
      </c>
      <c r="Q159">
        <v>84</v>
      </c>
      <c r="R159">
        <v>132</v>
      </c>
      <c r="S159">
        <v>144</v>
      </c>
      <c r="T159">
        <v>36</v>
      </c>
      <c r="U159">
        <v>24</v>
      </c>
      <c r="CH159" t="str">
        <f t="shared" si="2"/>
        <v>D-0591</v>
      </c>
      <c r="CI159" s="1" t="s">
        <v>102</v>
      </c>
    </row>
    <row r="160" spans="1:87">
      <c r="A160" t="s">
        <v>2261</v>
      </c>
      <c r="B160">
        <v>24</v>
      </c>
      <c r="C160" t="s">
        <v>1739</v>
      </c>
      <c r="D160" t="s">
        <v>261</v>
      </c>
      <c r="E160" t="s">
        <v>629</v>
      </c>
      <c r="F160" t="s">
        <v>652</v>
      </c>
      <c r="G160" t="s">
        <v>1003</v>
      </c>
      <c r="R160">
        <v>3</v>
      </c>
      <c r="S160">
        <v>3</v>
      </c>
      <c r="T160">
        <v>4</v>
      </c>
      <c r="U160">
        <v>4</v>
      </c>
      <c r="W160">
        <v>4</v>
      </c>
      <c r="Y160">
        <v>3</v>
      </c>
      <c r="Z160">
        <v>2</v>
      </c>
      <c r="AB160">
        <v>1</v>
      </c>
      <c r="CH160" t="str">
        <f t="shared" si="2"/>
        <v>D-0310</v>
      </c>
      <c r="CI160" s="1" t="s">
        <v>102</v>
      </c>
    </row>
    <row r="161" spans="1:87">
      <c r="A161" t="s">
        <v>2275</v>
      </c>
      <c r="B161">
        <v>20</v>
      </c>
      <c r="C161" t="s">
        <v>1739</v>
      </c>
      <c r="D161" t="s">
        <v>261</v>
      </c>
      <c r="E161" t="s">
        <v>629</v>
      </c>
      <c r="F161" t="s">
        <v>652</v>
      </c>
      <c r="G161" t="s">
        <v>1003</v>
      </c>
      <c r="P161">
        <v>2</v>
      </c>
      <c r="R161">
        <v>2</v>
      </c>
      <c r="T161">
        <v>2</v>
      </c>
      <c r="V161">
        <v>2</v>
      </c>
      <c r="X161">
        <v>4</v>
      </c>
      <c r="Z161">
        <v>4</v>
      </c>
      <c r="AB161">
        <v>2</v>
      </c>
      <c r="AD161">
        <v>2</v>
      </c>
      <c r="CH161" t="str">
        <f t="shared" si="2"/>
        <v>D-0310</v>
      </c>
      <c r="CI161" s="1" t="s">
        <v>102</v>
      </c>
    </row>
    <row r="162" spans="1:87">
      <c r="A162" t="s">
        <v>2274</v>
      </c>
      <c r="B162">
        <v>53</v>
      </c>
      <c r="C162" t="s">
        <v>1739</v>
      </c>
      <c r="D162" t="s">
        <v>261</v>
      </c>
      <c r="E162" t="s">
        <v>629</v>
      </c>
      <c r="F162" t="s">
        <v>652</v>
      </c>
      <c r="G162" t="s">
        <v>1003</v>
      </c>
      <c r="P162">
        <v>1</v>
      </c>
      <c r="R162">
        <v>3</v>
      </c>
      <c r="T162">
        <v>6</v>
      </c>
      <c r="V162">
        <v>9</v>
      </c>
      <c r="X162">
        <v>13</v>
      </c>
      <c r="Z162">
        <v>10</v>
      </c>
      <c r="AB162">
        <v>8</v>
      </c>
      <c r="AD162">
        <v>1</v>
      </c>
      <c r="AF162">
        <v>1</v>
      </c>
      <c r="CH162" t="str">
        <f t="shared" si="2"/>
        <v>D-0310</v>
      </c>
      <c r="CI162" s="1" t="s">
        <v>102</v>
      </c>
    </row>
    <row r="163" spans="1:87">
      <c r="A163" t="s">
        <v>2371</v>
      </c>
      <c r="B163">
        <v>18</v>
      </c>
      <c r="C163" t="s">
        <v>1739</v>
      </c>
      <c r="D163" t="s">
        <v>261</v>
      </c>
      <c r="E163" t="s">
        <v>629</v>
      </c>
      <c r="F163" t="s">
        <v>652</v>
      </c>
      <c r="G163" t="s">
        <v>1003</v>
      </c>
      <c r="S163">
        <v>1</v>
      </c>
      <c r="T163">
        <v>3</v>
      </c>
      <c r="U163">
        <v>3</v>
      </c>
      <c r="V163">
        <v>3</v>
      </c>
      <c r="W163">
        <v>3</v>
      </c>
      <c r="X163">
        <v>1</v>
      </c>
      <c r="Y163">
        <v>2</v>
      </c>
      <c r="Z163">
        <v>2</v>
      </c>
      <c r="CH163" t="str">
        <f t="shared" si="2"/>
        <v>D-0310</v>
      </c>
      <c r="CI163" s="1" t="s">
        <v>102</v>
      </c>
    </row>
    <row r="164" spans="1:87">
      <c r="A164" t="s">
        <v>2276</v>
      </c>
      <c r="B164">
        <v>72</v>
      </c>
      <c r="C164" t="s">
        <v>1739</v>
      </c>
      <c r="D164" t="s">
        <v>261</v>
      </c>
      <c r="E164" t="s">
        <v>629</v>
      </c>
      <c r="F164" t="s">
        <v>652</v>
      </c>
      <c r="G164" t="s">
        <v>1003</v>
      </c>
      <c r="L164">
        <v>6</v>
      </c>
      <c r="M164">
        <v>6</v>
      </c>
      <c r="N164">
        <v>6</v>
      </c>
      <c r="O164">
        <v>6</v>
      </c>
      <c r="Q164">
        <v>6</v>
      </c>
      <c r="R164">
        <v>12</v>
      </c>
      <c r="T164">
        <v>12</v>
      </c>
      <c r="U164">
        <v>12</v>
      </c>
      <c r="W164">
        <v>12</v>
      </c>
      <c r="Y164">
        <v>12</v>
      </c>
      <c r="CH164" t="str">
        <f t="shared" si="2"/>
        <v>D-0310</v>
      </c>
      <c r="CI164" s="1" t="s">
        <v>102</v>
      </c>
    </row>
    <row r="165" spans="1:87">
      <c r="A165" t="s">
        <v>2004</v>
      </c>
      <c r="B165">
        <v>324</v>
      </c>
      <c r="C165" t="s">
        <v>1991</v>
      </c>
      <c r="D165" t="s">
        <v>410</v>
      </c>
      <c r="E165" t="s">
        <v>629</v>
      </c>
      <c r="F165" t="s">
        <v>652</v>
      </c>
      <c r="G165" t="s">
        <v>1992</v>
      </c>
      <c r="Q165">
        <v>12</v>
      </c>
      <c r="S165">
        <v>24</v>
      </c>
      <c r="U165">
        <v>60</v>
      </c>
      <c r="W165">
        <v>84</v>
      </c>
      <c r="Y165">
        <v>72</v>
      </c>
      <c r="AA165">
        <v>48</v>
      </c>
      <c r="AC165">
        <v>24</v>
      </c>
      <c r="CH165" t="str">
        <f t="shared" si="2"/>
        <v>D-0591</v>
      </c>
      <c r="CI165" s="1" t="s">
        <v>102</v>
      </c>
    </row>
    <row r="166" spans="1:87">
      <c r="A166" t="s">
        <v>2262</v>
      </c>
      <c r="B166">
        <v>28</v>
      </c>
      <c r="C166" t="s">
        <v>1739</v>
      </c>
      <c r="D166" t="s">
        <v>261</v>
      </c>
      <c r="E166" t="s">
        <v>629</v>
      </c>
      <c r="F166" t="s">
        <v>652</v>
      </c>
      <c r="G166" t="s">
        <v>1003</v>
      </c>
      <c r="L166">
        <v>2</v>
      </c>
      <c r="M166">
        <v>2</v>
      </c>
      <c r="N166">
        <v>2</v>
      </c>
      <c r="O166">
        <v>2</v>
      </c>
      <c r="P166">
        <v>2</v>
      </c>
      <c r="R166">
        <v>2</v>
      </c>
      <c r="S166">
        <v>2</v>
      </c>
      <c r="T166">
        <v>2</v>
      </c>
      <c r="U166">
        <v>2</v>
      </c>
      <c r="V166">
        <v>2</v>
      </c>
      <c r="W166">
        <v>2</v>
      </c>
      <c r="X166">
        <v>2</v>
      </c>
      <c r="Y166">
        <v>2</v>
      </c>
      <c r="AA166">
        <v>2</v>
      </c>
      <c r="CH166" t="str">
        <f t="shared" si="2"/>
        <v>D-0310</v>
      </c>
      <c r="CI166" s="1" t="s">
        <v>102</v>
      </c>
    </row>
    <row r="167" spans="1:87">
      <c r="A167" t="s">
        <v>1740</v>
      </c>
      <c r="B167">
        <v>96</v>
      </c>
      <c r="C167" t="s">
        <v>1739</v>
      </c>
      <c r="D167" t="s">
        <v>261</v>
      </c>
      <c r="E167" t="s">
        <v>629</v>
      </c>
      <c r="F167" t="s">
        <v>652</v>
      </c>
      <c r="G167" t="s">
        <v>1003</v>
      </c>
      <c r="L167">
        <v>4</v>
      </c>
      <c r="M167">
        <v>4</v>
      </c>
      <c r="N167">
        <v>4</v>
      </c>
      <c r="O167">
        <v>4</v>
      </c>
      <c r="P167">
        <v>4</v>
      </c>
      <c r="Q167">
        <v>6</v>
      </c>
      <c r="R167">
        <v>6</v>
      </c>
      <c r="S167">
        <v>8</v>
      </c>
      <c r="T167">
        <v>8</v>
      </c>
      <c r="U167">
        <v>6</v>
      </c>
      <c r="V167">
        <v>10</v>
      </c>
      <c r="W167">
        <v>8</v>
      </c>
      <c r="X167">
        <v>8</v>
      </c>
      <c r="Y167">
        <v>8</v>
      </c>
      <c r="Z167">
        <v>6</v>
      </c>
      <c r="AA167">
        <v>2</v>
      </c>
      <c r="AB167">
        <v>2</v>
      </c>
      <c r="AD167">
        <v>2</v>
      </c>
      <c r="CH167" t="str">
        <f t="shared" si="2"/>
        <v>D-0310</v>
      </c>
      <c r="CI167" s="1" t="s">
        <v>102</v>
      </c>
    </row>
    <row r="168" spans="1:87">
      <c r="A168" t="s">
        <v>2277</v>
      </c>
      <c r="B168">
        <v>16</v>
      </c>
      <c r="C168" t="s">
        <v>1739</v>
      </c>
      <c r="D168" t="s">
        <v>261</v>
      </c>
      <c r="E168" t="s">
        <v>629</v>
      </c>
      <c r="F168" t="s">
        <v>652</v>
      </c>
      <c r="G168" t="s">
        <v>1003</v>
      </c>
      <c r="R168">
        <v>2</v>
      </c>
      <c r="T168">
        <v>2</v>
      </c>
      <c r="V168">
        <v>3</v>
      </c>
      <c r="X168">
        <v>3</v>
      </c>
      <c r="Z168">
        <v>3</v>
      </c>
      <c r="AB168">
        <v>2</v>
      </c>
      <c r="AD168">
        <v>1</v>
      </c>
      <c r="CH168" t="str">
        <f t="shared" si="2"/>
        <v>D-0310</v>
      </c>
      <c r="CI168" s="1" t="s">
        <v>102</v>
      </c>
    </row>
    <row r="169" spans="1:87">
      <c r="A169" t="s">
        <v>2003</v>
      </c>
      <c r="B169">
        <v>288</v>
      </c>
      <c r="C169" t="s">
        <v>1991</v>
      </c>
      <c r="D169" t="s">
        <v>410</v>
      </c>
      <c r="E169" t="s">
        <v>629</v>
      </c>
      <c r="F169" t="s">
        <v>652</v>
      </c>
      <c r="G169" t="s">
        <v>1992</v>
      </c>
      <c r="T169">
        <v>24</v>
      </c>
      <c r="U169">
        <v>48</v>
      </c>
      <c r="V169">
        <v>48</v>
      </c>
      <c r="W169">
        <v>48</v>
      </c>
      <c r="X169">
        <v>48</v>
      </c>
      <c r="Y169">
        <v>24</v>
      </c>
      <c r="Z169">
        <v>24</v>
      </c>
      <c r="AA169">
        <v>24</v>
      </c>
      <c r="CH169" t="str">
        <f t="shared" si="2"/>
        <v>D-0591</v>
      </c>
      <c r="CI169" s="1" t="s">
        <v>102</v>
      </c>
    </row>
    <row r="170" spans="1:87">
      <c r="A170" t="s">
        <v>2000</v>
      </c>
      <c r="B170">
        <v>24</v>
      </c>
      <c r="C170" t="s">
        <v>1991</v>
      </c>
      <c r="D170" t="s">
        <v>410</v>
      </c>
      <c r="E170" t="s">
        <v>629</v>
      </c>
      <c r="F170" t="s">
        <v>652</v>
      </c>
      <c r="G170" t="s">
        <v>1992</v>
      </c>
      <c r="P170">
        <v>2</v>
      </c>
      <c r="Q170">
        <v>2</v>
      </c>
      <c r="R170">
        <v>2</v>
      </c>
      <c r="S170">
        <v>2</v>
      </c>
      <c r="T170">
        <v>2</v>
      </c>
      <c r="U170">
        <v>2</v>
      </c>
      <c r="V170">
        <v>2</v>
      </c>
      <c r="W170">
        <v>2</v>
      </c>
      <c r="X170">
        <v>2</v>
      </c>
      <c r="Y170">
        <v>2</v>
      </c>
      <c r="Z170">
        <v>2</v>
      </c>
      <c r="AA170">
        <v>2</v>
      </c>
      <c r="CH170" t="str">
        <f t="shared" si="2"/>
        <v>D-0591</v>
      </c>
      <c r="CI170" s="1" t="s">
        <v>102</v>
      </c>
    </row>
    <row r="171" spans="1:87">
      <c r="A171" t="s">
        <v>1221</v>
      </c>
      <c r="B171">
        <v>1559</v>
      </c>
      <c r="C171" t="s">
        <v>1168</v>
      </c>
      <c r="D171" t="s">
        <v>457</v>
      </c>
      <c r="E171" t="s">
        <v>629</v>
      </c>
      <c r="F171" t="s">
        <v>672</v>
      </c>
      <c r="G171" t="s">
        <v>673</v>
      </c>
      <c r="L171">
        <v>48</v>
      </c>
      <c r="M171">
        <v>48</v>
      </c>
      <c r="N171">
        <v>48</v>
      </c>
      <c r="O171">
        <v>48</v>
      </c>
      <c r="P171">
        <v>72</v>
      </c>
      <c r="Q171">
        <v>108</v>
      </c>
      <c r="R171">
        <v>108</v>
      </c>
      <c r="S171">
        <v>108</v>
      </c>
      <c r="T171">
        <v>90</v>
      </c>
      <c r="U171">
        <v>101</v>
      </c>
      <c r="V171">
        <v>108</v>
      </c>
      <c r="W171">
        <v>120</v>
      </c>
      <c r="X171">
        <v>90</v>
      </c>
      <c r="Y171">
        <v>174</v>
      </c>
      <c r="Z171">
        <v>120</v>
      </c>
      <c r="AA171">
        <v>60</v>
      </c>
      <c r="AB171">
        <v>78</v>
      </c>
      <c r="AC171">
        <v>48</v>
      </c>
      <c r="AD171">
        <v>48</v>
      </c>
      <c r="AF171">
        <v>30</v>
      </c>
      <c r="AH171">
        <v>12</v>
      </c>
      <c r="AJ171">
        <v>6</v>
      </c>
      <c r="CH171" t="str">
        <f t="shared" si="2"/>
        <v>JV1-0695-3</v>
      </c>
      <c r="CI171" s="1" t="s">
        <v>102</v>
      </c>
    </row>
    <row r="172" spans="1:87">
      <c r="A172" t="s">
        <v>1731</v>
      </c>
      <c r="B172">
        <v>1908</v>
      </c>
      <c r="C172" t="s">
        <v>1732</v>
      </c>
      <c r="D172" t="s">
        <v>261</v>
      </c>
      <c r="E172" t="s">
        <v>629</v>
      </c>
      <c r="F172" t="s">
        <v>635</v>
      </c>
      <c r="G172" t="s">
        <v>651</v>
      </c>
      <c r="L172">
        <v>192</v>
      </c>
      <c r="M172">
        <v>192</v>
      </c>
      <c r="N172">
        <v>192</v>
      </c>
      <c r="O172">
        <v>192</v>
      </c>
      <c r="P172">
        <v>144</v>
      </c>
      <c r="Q172">
        <v>180</v>
      </c>
      <c r="R172">
        <v>156</v>
      </c>
      <c r="S172">
        <v>96</v>
      </c>
      <c r="T172">
        <v>144</v>
      </c>
      <c r="U172">
        <v>180</v>
      </c>
      <c r="V172">
        <v>96</v>
      </c>
      <c r="W172">
        <v>144</v>
      </c>
      <c r="X172">
        <v>96</v>
      </c>
      <c r="Y172">
        <v>96</v>
      </c>
      <c r="Z172">
        <v>48</v>
      </c>
      <c r="AA172">
        <v>24</v>
      </c>
      <c r="AB172">
        <v>24</v>
      </c>
      <c r="CH172" t="str">
        <f t="shared" si="2"/>
        <v>D-0310</v>
      </c>
      <c r="CI172" s="1" t="s">
        <v>102</v>
      </c>
    </row>
    <row r="173" spans="1:87">
      <c r="A173" t="s">
        <v>3488</v>
      </c>
      <c r="B173">
        <v>300</v>
      </c>
      <c r="C173" t="s">
        <v>1642</v>
      </c>
      <c r="D173" t="s">
        <v>533</v>
      </c>
      <c r="E173" t="s">
        <v>629</v>
      </c>
      <c r="F173" t="s">
        <v>1643</v>
      </c>
      <c r="U173">
        <v>100</v>
      </c>
      <c r="V173">
        <v>100</v>
      </c>
      <c r="CH173" t="str">
        <f t="shared" si="2"/>
        <v>D-0041</v>
      </c>
      <c r="CI173" s="1" t="s">
        <v>102</v>
      </c>
    </row>
    <row r="174" spans="1:87">
      <c r="A174" t="s">
        <v>2350</v>
      </c>
      <c r="B174">
        <v>29</v>
      </c>
      <c r="C174" t="s">
        <v>638</v>
      </c>
      <c r="D174" t="s">
        <v>177</v>
      </c>
      <c r="E174" t="s">
        <v>639</v>
      </c>
      <c r="F174" t="s">
        <v>640</v>
      </c>
      <c r="G174" t="s">
        <v>641</v>
      </c>
      <c r="R174">
        <v>29</v>
      </c>
      <c r="CH174" t="str">
        <f t="shared" si="2"/>
        <v>D-0152</v>
      </c>
      <c r="CI174" s="1" t="s">
        <v>102</v>
      </c>
    </row>
    <row r="175" spans="1:87">
      <c r="A175" t="s">
        <v>2351</v>
      </c>
      <c r="B175">
        <v>22</v>
      </c>
      <c r="C175" t="s">
        <v>638</v>
      </c>
      <c r="D175" t="s">
        <v>177</v>
      </c>
      <c r="E175" t="s">
        <v>639</v>
      </c>
      <c r="F175" t="s">
        <v>640</v>
      </c>
      <c r="G175" t="s">
        <v>641</v>
      </c>
      <c r="S175">
        <v>22</v>
      </c>
      <c r="CH175" t="str">
        <f t="shared" si="2"/>
        <v>D-0152</v>
      </c>
      <c r="CI175" s="1" t="s">
        <v>102</v>
      </c>
    </row>
    <row r="176" spans="1:87">
      <c r="A176" t="s">
        <v>2339</v>
      </c>
      <c r="B176">
        <v>112</v>
      </c>
      <c r="C176" t="s">
        <v>638</v>
      </c>
      <c r="D176" t="s">
        <v>177</v>
      </c>
      <c r="E176" t="s">
        <v>639</v>
      </c>
      <c r="F176" t="s">
        <v>640</v>
      </c>
      <c r="G176" t="s">
        <v>641</v>
      </c>
      <c r="CH176" t="str">
        <f t="shared" si="2"/>
        <v>D-0152</v>
      </c>
      <c r="CI176" s="1" t="s">
        <v>102</v>
      </c>
    </row>
    <row r="177" spans="1:87">
      <c r="A177" t="s">
        <v>2330</v>
      </c>
      <c r="B177">
        <v>752</v>
      </c>
      <c r="C177" t="s">
        <v>638</v>
      </c>
      <c r="D177" t="s">
        <v>177</v>
      </c>
      <c r="E177" t="s">
        <v>639</v>
      </c>
      <c r="F177" t="s">
        <v>640</v>
      </c>
      <c r="G177" t="s">
        <v>641</v>
      </c>
      <c r="P177">
        <v>752</v>
      </c>
      <c r="CH177" t="str">
        <f t="shared" si="2"/>
        <v>D-0152</v>
      </c>
      <c r="CI177" s="1" t="s">
        <v>102</v>
      </c>
    </row>
    <row r="178" spans="1:87">
      <c r="A178" t="s">
        <v>2328</v>
      </c>
      <c r="B178">
        <v>683</v>
      </c>
      <c r="C178" t="s">
        <v>638</v>
      </c>
      <c r="D178" t="s">
        <v>177</v>
      </c>
      <c r="E178" t="s">
        <v>639</v>
      </c>
      <c r="F178" t="s">
        <v>640</v>
      </c>
      <c r="G178" t="s">
        <v>641</v>
      </c>
      <c r="R178">
        <v>683</v>
      </c>
      <c r="CH178" t="str">
        <f t="shared" si="2"/>
        <v>D-0152</v>
      </c>
      <c r="CI178" s="1" t="s">
        <v>102</v>
      </c>
    </row>
    <row r="179" spans="1:87">
      <c r="A179" t="s">
        <v>2313</v>
      </c>
      <c r="B179">
        <v>1134</v>
      </c>
      <c r="C179" t="s">
        <v>638</v>
      </c>
      <c r="D179" t="s">
        <v>177</v>
      </c>
      <c r="E179" t="s">
        <v>639</v>
      </c>
      <c r="F179" t="s">
        <v>640</v>
      </c>
      <c r="G179" t="s">
        <v>641</v>
      </c>
      <c r="P179">
        <v>1134</v>
      </c>
      <c r="CH179" t="str">
        <f t="shared" si="2"/>
        <v>D-0152</v>
      </c>
      <c r="CI179" s="1" t="s">
        <v>102</v>
      </c>
    </row>
    <row r="180" spans="1:87">
      <c r="A180" t="s">
        <v>3855</v>
      </c>
      <c r="B180">
        <v>878</v>
      </c>
      <c r="C180" t="s">
        <v>3297</v>
      </c>
      <c r="D180" t="s">
        <v>214</v>
      </c>
      <c r="E180" t="s">
        <v>629</v>
      </c>
      <c r="F180" t="s">
        <v>721</v>
      </c>
      <c r="G180" t="s">
        <v>3298</v>
      </c>
      <c r="R180">
        <v>8</v>
      </c>
      <c r="T180">
        <v>30</v>
      </c>
      <c r="U180">
        <v>90</v>
      </c>
      <c r="V180">
        <v>84</v>
      </c>
      <c r="W180">
        <v>134</v>
      </c>
      <c r="X180">
        <v>126</v>
      </c>
      <c r="Y180">
        <v>146</v>
      </c>
      <c r="Z180">
        <v>130</v>
      </c>
      <c r="AA180">
        <v>24</v>
      </c>
      <c r="AB180">
        <v>66</v>
      </c>
      <c r="AC180">
        <v>6</v>
      </c>
      <c r="AD180">
        <v>30</v>
      </c>
      <c r="AF180">
        <v>4</v>
      </c>
      <c r="CH180" t="str">
        <f t="shared" si="2"/>
        <v>D-0258</v>
      </c>
      <c r="CI180" s="1" t="s">
        <v>102</v>
      </c>
    </row>
    <row r="181" spans="1:87">
      <c r="A181" t="s">
        <v>3117</v>
      </c>
      <c r="B181">
        <v>12</v>
      </c>
      <c r="C181" t="s">
        <v>1122</v>
      </c>
      <c r="D181" t="s">
        <v>291</v>
      </c>
      <c r="E181" t="s">
        <v>642</v>
      </c>
      <c r="F181" t="s">
        <v>661</v>
      </c>
      <c r="G181" t="s">
        <v>2737</v>
      </c>
      <c r="U181">
        <v>12</v>
      </c>
      <c r="CH181" t="str">
        <f t="shared" si="2"/>
        <v>D-0419</v>
      </c>
      <c r="CI181" s="1" t="s">
        <v>102</v>
      </c>
    </row>
    <row r="182" spans="1:87">
      <c r="A182" t="s">
        <v>2405</v>
      </c>
      <c r="B182">
        <v>12812</v>
      </c>
      <c r="C182" t="s">
        <v>752</v>
      </c>
      <c r="D182" t="s">
        <v>210</v>
      </c>
      <c r="E182" t="s">
        <v>642</v>
      </c>
      <c r="F182" t="s">
        <v>633</v>
      </c>
      <c r="G182" t="s">
        <v>670</v>
      </c>
      <c r="R182">
        <v>2151</v>
      </c>
      <c r="S182">
        <v>1188</v>
      </c>
      <c r="T182">
        <v>2051</v>
      </c>
      <c r="U182">
        <v>1411</v>
      </c>
      <c r="V182">
        <v>2076</v>
      </c>
      <c r="W182">
        <v>1307</v>
      </c>
      <c r="X182">
        <v>719</v>
      </c>
      <c r="Y182">
        <v>595</v>
      </c>
      <c r="Z182">
        <v>1314</v>
      </c>
      <c r="CH182" t="str">
        <f t="shared" si="2"/>
        <v>D-0256</v>
      </c>
      <c r="CI182" s="1" t="s">
        <v>102</v>
      </c>
    </row>
    <row r="183" spans="1:87">
      <c r="A183" t="s">
        <v>2422</v>
      </c>
      <c r="B183">
        <v>1232</v>
      </c>
      <c r="C183" t="s">
        <v>662</v>
      </c>
      <c r="D183" t="s">
        <v>238</v>
      </c>
      <c r="E183" t="s">
        <v>629</v>
      </c>
      <c r="F183" t="s">
        <v>632</v>
      </c>
      <c r="G183" t="s">
        <v>663</v>
      </c>
      <c r="V183">
        <v>87</v>
      </c>
      <c r="W183">
        <v>100</v>
      </c>
      <c r="X183">
        <v>133</v>
      </c>
      <c r="Y183">
        <v>141</v>
      </c>
      <c r="Z183">
        <v>140</v>
      </c>
      <c r="AA183">
        <v>146</v>
      </c>
      <c r="AB183">
        <v>135</v>
      </c>
      <c r="AC183">
        <v>101</v>
      </c>
      <c r="AD183">
        <v>118</v>
      </c>
      <c r="AF183">
        <v>80</v>
      </c>
      <c r="AH183">
        <v>51</v>
      </c>
      <c r="CH183" t="str">
        <f t="shared" si="2"/>
        <v>D-0267</v>
      </c>
      <c r="CI183" s="1" t="s">
        <v>102</v>
      </c>
    </row>
    <row r="184" spans="1:87">
      <c r="A184" t="s">
        <v>2464</v>
      </c>
      <c r="B184">
        <v>602</v>
      </c>
      <c r="C184" t="s">
        <v>662</v>
      </c>
      <c r="D184" t="s">
        <v>238</v>
      </c>
      <c r="E184" t="s">
        <v>629</v>
      </c>
      <c r="F184" t="s">
        <v>632</v>
      </c>
      <c r="G184" t="s">
        <v>663</v>
      </c>
      <c r="V184">
        <v>36</v>
      </c>
      <c r="W184">
        <v>36</v>
      </c>
      <c r="X184">
        <v>62</v>
      </c>
      <c r="Y184">
        <v>66</v>
      </c>
      <c r="Z184">
        <v>74</v>
      </c>
      <c r="AA184">
        <v>75</v>
      </c>
      <c r="AB184">
        <v>68</v>
      </c>
      <c r="AC184">
        <v>46</v>
      </c>
      <c r="AD184">
        <v>62</v>
      </c>
      <c r="AF184">
        <v>41</v>
      </c>
      <c r="AH184">
        <v>36</v>
      </c>
      <c r="CH184" t="str">
        <f t="shared" si="2"/>
        <v>D-0267</v>
      </c>
      <c r="CI184" s="1" t="s">
        <v>102</v>
      </c>
    </row>
    <row r="185" spans="1:87">
      <c r="A185" t="s">
        <v>2462</v>
      </c>
      <c r="B185">
        <v>869</v>
      </c>
      <c r="C185" t="s">
        <v>662</v>
      </c>
      <c r="D185" t="s">
        <v>238</v>
      </c>
      <c r="E185" t="s">
        <v>629</v>
      </c>
      <c r="F185" t="s">
        <v>632</v>
      </c>
      <c r="G185" t="s">
        <v>663</v>
      </c>
      <c r="R185">
        <v>8</v>
      </c>
      <c r="S185">
        <v>9</v>
      </c>
      <c r="T185">
        <v>24</v>
      </c>
      <c r="U185">
        <v>28</v>
      </c>
      <c r="V185">
        <v>53</v>
      </c>
      <c r="W185">
        <v>56</v>
      </c>
      <c r="X185">
        <v>81</v>
      </c>
      <c r="Y185">
        <v>86</v>
      </c>
      <c r="Z185">
        <v>96</v>
      </c>
      <c r="AA185">
        <v>100</v>
      </c>
      <c r="AB185">
        <v>94</v>
      </c>
      <c r="AC185">
        <v>57</v>
      </c>
      <c r="AD185">
        <v>77</v>
      </c>
      <c r="AE185">
        <v>13</v>
      </c>
      <c r="AF185">
        <v>54</v>
      </c>
      <c r="AH185">
        <v>22</v>
      </c>
      <c r="AJ185">
        <v>11</v>
      </c>
      <c r="CH185" t="str">
        <f t="shared" si="2"/>
        <v>D-0267</v>
      </c>
      <c r="CI185" s="1" t="s">
        <v>102</v>
      </c>
    </row>
    <row r="186" spans="1:87">
      <c r="A186" t="s">
        <v>2466</v>
      </c>
      <c r="B186">
        <v>2373</v>
      </c>
      <c r="C186" t="s">
        <v>662</v>
      </c>
      <c r="D186" t="s">
        <v>238</v>
      </c>
      <c r="E186" t="s">
        <v>629</v>
      </c>
      <c r="F186" t="s">
        <v>632</v>
      </c>
      <c r="G186" t="s">
        <v>663</v>
      </c>
      <c r="T186">
        <v>24</v>
      </c>
      <c r="U186">
        <v>60</v>
      </c>
      <c r="V186">
        <v>174</v>
      </c>
      <c r="W186">
        <v>180</v>
      </c>
      <c r="X186">
        <v>219</v>
      </c>
      <c r="Y186">
        <v>264</v>
      </c>
      <c r="Z186">
        <v>258</v>
      </c>
      <c r="AA186">
        <v>300</v>
      </c>
      <c r="AB186">
        <v>276</v>
      </c>
      <c r="AC186">
        <v>180</v>
      </c>
      <c r="AD186">
        <v>228</v>
      </c>
      <c r="AF186">
        <v>168</v>
      </c>
      <c r="AH186">
        <v>42</v>
      </c>
      <c r="CH186" t="str">
        <f t="shared" si="2"/>
        <v>D-0267</v>
      </c>
      <c r="CI186" s="1" t="s">
        <v>102</v>
      </c>
    </row>
    <row r="187" spans="1:87">
      <c r="A187" t="s">
        <v>2465</v>
      </c>
      <c r="B187">
        <v>1629</v>
      </c>
      <c r="C187" t="s">
        <v>662</v>
      </c>
      <c r="D187" t="s">
        <v>238</v>
      </c>
      <c r="E187" t="s">
        <v>629</v>
      </c>
      <c r="F187" t="s">
        <v>632</v>
      </c>
      <c r="G187" t="s">
        <v>663</v>
      </c>
      <c r="T187">
        <v>18</v>
      </c>
      <c r="U187">
        <v>36</v>
      </c>
      <c r="V187">
        <v>120</v>
      </c>
      <c r="W187">
        <v>126</v>
      </c>
      <c r="X187">
        <v>153</v>
      </c>
      <c r="Y187">
        <v>186</v>
      </c>
      <c r="Z187">
        <v>174</v>
      </c>
      <c r="AA187">
        <v>204</v>
      </c>
      <c r="AB187">
        <v>192</v>
      </c>
      <c r="AC187">
        <v>120</v>
      </c>
      <c r="AD187">
        <v>162</v>
      </c>
      <c r="AF187">
        <v>114</v>
      </c>
      <c r="AH187">
        <v>24</v>
      </c>
      <c r="CH187" t="str">
        <f t="shared" si="2"/>
        <v>D-0267</v>
      </c>
      <c r="CI187" s="1" t="s">
        <v>102</v>
      </c>
    </row>
    <row r="188" spans="1:87">
      <c r="A188" t="s">
        <v>2463</v>
      </c>
      <c r="B188">
        <v>409</v>
      </c>
      <c r="C188" t="s">
        <v>662</v>
      </c>
      <c r="D188" t="s">
        <v>238</v>
      </c>
      <c r="E188" t="s">
        <v>629</v>
      </c>
      <c r="F188" t="s">
        <v>632</v>
      </c>
      <c r="G188" t="s">
        <v>663</v>
      </c>
      <c r="V188">
        <v>20</v>
      </c>
      <c r="W188">
        <v>22</v>
      </c>
      <c r="X188">
        <v>41</v>
      </c>
      <c r="Y188">
        <v>51</v>
      </c>
      <c r="Z188">
        <v>45</v>
      </c>
      <c r="AA188">
        <v>47</v>
      </c>
      <c r="AB188">
        <v>44</v>
      </c>
      <c r="AC188">
        <v>36</v>
      </c>
      <c r="AD188">
        <v>49</v>
      </c>
      <c r="AF188">
        <v>34</v>
      </c>
      <c r="AH188">
        <v>20</v>
      </c>
      <c r="CH188" t="str">
        <f t="shared" si="2"/>
        <v>D-0267</v>
      </c>
      <c r="CI188" s="1" t="s">
        <v>102</v>
      </c>
    </row>
    <row r="189" spans="1:87">
      <c r="A189" t="s">
        <v>1326</v>
      </c>
      <c r="B189">
        <v>1940</v>
      </c>
      <c r="C189" t="s">
        <v>1322</v>
      </c>
      <c r="D189" t="s">
        <v>249</v>
      </c>
      <c r="E189" t="s">
        <v>642</v>
      </c>
      <c r="F189" t="s">
        <v>657</v>
      </c>
      <c r="G189" t="s">
        <v>1323</v>
      </c>
      <c r="S189">
        <v>248</v>
      </c>
      <c r="T189">
        <v>245</v>
      </c>
      <c r="U189">
        <v>268</v>
      </c>
      <c r="V189">
        <v>359</v>
      </c>
      <c r="W189">
        <v>358</v>
      </c>
      <c r="X189">
        <v>130</v>
      </c>
      <c r="Y189">
        <v>214</v>
      </c>
      <c r="Z189">
        <v>118</v>
      </c>
      <c r="CH189" t="str">
        <f t="shared" si="2"/>
        <v>D-0271</v>
      </c>
      <c r="CI189" s="1" t="s">
        <v>102</v>
      </c>
    </row>
    <row r="190" spans="1:87">
      <c r="A190" t="s">
        <v>1325</v>
      </c>
      <c r="B190">
        <v>3614</v>
      </c>
      <c r="C190" t="s">
        <v>1322</v>
      </c>
      <c r="D190" t="s">
        <v>249</v>
      </c>
      <c r="E190" t="s">
        <v>642</v>
      </c>
      <c r="F190" t="s">
        <v>657</v>
      </c>
      <c r="G190" t="s">
        <v>1323</v>
      </c>
      <c r="R190">
        <v>186</v>
      </c>
      <c r="S190">
        <v>360</v>
      </c>
      <c r="T190">
        <v>361</v>
      </c>
      <c r="U190">
        <v>420</v>
      </c>
      <c r="V190">
        <v>480</v>
      </c>
      <c r="W190">
        <v>480</v>
      </c>
      <c r="X190">
        <v>242</v>
      </c>
      <c r="Y190">
        <v>360</v>
      </c>
      <c r="Z190">
        <v>240</v>
      </c>
      <c r="AA190">
        <v>186</v>
      </c>
      <c r="AB190">
        <v>210</v>
      </c>
      <c r="AC190">
        <v>89</v>
      </c>
      <c r="CH190" t="str">
        <f t="shared" si="2"/>
        <v>D-0271</v>
      </c>
      <c r="CI190" s="1" t="s">
        <v>102</v>
      </c>
    </row>
    <row r="191" spans="1:87">
      <c r="A191" t="s">
        <v>1324</v>
      </c>
      <c r="B191">
        <v>4350</v>
      </c>
      <c r="C191" t="s">
        <v>1322</v>
      </c>
      <c r="D191" t="s">
        <v>249</v>
      </c>
      <c r="E191" t="s">
        <v>642</v>
      </c>
      <c r="F191" t="s">
        <v>657</v>
      </c>
      <c r="G191" t="s">
        <v>1323</v>
      </c>
      <c r="Q191">
        <v>117</v>
      </c>
      <c r="R191">
        <v>240</v>
      </c>
      <c r="S191">
        <v>360</v>
      </c>
      <c r="T191">
        <v>361</v>
      </c>
      <c r="U191">
        <v>420</v>
      </c>
      <c r="V191">
        <v>564</v>
      </c>
      <c r="W191">
        <v>540</v>
      </c>
      <c r="X191">
        <v>302</v>
      </c>
      <c r="Y191">
        <v>420</v>
      </c>
      <c r="Z191">
        <v>240</v>
      </c>
      <c r="AA191">
        <v>240</v>
      </c>
      <c r="AB191">
        <v>240</v>
      </c>
      <c r="AC191">
        <v>204</v>
      </c>
      <c r="AD191">
        <v>102</v>
      </c>
      <c r="CH191" t="str">
        <f t="shared" si="2"/>
        <v>D-0271</v>
      </c>
      <c r="CI191" s="1" t="s">
        <v>102</v>
      </c>
    </row>
    <row r="192" spans="1:87">
      <c r="A192" t="s">
        <v>1598</v>
      </c>
      <c r="B192">
        <v>25</v>
      </c>
      <c r="C192" t="s">
        <v>748</v>
      </c>
      <c r="D192" t="s">
        <v>282</v>
      </c>
      <c r="E192" t="s">
        <v>639</v>
      </c>
      <c r="F192" t="s">
        <v>699</v>
      </c>
      <c r="G192" t="s">
        <v>749</v>
      </c>
      <c r="CH192" t="str">
        <f t="shared" si="2"/>
        <v>D-0390</v>
      </c>
      <c r="CI192" s="1" t="s">
        <v>102</v>
      </c>
    </row>
    <row r="193" spans="1:87">
      <c r="A193" t="s">
        <v>1586</v>
      </c>
      <c r="B193">
        <v>5</v>
      </c>
      <c r="C193" t="s">
        <v>748</v>
      </c>
      <c r="D193" t="s">
        <v>282</v>
      </c>
      <c r="E193" t="s">
        <v>639</v>
      </c>
      <c r="F193" t="s">
        <v>699</v>
      </c>
      <c r="G193" t="s">
        <v>749</v>
      </c>
      <c r="CH193" t="str">
        <f t="shared" si="2"/>
        <v>D-0390</v>
      </c>
      <c r="CI193" s="1" t="s">
        <v>102</v>
      </c>
    </row>
    <row r="194" spans="1:87">
      <c r="A194" t="s">
        <v>1585</v>
      </c>
      <c r="B194">
        <v>30</v>
      </c>
      <c r="C194" t="s">
        <v>1146</v>
      </c>
      <c r="D194" t="s">
        <v>282</v>
      </c>
      <c r="E194" t="s">
        <v>639</v>
      </c>
      <c r="F194" t="s">
        <v>699</v>
      </c>
      <c r="G194" t="s">
        <v>749</v>
      </c>
      <c r="CH194" t="str">
        <f t="shared" ref="CH194:CH257" si="3">TRIM(IFERROR(IFERROR(MID($D194,FIND("(D-",$D194)+1,6),LEFT($D194,FIND("(",$D194)-1)),$D194))</f>
        <v>D-0390</v>
      </c>
      <c r="CI194" s="1" t="s">
        <v>102</v>
      </c>
    </row>
    <row r="195" spans="1:87">
      <c r="A195" t="s">
        <v>1615</v>
      </c>
      <c r="B195">
        <v>20</v>
      </c>
      <c r="C195" t="s">
        <v>750</v>
      </c>
      <c r="D195" t="s">
        <v>282</v>
      </c>
      <c r="E195" t="s">
        <v>639</v>
      </c>
      <c r="F195" t="s">
        <v>699</v>
      </c>
      <c r="G195" t="s">
        <v>751</v>
      </c>
      <c r="CH195" t="str">
        <f t="shared" si="3"/>
        <v>D-0390</v>
      </c>
      <c r="CI195" s="1" t="s">
        <v>102</v>
      </c>
    </row>
    <row r="196" spans="1:87">
      <c r="A196" t="s">
        <v>1612</v>
      </c>
      <c r="B196">
        <v>30</v>
      </c>
      <c r="C196" t="s">
        <v>748</v>
      </c>
      <c r="D196" t="s">
        <v>282</v>
      </c>
      <c r="E196" t="s">
        <v>639</v>
      </c>
      <c r="F196" t="s">
        <v>699</v>
      </c>
      <c r="G196" t="s">
        <v>749</v>
      </c>
      <c r="CH196" t="str">
        <f t="shared" si="3"/>
        <v>D-0390</v>
      </c>
      <c r="CI196" s="1" t="s">
        <v>102</v>
      </c>
    </row>
    <row r="197" spans="1:87">
      <c r="A197" t="s">
        <v>1588</v>
      </c>
      <c r="B197">
        <v>45</v>
      </c>
      <c r="C197" t="s">
        <v>1146</v>
      </c>
      <c r="D197" t="s">
        <v>282</v>
      </c>
      <c r="E197" t="s">
        <v>639</v>
      </c>
      <c r="F197" t="s">
        <v>699</v>
      </c>
      <c r="G197" t="s">
        <v>749</v>
      </c>
      <c r="CH197" t="str">
        <f t="shared" si="3"/>
        <v>D-0390</v>
      </c>
      <c r="CI197" s="1" t="s">
        <v>102</v>
      </c>
    </row>
    <row r="198" spans="1:87">
      <c r="A198" t="s">
        <v>1603</v>
      </c>
      <c r="B198">
        <v>272</v>
      </c>
      <c r="C198" t="s">
        <v>1587</v>
      </c>
      <c r="D198" t="s">
        <v>282</v>
      </c>
      <c r="E198" t="s">
        <v>639</v>
      </c>
      <c r="F198" t="s">
        <v>699</v>
      </c>
      <c r="G198" t="s">
        <v>749</v>
      </c>
      <c r="CH198" t="str">
        <f t="shared" si="3"/>
        <v>D-0390</v>
      </c>
      <c r="CI198" s="1" t="s">
        <v>102</v>
      </c>
    </row>
    <row r="199" spans="1:87">
      <c r="A199" t="s">
        <v>1609</v>
      </c>
      <c r="B199">
        <v>101</v>
      </c>
      <c r="C199" t="s">
        <v>748</v>
      </c>
      <c r="D199" t="s">
        <v>282</v>
      </c>
      <c r="E199" t="s">
        <v>639</v>
      </c>
      <c r="F199" t="s">
        <v>699</v>
      </c>
      <c r="G199" t="s">
        <v>749</v>
      </c>
      <c r="H199">
        <v>20</v>
      </c>
      <c r="I199">
        <v>20</v>
      </c>
      <c r="J199">
        <v>20</v>
      </c>
      <c r="K199">
        <v>20</v>
      </c>
      <c r="L199">
        <v>21</v>
      </c>
      <c r="CH199" t="str">
        <f t="shared" si="3"/>
        <v>D-0390</v>
      </c>
      <c r="CI199" s="1" t="s">
        <v>102</v>
      </c>
    </row>
    <row r="200" spans="1:87">
      <c r="A200" t="s">
        <v>2205</v>
      </c>
      <c r="B200">
        <v>10</v>
      </c>
      <c r="C200" t="s">
        <v>1732</v>
      </c>
      <c r="D200" t="s">
        <v>261</v>
      </c>
      <c r="E200" t="s">
        <v>629</v>
      </c>
      <c r="F200" t="s">
        <v>635</v>
      </c>
      <c r="G200" t="s">
        <v>651</v>
      </c>
      <c r="V200">
        <v>5</v>
      </c>
      <c r="X200">
        <v>5</v>
      </c>
      <c r="CH200" t="str">
        <f t="shared" si="3"/>
        <v>D-0310</v>
      </c>
      <c r="CI200" s="1" t="s">
        <v>102</v>
      </c>
    </row>
    <row r="201" spans="1:87">
      <c r="A201" t="s">
        <v>2348</v>
      </c>
      <c r="B201">
        <v>40</v>
      </c>
      <c r="C201" t="s">
        <v>638</v>
      </c>
      <c r="D201" t="s">
        <v>177</v>
      </c>
      <c r="E201" t="s">
        <v>639</v>
      </c>
      <c r="F201" t="s">
        <v>640</v>
      </c>
      <c r="G201" t="s">
        <v>641</v>
      </c>
      <c r="P201">
        <v>40</v>
      </c>
      <c r="CH201" t="str">
        <f t="shared" si="3"/>
        <v>D-0152</v>
      </c>
      <c r="CI201" s="1" t="s">
        <v>102</v>
      </c>
    </row>
    <row r="202" spans="1:87">
      <c r="A202" t="s">
        <v>2303</v>
      </c>
      <c r="B202">
        <v>864</v>
      </c>
      <c r="C202" t="s">
        <v>2289</v>
      </c>
      <c r="D202" t="s">
        <v>261</v>
      </c>
      <c r="E202" t="s">
        <v>629</v>
      </c>
      <c r="F202" t="s">
        <v>652</v>
      </c>
      <c r="G202" t="s">
        <v>1736</v>
      </c>
      <c r="U202">
        <v>144</v>
      </c>
      <c r="W202">
        <v>144</v>
      </c>
      <c r="X202">
        <v>144</v>
      </c>
      <c r="Y202">
        <v>144</v>
      </c>
      <c r="Z202">
        <v>144</v>
      </c>
      <c r="AB202">
        <v>144</v>
      </c>
      <c r="CH202" t="str">
        <f t="shared" si="3"/>
        <v>D-0310</v>
      </c>
      <c r="CI202" s="1" t="s">
        <v>102</v>
      </c>
    </row>
    <row r="203" spans="1:87">
      <c r="A203" t="s">
        <v>2316</v>
      </c>
      <c r="B203">
        <v>702</v>
      </c>
      <c r="C203" t="s">
        <v>638</v>
      </c>
      <c r="D203" t="s">
        <v>177</v>
      </c>
      <c r="E203" t="s">
        <v>639</v>
      </c>
      <c r="F203" t="s">
        <v>640</v>
      </c>
      <c r="G203" t="s">
        <v>641</v>
      </c>
      <c r="S203">
        <v>702</v>
      </c>
      <c r="CH203" t="str">
        <f t="shared" si="3"/>
        <v>D-0152</v>
      </c>
      <c r="CI203" s="1" t="s">
        <v>102</v>
      </c>
    </row>
    <row r="204" spans="1:87">
      <c r="A204" t="s">
        <v>2347</v>
      </c>
      <c r="B204">
        <v>48</v>
      </c>
      <c r="C204" t="s">
        <v>638</v>
      </c>
      <c r="D204" t="s">
        <v>177</v>
      </c>
      <c r="E204" t="s">
        <v>639</v>
      </c>
      <c r="F204" t="s">
        <v>640</v>
      </c>
      <c r="G204" t="s">
        <v>641</v>
      </c>
      <c r="L204">
        <v>48</v>
      </c>
      <c r="M204">
        <v>48</v>
      </c>
      <c r="N204">
        <v>48</v>
      </c>
      <c r="O204">
        <v>48</v>
      </c>
      <c r="CH204" t="str">
        <f t="shared" si="3"/>
        <v>D-0152</v>
      </c>
      <c r="CI204" s="1" t="s">
        <v>102</v>
      </c>
    </row>
    <row r="205" spans="1:87">
      <c r="A205" t="s">
        <v>3402</v>
      </c>
      <c r="B205">
        <v>30</v>
      </c>
      <c r="C205" t="s">
        <v>674</v>
      </c>
      <c r="D205" t="s">
        <v>232</v>
      </c>
      <c r="E205" t="s">
        <v>642</v>
      </c>
      <c r="F205" t="s">
        <v>657</v>
      </c>
      <c r="G205" t="s">
        <v>675</v>
      </c>
      <c r="W205">
        <v>30</v>
      </c>
      <c r="CH205" t="str">
        <f t="shared" si="3"/>
        <v>D-0265</v>
      </c>
      <c r="CI205" s="1" t="s">
        <v>102</v>
      </c>
    </row>
    <row r="206" spans="1:87">
      <c r="A206" t="s">
        <v>2331</v>
      </c>
      <c r="B206">
        <v>353</v>
      </c>
      <c r="C206" t="s">
        <v>638</v>
      </c>
      <c r="D206" t="s">
        <v>177</v>
      </c>
      <c r="E206" t="s">
        <v>639</v>
      </c>
      <c r="F206" t="s">
        <v>640</v>
      </c>
      <c r="G206" t="s">
        <v>641</v>
      </c>
      <c r="L206">
        <v>353</v>
      </c>
      <c r="M206">
        <v>353</v>
      </c>
      <c r="N206">
        <v>353</v>
      </c>
      <c r="O206">
        <v>353</v>
      </c>
      <c r="CH206" t="str">
        <f t="shared" si="3"/>
        <v>D-0152</v>
      </c>
      <c r="CI206" s="1" t="s">
        <v>102</v>
      </c>
    </row>
    <row r="207" spans="1:87">
      <c r="A207" t="s">
        <v>2309</v>
      </c>
      <c r="B207">
        <v>466</v>
      </c>
      <c r="C207" t="s">
        <v>638</v>
      </c>
      <c r="D207" t="s">
        <v>177</v>
      </c>
      <c r="E207" t="s">
        <v>639</v>
      </c>
      <c r="F207" t="s">
        <v>640</v>
      </c>
      <c r="G207" t="s">
        <v>641</v>
      </c>
      <c r="CH207" t="str">
        <f t="shared" si="3"/>
        <v>D-0152</v>
      </c>
      <c r="CI207" s="1" t="s">
        <v>102</v>
      </c>
    </row>
    <row r="208" spans="1:87">
      <c r="A208" t="s">
        <v>2334</v>
      </c>
      <c r="B208">
        <v>16</v>
      </c>
      <c r="C208" t="s">
        <v>638</v>
      </c>
      <c r="D208" t="s">
        <v>177</v>
      </c>
      <c r="E208" t="s">
        <v>639</v>
      </c>
      <c r="F208" t="s">
        <v>640</v>
      </c>
      <c r="G208" t="s">
        <v>641</v>
      </c>
      <c r="CH208" t="str">
        <f t="shared" si="3"/>
        <v>D-0152</v>
      </c>
      <c r="CI208" s="1" t="s">
        <v>102</v>
      </c>
    </row>
    <row r="209" spans="1:87">
      <c r="A209" t="s">
        <v>2345</v>
      </c>
      <c r="B209">
        <v>43</v>
      </c>
      <c r="C209" t="s">
        <v>638</v>
      </c>
      <c r="D209" t="s">
        <v>177</v>
      </c>
      <c r="E209" t="s">
        <v>639</v>
      </c>
      <c r="F209" t="s">
        <v>640</v>
      </c>
      <c r="G209" t="s">
        <v>641</v>
      </c>
      <c r="CH209" t="str">
        <f t="shared" si="3"/>
        <v>D-0152</v>
      </c>
      <c r="CI209" s="1" t="s">
        <v>102</v>
      </c>
    </row>
    <row r="210" spans="1:87">
      <c r="A210" t="s">
        <v>2346</v>
      </c>
      <c r="B210">
        <v>48</v>
      </c>
      <c r="C210" t="s">
        <v>638</v>
      </c>
      <c r="D210" t="s">
        <v>177</v>
      </c>
      <c r="E210" t="s">
        <v>639</v>
      </c>
      <c r="F210" t="s">
        <v>640</v>
      </c>
      <c r="G210" t="s">
        <v>641</v>
      </c>
      <c r="CH210" t="str">
        <f t="shared" si="3"/>
        <v>D-0152</v>
      </c>
      <c r="CI210" s="1" t="s">
        <v>102</v>
      </c>
    </row>
    <row r="211" spans="1:87">
      <c r="A211" t="s">
        <v>2344</v>
      </c>
      <c r="B211">
        <v>37</v>
      </c>
      <c r="C211" t="s">
        <v>638</v>
      </c>
      <c r="D211" t="s">
        <v>177</v>
      </c>
      <c r="E211" t="s">
        <v>639</v>
      </c>
      <c r="F211" t="s">
        <v>640</v>
      </c>
      <c r="G211" t="s">
        <v>641</v>
      </c>
      <c r="CH211" t="str">
        <f t="shared" si="3"/>
        <v>D-0152</v>
      </c>
      <c r="CI211" s="1" t="s">
        <v>102</v>
      </c>
    </row>
    <row r="212" spans="1:87">
      <c r="A212" t="s">
        <v>2312</v>
      </c>
      <c r="B212">
        <v>1016</v>
      </c>
      <c r="C212" t="s">
        <v>638</v>
      </c>
      <c r="D212" t="s">
        <v>177</v>
      </c>
      <c r="E212" t="s">
        <v>639</v>
      </c>
      <c r="F212" t="s">
        <v>640</v>
      </c>
      <c r="G212" t="s">
        <v>641</v>
      </c>
      <c r="L212">
        <v>1016</v>
      </c>
      <c r="M212">
        <v>1016</v>
      </c>
      <c r="N212">
        <v>1016</v>
      </c>
      <c r="O212">
        <v>1016</v>
      </c>
      <c r="CH212" t="str">
        <f t="shared" si="3"/>
        <v>D-0152</v>
      </c>
      <c r="CI212" s="1" t="s">
        <v>102</v>
      </c>
    </row>
    <row r="213" spans="1:87">
      <c r="A213" t="s">
        <v>3401</v>
      </c>
      <c r="B213">
        <v>30</v>
      </c>
      <c r="C213" t="s">
        <v>674</v>
      </c>
      <c r="D213" t="s">
        <v>232</v>
      </c>
      <c r="E213" t="s">
        <v>642</v>
      </c>
      <c r="F213" t="s">
        <v>657</v>
      </c>
      <c r="G213" t="s">
        <v>675</v>
      </c>
      <c r="X213">
        <v>30</v>
      </c>
      <c r="CH213" t="str">
        <f t="shared" si="3"/>
        <v>D-0265</v>
      </c>
      <c r="CI213" s="1" t="s">
        <v>102</v>
      </c>
    </row>
    <row r="214" spans="1:87">
      <c r="A214" t="s">
        <v>1605</v>
      </c>
      <c r="B214">
        <v>90</v>
      </c>
      <c r="C214" t="s">
        <v>748</v>
      </c>
      <c r="D214" t="s">
        <v>282</v>
      </c>
      <c r="E214" t="s">
        <v>639</v>
      </c>
      <c r="F214" t="s">
        <v>699</v>
      </c>
      <c r="G214" t="s">
        <v>749</v>
      </c>
      <c r="H214">
        <v>10</v>
      </c>
      <c r="I214">
        <v>10</v>
      </c>
      <c r="J214">
        <v>10</v>
      </c>
      <c r="K214">
        <v>10</v>
      </c>
      <c r="CE214">
        <v>10</v>
      </c>
      <c r="CF214">
        <v>5</v>
      </c>
      <c r="CG214">
        <v>5</v>
      </c>
      <c r="CH214" t="str">
        <f t="shared" si="3"/>
        <v>D-0390</v>
      </c>
      <c r="CI214" s="1" t="s">
        <v>102</v>
      </c>
    </row>
    <row r="215" spans="1:87">
      <c r="A215" t="s">
        <v>1608</v>
      </c>
      <c r="B215">
        <v>80</v>
      </c>
      <c r="C215" t="s">
        <v>1146</v>
      </c>
      <c r="D215" t="s">
        <v>282</v>
      </c>
      <c r="E215" t="s">
        <v>639</v>
      </c>
      <c r="F215" t="s">
        <v>699</v>
      </c>
      <c r="G215" t="s">
        <v>749</v>
      </c>
      <c r="H215">
        <v>10</v>
      </c>
      <c r="I215">
        <v>10</v>
      </c>
      <c r="J215">
        <v>5</v>
      </c>
      <c r="K215">
        <v>5</v>
      </c>
      <c r="CE215">
        <v>10</v>
      </c>
      <c r="CF215">
        <v>5</v>
      </c>
      <c r="CG215">
        <v>10</v>
      </c>
      <c r="CH215" t="str">
        <f t="shared" si="3"/>
        <v>D-0390</v>
      </c>
      <c r="CI215" s="1" t="s">
        <v>102</v>
      </c>
    </row>
    <row r="216" spans="1:87">
      <c r="A216" t="s">
        <v>2522</v>
      </c>
      <c r="B216">
        <v>12240</v>
      </c>
      <c r="C216" t="s">
        <v>1270</v>
      </c>
      <c r="D216" t="s">
        <v>444</v>
      </c>
      <c r="E216" t="s">
        <v>629</v>
      </c>
      <c r="F216" t="s">
        <v>636</v>
      </c>
      <c r="G216" t="s">
        <v>1271</v>
      </c>
      <c r="R216">
        <v>54</v>
      </c>
      <c r="S216">
        <v>410</v>
      </c>
      <c r="T216">
        <v>915</v>
      </c>
      <c r="U216">
        <v>846</v>
      </c>
      <c r="V216">
        <v>1656</v>
      </c>
      <c r="W216">
        <v>1833</v>
      </c>
      <c r="X216">
        <v>1537</v>
      </c>
      <c r="Y216">
        <v>1592</v>
      </c>
      <c r="Z216">
        <v>1163</v>
      </c>
      <c r="AA216">
        <v>735</v>
      </c>
      <c r="AB216">
        <v>650</v>
      </c>
      <c r="AC216">
        <v>178</v>
      </c>
      <c r="AD216">
        <v>308</v>
      </c>
      <c r="AE216">
        <v>70</v>
      </c>
      <c r="AF216">
        <v>188</v>
      </c>
      <c r="AH216">
        <v>66</v>
      </c>
      <c r="AJ216">
        <v>39</v>
      </c>
      <c r="CH216" t="str">
        <f t="shared" si="3"/>
        <v>D-0686</v>
      </c>
      <c r="CI216" s="1" t="s">
        <v>102</v>
      </c>
    </row>
    <row r="217" spans="1:87">
      <c r="A217" t="s">
        <v>1751</v>
      </c>
      <c r="B217">
        <v>2136</v>
      </c>
      <c r="C217" t="s">
        <v>1746</v>
      </c>
      <c r="D217" t="s">
        <v>410</v>
      </c>
      <c r="E217" t="s">
        <v>629</v>
      </c>
      <c r="F217" t="s">
        <v>652</v>
      </c>
      <c r="G217" t="s">
        <v>1742</v>
      </c>
      <c r="N217">
        <v>96</v>
      </c>
      <c r="O217">
        <v>144</v>
      </c>
      <c r="P217">
        <v>384</v>
      </c>
      <c r="Q217">
        <v>276</v>
      </c>
      <c r="R217">
        <v>588</v>
      </c>
      <c r="S217">
        <v>312</v>
      </c>
      <c r="T217">
        <v>204</v>
      </c>
      <c r="U217">
        <v>132</v>
      </c>
      <c r="CH217" t="str">
        <f t="shared" si="3"/>
        <v>D-0591</v>
      </c>
      <c r="CI217" s="1" t="s">
        <v>102</v>
      </c>
    </row>
    <row r="218" spans="1:87">
      <c r="A218" t="s">
        <v>1749</v>
      </c>
      <c r="B218">
        <v>2064</v>
      </c>
      <c r="C218" t="s">
        <v>1746</v>
      </c>
      <c r="D218" t="s">
        <v>410</v>
      </c>
      <c r="E218" t="s">
        <v>629</v>
      </c>
      <c r="F218" t="s">
        <v>652</v>
      </c>
      <c r="G218" t="s">
        <v>1742</v>
      </c>
      <c r="L218">
        <v>168</v>
      </c>
      <c r="M218">
        <v>168</v>
      </c>
      <c r="N218">
        <v>168</v>
      </c>
      <c r="O218">
        <v>168</v>
      </c>
      <c r="P218">
        <v>360</v>
      </c>
      <c r="Q218">
        <v>300</v>
      </c>
      <c r="R218">
        <v>456</v>
      </c>
      <c r="S218">
        <v>348</v>
      </c>
      <c r="T218">
        <v>180</v>
      </c>
      <c r="U218">
        <v>120</v>
      </c>
      <c r="CH218" t="str">
        <f t="shared" si="3"/>
        <v>D-0591</v>
      </c>
      <c r="CI218" s="1" t="s">
        <v>102</v>
      </c>
    </row>
    <row r="219" spans="1:87">
      <c r="A219" t="s">
        <v>1750</v>
      </c>
      <c r="B219">
        <v>1932</v>
      </c>
      <c r="C219" t="s">
        <v>1746</v>
      </c>
      <c r="D219" t="s">
        <v>410</v>
      </c>
      <c r="E219" t="s">
        <v>629</v>
      </c>
      <c r="F219" t="s">
        <v>652</v>
      </c>
      <c r="G219" t="s">
        <v>1742</v>
      </c>
      <c r="L219">
        <v>12</v>
      </c>
      <c r="M219">
        <v>12</v>
      </c>
      <c r="N219">
        <v>12</v>
      </c>
      <c r="O219">
        <v>12</v>
      </c>
      <c r="P219">
        <v>24</v>
      </c>
      <c r="Q219">
        <v>24</v>
      </c>
      <c r="R219">
        <v>48</v>
      </c>
      <c r="S219">
        <v>48</v>
      </c>
      <c r="T219">
        <v>24</v>
      </c>
      <c r="U219">
        <v>96</v>
      </c>
      <c r="V219">
        <v>144</v>
      </c>
      <c r="W219">
        <v>204</v>
      </c>
      <c r="X219">
        <v>204</v>
      </c>
      <c r="Y219">
        <v>216</v>
      </c>
      <c r="Z219">
        <v>276</v>
      </c>
      <c r="AA219">
        <v>240</v>
      </c>
      <c r="AB219">
        <v>72</v>
      </c>
      <c r="AC219">
        <v>180</v>
      </c>
      <c r="AD219">
        <v>72</v>
      </c>
      <c r="AE219">
        <v>24</v>
      </c>
      <c r="AG219">
        <v>12</v>
      </c>
      <c r="CH219" t="str">
        <f t="shared" si="3"/>
        <v>D-0591</v>
      </c>
      <c r="CI219" s="1" t="s">
        <v>102</v>
      </c>
    </row>
    <row r="220" spans="1:87">
      <c r="A220" t="s">
        <v>1784</v>
      </c>
      <c r="B220">
        <v>1860</v>
      </c>
      <c r="C220" t="s">
        <v>1746</v>
      </c>
      <c r="D220" t="s">
        <v>410</v>
      </c>
      <c r="E220" t="s">
        <v>629</v>
      </c>
      <c r="F220" t="s">
        <v>652</v>
      </c>
      <c r="G220" t="s">
        <v>1742</v>
      </c>
      <c r="U220">
        <v>310</v>
      </c>
      <c r="V220">
        <v>310</v>
      </c>
      <c r="X220">
        <v>310</v>
      </c>
      <c r="Z220">
        <v>310</v>
      </c>
      <c r="AA220">
        <v>310</v>
      </c>
      <c r="AC220">
        <v>310</v>
      </c>
      <c r="CH220" t="str">
        <f t="shared" si="3"/>
        <v>D-0591</v>
      </c>
      <c r="CI220" s="1" t="s">
        <v>102</v>
      </c>
    </row>
    <row r="221" spans="1:87">
      <c r="A221" t="s">
        <v>1782</v>
      </c>
      <c r="B221">
        <v>1860</v>
      </c>
      <c r="C221" t="s">
        <v>1746</v>
      </c>
      <c r="D221" t="s">
        <v>410</v>
      </c>
      <c r="E221" t="s">
        <v>629</v>
      </c>
      <c r="F221" t="s">
        <v>652</v>
      </c>
      <c r="G221" t="s">
        <v>1742</v>
      </c>
      <c r="U221">
        <v>310</v>
      </c>
      <c r="V221">
        <v>310</v>
      </c>
      <c r="X221">
        <v>310</v>
      </c>
      <c r="Z221">
        <v>310</v>
      </c>
      <c r="AA221">
        <v>310</v>
      </c>
      <c r="AC221">
        <v>310</v>
      </c>
      <c r="CH221" t="str">
        <f t="shared" si="3"/>
        <v>D-0591</v>
      </c>
      <c r="CI221" s="1" t="s">
        <v>102</v>
      </c>
    </row>
    <row r="222" spans="1:87">
      <c r="A222" t="s">
        <v>1785</v>
      </c>
      <c r="B222">
        <v>1860</v>
      </c>
      <c r="C222" t="s">
        <v>1746</v>
      </c>
      <c r="D222" t="s">
        <v>410</v>
      </c>
      <c r="E222" t="s">
        <v>629</v>
      </c>
      <c r="F222" t="s">
        <v>652</v>
      </c>
      <c r="G222" t="s">
        <v>1742</v>
      </c>
      <c r="U222">
        <v>310</v>
      </c>
      <c r="V222">
        <v>310</v>
      </c>
      <c r="X222">
        <v>310</v>
      </c>
      <c r="Z222">
        <v>310</v>
      </c>
      <c r="AA222">
        <v>310</v>
      </c>
      <c r="AC222">
        <v>310</v>
      </c>
      <c r="CH222" t="str">
        <f t="shared" si="3"/>
        <v>D-0591</v>
      </c>
      <c r="CI222" s="1" t="s">
        <v>102</v>
      </c>
    </row>
    <row r="223" spans="1:87">
      <c r="A223" t="s">
        <v>1783</v>
      </c>
      <c r="B223">
        <v>1860</v>
      </c>
      <c r="C223" t="s">
        <v>1746</v>
      </c>
      <c r="D223" t="s">
        <v>410</v>
      </c>
      <c r="E223" t="s">
        <v>629</v>
      </c>
      <c r="F223" t="s">
        <v>652</v>
      </c>
      <c r="G223" t="s">
        <v>1742</v>
      </c>
      <c r="U223">
        <v>310</v>
      </c>
      <c r="V223">
        <v>310</v>
      </c>
      <c r="X223">
        <v>310</v>
      </c>
      <c r="Z223">
        <v>310</v>
      </c>
      <c r="AA223">
        <v>310</v>
      </c>
      <c r="AC223">
        <v>310</v>
      </c>
      <c r="CH223" t="str">
        <f t="shared" si="3"/>
        <v>D-0591</v>
      </c>
      <c r="CI223" s="1" t="s">
        <v>102</v>
      </c>
    </row>
    <row r="224" spans="1:87">
      <c r="A224" t="s">
        <v>1836</v>
      </c>
      <c r="B224">
        <v>1010</v>
      </c>
      <c r="C224" t="s">
        <v>1746</v>
      </c>
      <c r="D224" t="s">
        <v>410</v>
      </c>
      <c r="E224" t="s">
        <v>629</v>
      </c>
      <c r="F224" t="s">
        <v>652</v>
      </c>
      <c r="G224" t="s">
        <v>1742</v>
      </c>
      <c r="L224">
        <v>9</v>
      </c>
      <c r="M224">
        <v>9</v>
      </c>
      <c r="N224">
        <v>9</v>
      </c>
      <c r="O224">
        <v>9</v>
      </c>
      <c r="Q224">
        <v>18</v>
      </c>
      <c r="S224">
        <v>24</v>
      </c>
      <c r="U224">
        <v>54</v>
      </c>
      <c r="W224">
        <v>132</v>
      </c>
      <c r="Y224">
        <v>180</v>
      </c>
      <c r="AA224">
        <v>246</v>
      </c>
      <c r="AC224">
        <v>180</v>
      </c>
      <c r="AE224">
        <v>120</v>
      </c>
      <c r="AG224">
        <v>42</v>
      </c>
      <c r="AI224">
        <v>1</v>
      </c>
      <c r="AK224">
        <v>1</v>
      </c>
      <c r="CH224" t="str">
        <f t="shared" si="3"/>
        <v>D-0591</v>
      </c>
      <c r="CI224" s="1" t="s">
        <v>102</v>
      </c>
    </row>
    <row r="225" spans="1:87">
      <c r="A225" t="s">
        <v>1768</v>
      </c>
      <c r="B225">
        <v>1002</v>
      </c>
      <c r="C225" t="s">
        <v>1746</v>
      </c>
      <c r="D225" t="s">
        <v>410</v>
      </c>
      <c r="E225" t="s">
        <v>629</v>
      </c>
      <c r="F225" t="s">
        <v>652</v>
      </c>
      <c r="G225" t="s">
        <v>1742</v>
      </c>
      <c r="W225">
        <v>96</v>
      </c>
      <c r="X225">
        <v>84</v>
      </c>
      <c r="Y225">
        <v>120</v>
      </c>
      <c r="Z225">
        <v>108</v>
      </c>
      <c r="AA225">
        <v>132</v>
      </c>
      <c r="AB225">
        <v>120</v>
      </c>
      <c r="AC225">
        <v>120</v>
      </c>
      <c r="AD225">
        <v>60</v>
      </c>
      <c r="AE225">
        <v>96</v>
      </c>
      <c r="AG225">
        <v>48</v>
      </c>
      <c r="AI225">
        <v>18</v>
      </c>
      <c r="CH225" t="str">
        <f t="shared" si="3"/>
        <v>D-0591</v>
      </c>
      <c r="CI225" s="1" t="s">
        <v>102</v>
      </c>
    </row>
    <row r="226" spans="1:87">
      <c r="A226" t="s">
        <v>1835</v>
      </c>
      <c r="B226">
        <v>902</v>
      </c>
      <c r="C226" t="s">
        <v>1746</v>
      </c>
      <c r="D226" t="s">
        <v>410</v>
      </c>
      <c r="E226" t="s">
        <v>629</v>
      </c>
      <c r="F226" t="s">
        <v>652</v>
      </c>
      <c r="G226" t="s">
        <v>1742</v>
      </c>
      <c r="L226">
        <v>5</v>
      </c>
      <c r="M226">
        <v>5</v>
      </c>
      <c r="N226">
        <v>5</v>
      </c>
      <c r="O226">
        <v>5</v>
      </c>
      <c r="Q226">
        <v>12</v>
      </c>
      <c r="S226">
        <v>18</v>
      </c>
      <c r="U226">
        <v>42</v>
      </c>
      <c r="W226">
        <v>114</v>
      </c>
      <c r="Y226">
        <v>174</v>
      </c>
      <c r="AA226">
        <v>222</v>
      </c>
      <c r="AC226">
        <v>162</v>
      </c>
      <c r="AE226">
        <v>108</v>
      </c>
      <c r="AG226">
        <v>42</v>
      </c>
      <c r="AI226">
        <v>1</v>
      </c>
      <c r="AK226">
        <v>1</v>
      </c>
      <c r="CH226" t="str">
        <f t="shared" si="3"/>
        <v>D-0591</v>
      </c>
      <c r="CI226" s="1" t="s">
        <v>102</v>
      </c>
    </row>
    <row r="227" spans="1:87">
      <c r="A227" t="s">
        <v>1833</v>
      </c>
      <c r="B227">
        <v>822</v>
      </c>
      <c r="C227" t="s">
        <v>1746</v>
      </c>
      <c r="D227" t="s">
        <v>410</v>
      </c>
      <c r="E227" t="s">
        <v>629</v>
      </c>
      <c r="F227" t="s">
        <v>652</v>
      </c>
      <c r="G227" t="s">
        <v>1742</v>
      </c>
      <c r="L227">
        <v>12</v>
      </c>
      <c r="M227">
        <v>12</v>
      </c>
      <c r="N227">
        <v>12</v>
      </c>
      <c r="O227">
        <v>12</v>
      </c>
      <c r="Q227">
        <v>24</v>
      </c>
      <c r="S227">
        <v>27</v>
      </c>
      <c r="U227">
        <v>36</v>
      </c>
      <c r="W227">
        <v>120</v>
      </c>
      <c r="Y227">
        <v>162</v>
      </c>
      <c r="AA227">
        <v>192</v>
      </c>
      <c r="AC227">
        <v>126</v>
      </c>
      <c r="AE227">
        <v>84</v>
      </c>
      <c r="AG227">
        <v>36</v>
      </c>
      <c r="CH227" t="str">
        <f t="shared" si="3"/>
        <v>D-0591</v>
      </c>
      <c r="CI227" s="1" t="s">
        <v>102</v>
      </c>
    </row>
    <row r="228" spans="1:87">
      <c r="A228" t="s">
        <v>1773</v>
      </c>
      <c r="B228">
        <v>804</v>
      </c>
      <c r="C228" t="s">
        <v>1746</v>
      </c>
      <c r="D228" t="s">
        <v>410</v>
      </c>
      <c r="E228" t="s">
        <v>629</v>
      </c>
      <c r="F228" t="s">
        <v>652</v>
      </c>
      <c r="G228" t="s">
        <v>1742</v>
      </c>
      <c r="T228">
        <v>24</v>
      </c>
      <c r="U228">
        <v>36</v>
      </c>
      <c r="V228">
        <v>60</v>
      </c>
      <c r="W228">
        <v>96</v>
      </c>
      <c r="X228">
        <v>96</v>
      </c>
      <c r="Y228">
        <v>156</v>
      </c>
      <c r="Z228">
        <v>168</v>
      </c>
      <c r="AA228">
        <v>24</v>
      </c>
      <c r="AB228">
        <v>36</v>
      </c>
      <c r="AC228">
        <v>60</v>
      </c>
      <c r="AD228">
        <v>12</v>
      </c>
      <c r="AE228">
        <v>36</v>
      </c>
      <c r="CH228" t="str">
        <f t="shared" si="3"/>
        <v>D-0591</v>
      </c>
      <c r="CI228" s="1" t="s">
        <v>102</v>
      </c>
    </row>
    <row r="229" spans="1:87">
      <c r="A229" t="s">
        <v>2419</v>
      </c>
      <c r="B229">
        <v>925</v>
      </c>
      <c r="C229" t="s">
        <v>755</v>
      </c>
      <c r="D229" t="s">
        <v>237</v>
      </c>
      <c r="E229" t="s">
        <v>629</v>
      </c>
      <c r="F229" t="s">
        <v>632</v>
      </c>
      <c r="G229" t="s">
        <v>2418</v>
      </c>
      <c r="R229">
        <v>13</v>
      </c>
      <c r="S229">
        <v>21</v>
      </c>
      <c r="T229">
        <v>24</v>
      </c>
      <c r="U229">
        <v>28</v>
      </c>
      <c r="V229">
        <v>53</v>
      </c>
      <c r="W229">
        <v>56</v>
      </c>
      <c r="X229">
        <v>81</v>
      </c>
      <c r="Y229">
        <v>86</v>
      </c>
      <c r="Z229">
        <v>96</v>
      </c>
      <c r="AA229">
        <v>100</v>
      </c>
      <c r="AB229">
        <v>94</v>
      </c>
      <c r="AC229">
        <v>57</v>
      </c>
      <c r="AD229">
        <v>77</v>
      </c>
      <c r="AE229">
        <v>32</v>
      </c>
      <c r="AF229">
        <v>54</v>
      </c>
      <c r="AH229">
        <v>22</v>
      </c>
      <c r="AJ229">
        <v>31</v>
      </c>
      <c r="CH229" t="str">
        <f t="shared" si="3"/>
        <v>D-0267</v>
      </c>
      <c r="CI229" s="1" t="s">
        <v>102</v>
      </c>
    </row>
    <row r="230" spans="1:87">
      <c r="A230" t="s">
        <v>2460</v>
      </c>
      <c r="B230">
        <v>1203</v>
      </c>
      <c r="C230" t="s">
        <v>755</v>
      </c>
      <c r="D230" t="s">
        <v>237</v>
      </c>
      <c r="E230" t="s">
        <v>629</v>
      </c>
      <c r="F230" t="s">
        <v>632</v>
      </c>
      <c r="G230" t="s">
        <v>2418</v>
      </c>
      <c r="T230">
        <v>36</v>
      </c>
      <c r="U230">
        <v>72</v>
      </c>
      <c r="V230">
        <v>120</v>
      </c>
      <c r="W230">
        <v>132</v>
      </c>
      <c r="X230">
        <v>171</v>
      </c>
      <c r="Y230">
        <v>156</v>
      </c>
      <c r="Z230">
        <v>144</v>
      </c>
      <c r="AA230">
        <v>120</v>
      </c>
      <c r="AB230">
        <v>108</v>
      </c>
      <c r="AC230">
        <v>60</v>
      </c>
      <c r="AD230">
        <v>60</v>
      </c>
      <c r="AF230">
        <v>24</v>
      </c>
      <c r="CH230" t="str">
        <f t="shared" si="3"/>
        <v>D-0267</v>
      </c>
      <c r="CI230" s="1" t="s">
        <v>102</v>
      </c>
    </row>
    <row r="231" spans="1:87">
      <c r="A231" t="s">
        <v>2420</v>
      </c>
      <c r="B231">
        <v>1779</v>
      </c>
      <c r="C231" t="s">
        <v>755</v>
      </c>
      <c r="D231" t="s">
        <v>237</v>
      </c>
      <c r="E231" t="s">
        <v>629</v>
      </c>
      <c r="F231" t="s">
        <v>632</v>
      </c>
      <c r="G231" t="s">
        <v>2418</v>
      </c>
      <c r="T231">
        <v>6</v>
      </c>
      <c r="U231">
        <v>30</v>
      </c>
      <c r="V231">
        <v>108</v>
      </c>
      <c r="W231">
        <v>114</v>
      </c>
      <c r="X231">
        <v>171</v>
      </c>
      <c r="Y231">
        <v>186</v>
      </c>
      <c r="Z231">
        <v>198</v>
      </c>
      <c r="AA231">
        <v>246</v>
      </c>
      <c r="AB231">
        <v>222</v>
      </c>
      <c r="AC231">
        <v>144</v>
      </c>
      <c r="AD231">
        <v>186</v>
      </c>
      <c r="AF231">
        <v>144</v>
      </c>
      <c r="AH231">
        <v>24</v>
      </c>
      <c r="CH231" t="str">
        <f t="shared" si="3"/>
        <v>D-0267</v>
      </c>
      <c r="CI231" s="1" t="s">
        <v>102</v>
      </c>
    </row>
    <row r="232" spans="1:87">
      <c r="A232" t="s">
        <v>2461</v>
      </c>
      <c r="B232">
        <v>1227</v>
      </c>
      <c r="C232" t="s">
        <v>755</v>
      </c>
      <c r="D232" t="s">
        <v>237</v>
      </c>
      <c r="E232" t="s">
        <v>629</v>
      </c>
      <c r="F232" t="s">
        <v>632</v>
      </c>
      <c r="G232" t="s">
        <v>2418</v>
      </c>
      <c r="T232">
        <v>6</v>
      </c>
      <c r="U232">
        <v>18</v>
      </c>
      <c r="V232">
        <v>72</v>
      </c>
      <c r="W232">
        <v>78</v>
      </c>
      <c r="X232">
        <v>123</v>
      </c>
      <c r="Y232">
        <v>132</v>
      </c>
      <c r="Z232">
        <v>138</v>
      </c>
      <c r="AA232">
        <v>174</v>
      </c>
      <c r="AB232">
        <v>150</v>
      </c>
      <c r="AC232">
        <v>96</v>
      </c>
      <c r="AD232">
        <v>132</v>
      </c>
      <c r="AF232">
        <v>96</v>
      </c>
      <c r="AH232">
        <v>12</v>
      </c>
      <c r="CH232" t="str">
        <f t="shared" si="3"/>
        <v>D-0267</v>
      </c>
      <c r="CI232" s="1" t="s">
        <v>102</v>
      </c>
    </row>
    <row r="233" spans="1:87">
      <c r="A233" t="s">
        <v>2421</v>
      </c>
      <c r="B233">
        <v>3211</v>
      </c>
      <c r="C233" t="s">
        <v>755</v>
      </c>
      <c r="D233" t="s">
        <v>237</v>
      </c>
      <c r="E233" t="s">
        <v>629</v>
      </c>
      <c r="F233" t="s">
        <v>632</v>
      </c>
      <c r="G233" t="s">
        <v>2418</v>
      </c>
      <c r="R233">
        <v>61</v>
      </c>
      <c r="S233">
        <v>83</v>
      </c>
      <c r="T233">
        <v>71</v>
      </c>
      <c r="U233">
        <v>113</v>
      </c>
      <c r="V233">
        <v>180</v>
      </c>
      <c r="W233">
        <v>223</v>
      </c>
      <c r="X233">
        <v>269</v>
      </c>
      <c r="Y233">
        <v>303</v>
      </c>
      <c r="Z233">
        <v>349</v>
      </c>
      <c r="AA233">
        <v>367</v>
      </c>
      <c r="AB233">
        <v>358</v>
      </c>
      <c r="AC233">
        <v>207</v>
      </c>
      <c r="AD233">
        <v>264</v>
      </c>
      <c r="AE233">
        <v>68</v>
      </c>
      <c r="AF233">
        <v>169</v>
      </c>
      <c r="AH233">
        <v>77</v>
      </c>
      <c r="AJ233">
        <v>49</v>
      </c>
      <c r="CH233" t="str">
        <f t="shared" si="3"/>
        <v>D-0267</v>
      </c>
      <c r="CI233" s="1" t="s">
        <v>102</v>
      </c>
    </row>
    <row r="234" spans="1:87">
      <c r="A234" t="s">
        <v>2474</v>
      </c>
      <c r="B234">
        <v>399</v>
      </c>
      <c r="C234" t="s">
        <v>2471</v>
      </c>
      <c r="D234" t="s">
        <v>238</v>
      </c>
      <c r="E234" t="s">
        <v>642</v>
      </c>
      <c r="F234" t="s">
        <v>645</v>
      </c>
      <c r="G234" t="s">
        <v>648</v>
      </c>
      <c r="T234">
        <v>135</v>
      </c>
      <c r="U234">
        <v>66</v>
      </c>
      <c r="V234">
        <v>132</v>
      </c>
      <c r="W234">
        <v>66</v>
      </c>
      <c r="CH234" t="str">
        <f t="shared" si="3"/>
        <v>D-0267</v>
      </c>
      <c r="CI234" s="1" t="s">
        <v>102</v>
      </c>
    </row>
    <row r="235" spans="1:87">
      <c r="A235" t="s">
        <v>2311</v>
      </c>
      <c r="B235">
        <v>623</v>
      </c>
      <c r="C235" t="s">
        <v>638</v>
      </c>
      <c r="D235" t="s">
        <v>177</v>
      </c>
      <c r="E235" t="s">
        <v>639</v>
      </c>
      <c r="F235" t="s">
        <v>640</v>
      </c>
      <c r="G235" t="s">
        <v>641</v>
      </c>
      <c r="CH235" t="str">
        <f t="shared" si="3"/>
        <v>D-0152</v>
      </c>
      <c r="CI235" s="1" t="s">
        <v>102</v>
      </c>
    </row>
    <row r="236" spans="1:87">
      <c r="A236" t="s">
        <v>2308</v>
      </c>
      <c r="B236">
        <v>1077</v>
      </c>
      <c r="C236" t="s">
        <v>638</v>
      </c>
      <c r="D236" t="s">
        <v>177</v>
      </c>
      <c r="E236" t="s">
        <v>639</v>
      </c>
      <c r="F236" t="s">
        <v>640</v>
      </c>
      <c r="G236" t="s">
        <v>641</v>
      </c>
      <c r="K236">
        <v>1077</v>
      </c>
      <c r="CH236" t="str">
        <f t="shared" si="3"/>
        <v>D-0152</v>
      </c>
      <c r="CI236" s="1" t="s">
        <v>102</v>
      </c>
    </row>
    <row r="237" spans="1:87">
      <c r="A237" t="s">
        <v>2352</v>
      </c>
      <c r="B237">
        <v>38</v>
      </c>
      <c r="C237" t="s">
        <v>638</v>
      </c>
      <c r="D237" t="s">
        <v>177</v>
      </c>
      <c r="E237" t="s">
        <v>639</v>
      </c>
      <c r="F237" t="s">
        <v>640</v>
      </c>
      <c r="G237" t="s">
        <v>641</v>
      </c>
      <c r="I237">
        <v>38</v>
      </c>
      <c r="CH237" t="str">
        <f t="shared" si="3"/>
        <v>D-0152</v>
      </c>
      <c r="CI237" s="1" t="s">
        <v>102</v>
      </c>
    </row>
    <row r="238" spans="1:87">
      <c r="A238" t="s">
        <v>2337</v>
      </c>
      <c r="B238">
        <v>10</v>
      </c>
      <c r="C238" t="s">
        <v>638</v>
      </c>
      <c r="D238" t="s">
        <v>177</v>
      </c>
      <c r="E238" t="s">
        <v>639</v>
      </c>
      <c r="F238" t="s">
        <v>640</v>
      </c>
      <c r="G238" t="s">
        <v>641</v>
      </c>
      <c r="I238">
        <v>10</v>
      </c>
      <c r="CH238" t="str">
        <f t="shared" si="3"/>
        <v>D-0152</v>
      </c>
      <c r="CI238" s="1" t="s">
        <v>102</v>
      </c>
    </row>
    <row r="239" spans="1:87">
      <c r="A239" t="s">
        <v>3358</v>
      </c>
      <c r="B239">
        <v>1202</v>
      </c>
      <c r="C239" t="s">
        <v>946</v>
      </c>
      <c r="D239" t="s">
        <v>365</v>
      </c>
      <c r="E239" t="s">
        <v>629</v>
      </c>
      <c r="F239" t="s">
        <v>706</v>
      </c>
      <c r="G239" t="s">
        <v>1351</v>
      </c>
      <c r="V239">
        <v>180</v>
      </c>
      <c r="W239">
        <v>12</v>
      </c>
      <c r="X239">
        <v>206</v>
      </c>
      <c r="Y239">
        <v>12</v>
      </c>
      <c r="Z239">
        <v>144</v>
      </c>
      <c r="AA239">
        <v>216</v>
      </c>
      <c r="AB239">
        <v>204</v>
      </c>
      <c r="AC239">
        <v>204</v>
      </c>
      <c r="AD239">
        <v>12</v>
      </c>
      <c r="AF239">
        <v>12</v>
      </c>
      <c r="CH239" t="str">
        <f t="shared" si="3"/>
        <v>D-0524</v>
      </c>
      <c r="CI239" s="1" t="s">
        <v>102</v>
      </c>
    </row>
    <row r="240" spans="1:87">
      <c r="A240" t="s">
        <v>2307</v>
      </c>
      <c r="B240">
        <v>1078</v>
      </c>
      <c r="C240" t="s">
        <v>638</v>
      </c>
      <c r="D240" t="s">
        <v>177</v>
      </c>
      <c r="E240" t="s">
        <v>639</v>
      </c>
      <c r="F240" t="s">
        <v>640</v>
      </c>
      <c r="G240" t="s">
        <v>641</v>
      </c>
      <c r="J240">
        <v>1078</v>
      </c>
      <c r="CH240" t="str">
        <f t="shared" si="3"/>
        <v>D-0152</v>
      </c>
      <c r="CI240" s="1" t="s">
        <v>102</v>
      </c>
    </row>
    <row r="241" spans="1:87">
      <c r="A241" t="s">
        <v>2335</v>
      </c>
      <c r="B241">
        <v>233</v>
      </c>
      <c r="C241" t="s">
        <v>638</v>
      </c>
      <c r="D241" t="s">
        <v>177</v>
      </c>
      <c r="E241" t="s">
        <v>639</v>
      </c>
      <c r="F241" t="s">
        <v>640</v>
      </c>
      <c r="G241" t="s">
        <v>641</v>
      </c>
      <c r="K241">
        <v>233</v>
      </c>
      <c r="CH241" t="str">
        <f t="shared" si="3"/>
        <v>D-0152</v>
      </c>
      <c r="CI241" s="1" t="s">
        <v>102</v>
      </c>
    </row>
    <row r="242" spans="1:87">
      <c r="A242" t="s">
        <v>1228</v>
      </c>
      <c r="B242">
        <v>1313</v>
      </c>
      <c r="C242" t="s">
        <v>718</v>
      </c>
      <c r="D242" t="s">
        <v>457</v>
      </c>
      <c r="E242" t="s">
        <v>629</v>
      </c>
      <c r="F242" t="s">
        <v>672</v>
      </c>
      <c r="G242" t="s">
        <v>673</v>
      </c>
      <c r="L242">
        <v>54</v>
      </c>
      <c r="M242">
        <v>54</v>
      </c>
      <c r="N242">
        <v>54</v>
      </c>
      <c r="O242">
        <v>54</v>
      </c>
      <c r="P242">
        <v>72</v>
      </c>
      <c r="Q242">
        <v>102</v>
      </c>
      <c r="R242">
        <v>72</v>
      </c>
      <c r="S242">
        <v>96</v>
      </c>
      <c r="T242">
        <v>90</v>
      </c>
      <c r="U242">
        <v>65</v>
      </c>
      <c r="V242">
        <v>96</v>
      </c>
      <c r="W242">
        <v>114</v>
      </c>
      <c r="X242">
        <v>90</v>
      </c>
      <c r="Y242">
        <v>138</v>
      </c>
      <c r="Z242">
        <v>96</v>
      </c>
      <c r="AA242">
        <v>66</v>
      </c>
      <c r="AB242">
        <v>48</v>
      </c>
      <c r="AC242">
        <v>24</v>
      </c>
      <c r="AD242">
        <v>30</v>
      </c>
      <c r="AE242">
        <v>6</v>
      </c>
      <c r="AF242">
        <v>18</v>
      </c>
      <c r="CH242" t="str">
        <f t="shared" si="3"/>
        <v>JV1-0695-3</v>
      </c>
      <c r="CI242" s="1" t="s">
        <v>102</v>
      </c>
    </row>
    <row r="243" spans="1:87">
      <c r="A243" t="s">
        <v>2473</v>
      </c>
      <c r="B243">
        <v>423</v>
      </c>
      <c r="C243" t="s">
        <v>2471</v>
      </c>
      <c r="D243" t="s">
        <v>238</v>
      </c>
      <c r="E243" t="s">
        <v>642</v>
      </c>
      <c r="F243" t="s">
        <v>645</v>
      </c>
      <c r="G243" t="s">
        <v>648</v>
      </c>
      <c r="T243">
        <v>143</v>
      </c>
      <c r="U243">
        <v>70</v>
      </c>
      <c r="V243">
        <v>140</v>
      </c>
      <c r="W243">
        <v>70</v>
      </c>
      <c r="CH243" t="str">
        <f t="shared" si="3"/>
        <v>D-0267</v>
      </c>
      <c r="CI243" s="1" t="s">
        <v>102</v>
      </c>
    </row>
    <row r="244" spans="1:87">
      <c r="A244" t="s">
        <v>2310</v>
      </c>
      <c r="B244">
        <v>748</v>
      </c>
      <c r="C244" t="s">
        <v>638</v>
      </c>
      <c r="D244" t="s">
        <v>177</v>
      </c>
      <c r="E244" t="s">
        <v>639</v>
      </c>
      <c r="F244" t="s">
        <v>640</v>
      </c>
      <c r="G244" t="s">
        <v>641</v>
      </c>
      <c r="CH244" t="str">
        <f t="shared" si="3"/>
        <v>D-0152</v>
      </c>
      <c r="CI244" s="1" t="s">
        <v>102</v>
      </c>
    </row>
    <row r="245" spans="1:87">
      <c r="A245" t="s">
        <v>2332</v>
      </c>
      <c r="B245">
        <v>137</v>
      </c>
      <c r="C245" t="s">
        <v>638</v>
      </c>
      <c r="D245" t="s">
        <v>177</v>
      </c>
      <c r="E245" t="s">
        <v>639</v>
      </c>
      <c r="F245" t="s">
        <v>640</v>
      </c>
      <c r="G245" t="s">
        <v>641</v>
      </c>
      <c r="CH245" t="str">
        <f t="shared" si="3"/>
        <v>D-0152</v>
      </c>
      <c r="CI245" s="1" t="s">
        <v>102</v>
      </c>
    </row>
    <row r="246" spans="1:87">
      <c r="A246" t="s">
        <v>2333</v>
      </c>
      <c r="B246">
        <v>310</v>
      </c>
      <c r="C246" t="s">
        <v>638</v>
      </c>
      <c r="D246" t="s">
        <v>177</v>
      </c>
      <c r="E246" t="s">
        <v>639</v>
      </c>
      <c r="F246" t="s">
        <v>640</v>
      </c>
      <c r="G246" t="s">
        <v>641</v>
      </c>
      <c r="CH246" t="str">
        <f t="shared" si="3"/>
        <v>D-0152</v>
      </c>
      <c r="CI246" s="1" t="s">
        <v>102</v>
      </c>
    </row>
    <row r="247" spans="1:87">
      <c r="A247" t="s">
        <v>1594</v>
      </c>
      <c r="B247">
        <v>242</v>
      </c>
      <c r="C247" t="s">
        <v>748</v>
      </c>
      <c r="D247" t="s">
        <v>282</v>
      </c>
      <c r="E247" t="s">
        <v>639</v>
      </c>
      <c r="F247" t="s">
        <v>699</v>
      </c>
      <c r="G247" t="s">
        <v>749</v>
      </c>
      <c r="H247">
        <v>30</v>
      </c>
      <c r="I247">
        <v>30</v>
      </c>
      <c r="K247">
        <v>30</v>
      </c>
      <c r="L247">
        <v>32</v>
      </c>
      <c r="CD247">
        <v>20</v>
      </c>
      <c r="CE247">
        <v>20</v>
      </c>
      <c r="CF247">
        <v>20</v>
      </c>
      <c r="CH247" t="str">
        <f t="shared" si="3"/>
        <v>D-0390</v>
      </c>
      <c r="CI247" s="1" t="s">
        <v>102</v>
      </c>
    </row>
    <row r="248" spans="1:87">
      <c r="A248" t="s">
        <v>2102</v>
      </c>
      <c r="B248">
        <v>96</v>
      </c>
      <c r="C248" t="s">
        <v>2099</v>
      </c>
      <c r="D248" t="s">
        <v>410</v>
      </c>
      <c r="E248" t="s">
        <v>629</v>
      </c>
      <c r="F248" t="s">
        <v>652</v>
      </c>
      <c r="G248" t="s">
        <v>1736</v>
      </c>
      <c r="L248">
        <v>12</v>
      </c>
      <c r="M248">
        <v>12</v>
      </c>
      <c r="N248">
        <v>12</v>
      </c>
      <c r="O248">
        <v>12</v>
      </c>
      <c r="P248">
        <v>12</v>
      </c>
      <c r="Q248">
        <v>12</v>
      </c>
      <c r="R248">
        <v>12</v>
      </c>
      <c r="S248">
        <v>12</v>
      </c>
      <c r="T248">
        <v>12</v>
      </c>
      <c r="U248">
        <v>12</v>
      </c>
      <c r="CH248" t="str">
        <f t="shared" si="3"/>
        <v>D-0591</v>
      </c>
      <c r="CI248" s="1" t="s">
        <v>102</v>
      </c>
    </row>
    <row r="249" spans="1:87">
      <c r="A249" t="s">
        <v>5143</v>
      </c>
      <c r="B249">
        <v>76</v>
      </c>
      <c r="C249" t="s">
        <v>5144</v>
      </c>
      <c r="D249" t="s">
        <v>5145</v>
      </c>
      <c r="E249" t="s">
        <v>642</v>
      </c>
      <c r="F249" t="s">
        <v>5146</v>
      </c>
      <c r="G249" t="s">
        <v>2593</v>
      </c>
      <c r="T249">
        <v>28</v>
      </c>
      <c r="X249">
        <v>24</v>
      </c>
      <c r="AB249">
        <v>24</v>
      </c>
      <c r="CH249" t="str">
        <f t="shared" si="3"/>
        <v>D-0514</v>
      </c>
      <c r="CI249" s="1" t="s">
        <v>102</v>
      </c>
    </row>
    <row r="250" spans="1:87">
      <c r="A250" t="s">
        <v>2819</v>
      </c>
      <c r="B250">
        <v>545</v>
      </c>
      <c r="C250" t="s">
        <v>1171</v>
      </c>
      <c r="D250" t="s">
        <v>457</v>
      </c>
      <c r="E250" t="s">
        <v>629</v>
      </c>
      <c r="F250" t="s">
        <v>672</v>
      </c>
      <c r="G250" t="s">
        <v>686</v>
      </c>
      <c r="O250">
        <v>12</v>
      </c>
      <c r="P250">
        <v>24</v>
      </c>
      <c r="Q250">
        <v>36</v>
      </c>
      <c r="R250">
        <v>60</v>
      </c>
      <c r="S250">
        <v>42</v>
      </c>
      <c r="T250">
        <v>6</v>
      </c>
      <c r="V250">
        <v>41</v>
      </c>
      <c r="W250">
        <v>60</v>
      </c>
      <c r="X250">
        <v>18</v>
      </c>
      <c r="Y250">
        <v>66</v>
      </c>
      <c r="Z250">
        <v>60</v>
      </c>
      <c r="AA250">
        <v>24</v>
      </c>
      <c r="AB250">
        <v>60</v>
      </c>
      <c r="AD250">
        <v>36</v>
      </c>
      <c r="CH250" t="str">
        <f t="shared" si="3"/>
        <v>JV1-0695-3</v>
      </c>
      <c r="CI250" s="1" t="s">
        <v>102</v>
      </c>
    </row>
    <row r="251" spans="1:87">
      <c r="A251" t="s">
        <v>2822</v>
      </c>
      <c r="B251">
        <v>527</v>
      </c>
      <c r="C251" t="s">
        <v>1171</v>
      </c>
      <c r="D251" t="s">
        <v>457</v>
      </c>
      <c r="E251" t="s">
        <v>629</v>
      </c>
      <c r="F251" t="s">
        <v>672</v>
      </c>
      <c r="G251" t="s">
        <v>686</v>
      </c>
      <c r="L251">
        <v>36</v>
      </c>
      <c r="M251">
        <v>36</v>
      </c>
      <c r="N251">
        <v>36</v>
      </c>
      <c r="O251">
        <v>36</v>
      </c>
      <c r="P251">
        <v>42</v>
      </c>
      <c r="Q251">
        <v>78</v>
      </c>
      <c r="R251">
        <v>78</v>
      </c>
      <c r="S251">
        <v>78</v>
      </c>
      <c r="T251">
        <v>54</v>
      </c>
      <c r="U251">
        <v>36</v>
      </c>
      <c r="V251">
        <v>29</v>
      </c>
      <c r="W251">
        <v>12</v>
      </c>
      <c r="X251">
        <v>12</v>
      </c>
      <c r="Y251">
        <v>12</v>
      </c>
      <c r="Z251">
        <v>12</v>
      </c>
      <c r="AA251">
        <v>6</v>
      </c>
      <c r="AB251">
        <v>6</v>
      </c>
      <c r="AC251">
        <v>6</v>
      </c>
      <c r="AD251">
        <v>6</v>
      </c>
      <c r="CH251" t="str">
        <f t="shared" si="3"/>
        <v>JV1-0695-3</v>
      </c>
      <c r="CI251" s="1" t="s">
        <v>102</v>
      </c>
    </row>
    <row r="252" spans="1:87">
      <c r="A252" t="s">
        <v>2823</v>
      </c>
      <c r="B252">
        <v>2279</v>
      </c>
      <c r="C252" t="s">
        <v>1171</v>
      </c>
      <c r="D252" t="s">
        <v>457</v>
      </c>
      <c r="E252" t="s">
        <v>629</v>
      </c>
      <c r="F252" t="s">
        <v>672</v>
      </c>
      <c r="G252" t="s">
        <v>686</v>
      </c>
      <c r="L252">
        <v>162</v>
      </c>
      <c r="M252">
        <v>162</v>
      </c>
      <c r="N252">
        <v>162</v>
      </c>
      <c r="O252">
        <v>162</v>
      </c>
      <c r="P252">
        <v>180</v>
      </c>
      <c r="Q252">
        <v>336</v>
      </c>
      <c r="R252">
        <v>312</v>
      </c>
      <c r="S252">
        <v>312</v>
      </c>
      <c r="T252">
        <v>222</v>
      </c>
      <c r="U252">
        <v>162</v>
      </c>
      <c r="V252">
        <v>119</v>
      </c>
      <c r="W252">
        <v>72</v>
      </c>
      <c r="X252">
        <v>72</v>
      </c>
      <c r="Y252">
        <v>72</v>
      </c>
      <c r="Z252">
        <v>48</v>
      </c>
      <c r="AA252">
        <v>24</v>
      </c>
      <c r="AB252">
        <v>24</v>
      </c>
      <c r="AC252">
        <v>24</v>
      </c>
      <c r="AD252">
        <v>24</v>
      </c>
      <c r="CH252" t="str">
        <f t="shared" si="3"/>
        <v>JV1-0695-3</v>
      </c>
      <c r="CI252" s="1" t="s">
        <v>102</v>
      </c>
    </row>
    <row r="253" spans="1:87">
      <c r="A253" t="s">
        <v>2844</v>
      </c>
      <c r="B253">
        <v>257</v>
      </c>
      <c r="C253" t="s">
        <v>1171</v>
      </c>
      <c r="D253" t="s">
        <v>457</v>
      </c>
      <c r="E253" t="s">
        <v>629</v>
      </c>
      <c r="F253" t="s">
        <v>672</v>
      </c>
      <c r="G253" t="s">
        <v>686</v>
      </c>
      <c r="L253">
        <v>12</v>
      </c>
      <c r="M253">
        <v>12</v>
      </c>
      <c r="N253">
        <v>12</v>
      </c>
      <c r="O253">
        <v>12</v>
      </c>
      <c r="P253">
        <v>12</v>
      </c>
      <c r="Q253">
        <v>18</v>
      </c>
      <c r="R253">
        <v>24</v>
      </c>
      <c r="S253">
        <v>30</v>
      </c>
      <c r="T253">
        <v>24</v>
      </c>
      <c r="U253">
        <v>24</v>
      </c>
      <c r="V253">
        <v>23</v>
      </c>
      <c r="W253">
        <v>12</v>
      </c>
      <c r="X253">
        <v>12</v>
      </c>
      <c r="Y253">
        <v>12</v>
      </c>
      <c r="Z253">
        <v>12</v>
      </c>
      <c r="AA253">
        <v>12</v>
      </c>
      <c r="AB253">
        <v>12</v>
      </c>
      <c r="AC253">
        <v>6</v>
      </c>
      <c r="AD253">
        <v>6</v>
      </c>
      <c r="AF253">
        <v>6</v>
      </c>
      <c r="CH253" t="str">
        <f t="shared" si="3"/>
        <v>JV1-0695-3</v>
      </c>
      <c r="CI253" s="1" t="s">
        <v>102</v>
      </c>
    </row>
    <row r="254" spans="1:87">
      <c r="A254" t="s">
        <v>2850</v>
      </c>
      <c r="B254">
        <v>1199</v>
      </c>
      <c r="C254" t="s">
        <v>1171</v>
      </c>
      <c r="D254" t="s">
        <v>457</v>
      </c>
      <c r="E254" t="s">
        <v>629</v>
      </c>
      <c r="F254" t="s">
        <v>672</v>
      </c>
      <c r="G254" t="s">
        <v>686</v>
      </c>
      <c r="N254">
        <v>48</v>
      </c>
      <c r="O254">
        <v>66</v>
      </c>
      <c r="P254">
        <v>78</v>
      </c>
      <c r="Q254">
        <v>126</v>
      </c>
      <c r="R254">
        <v>126</v>
      </c>
      <c r="S254">
        <v>126</v>
      </c>
      <c r="T254">
        <v>108</v>
      </c>
      <c r="U254">
        <v>90</v>
      </c>
      <c r="V254">
        <v>71</v>
      </c>
      <c r="W254">
        <v>54</v>
      </c>
      <c r="X254">
        <v>60</v>
      </c>
      <c r="Y254">
        <v>36</v>
      </c>
      <c r="Z254">
        <v>66</v>
      </c>
      <c r="AA254">
        <v>42</v>
      </c>
      <c r="AB254">
        <v>30</v>
      </c>
      <c r="AC254">
        <v>24</v>
      </c>
      <c r="AD254">
        <v>12</v>
      </c>
      <c r="AF254">
        <v>12</v>
      </c>
      <c r="AH254">
        <v>12</v>
      </c>
      <c r="AJ254">
        <v>12</v>
      </c>
      <c r="CH254" t="str">
        <f t="shared" si="3"/>
        <v>JV1-0695-3</v>
      </c>
      <c r="CI254" s="1" t="s">
        <v>102</v>
      </c>
    </row>
    <row r="255" spans="1:87">
      <c r="A255" t="s">
        <v>2846</v>
      </c>
      <c r="B255">
        <v>1991</v>
      </c>
      <c r="C255" t="s">
        <v>1171</v>
      </c>
      <c r="D255" t="s">
        <v>457</v>
      </c>
      <c r="E255" t="s">
        <v>629</v>
      </c>
      <c r="F255" t="s">
        <v>672</v>
      </c>
      <c r="G255" t="s">
        <v>686</v>
      </c>
      <c r="L255">
        <v>114</v>
      </c>
      <c r="M255">
        <v>114</v>
      </c>
      <c r="N255">
        <v>114</v>
      </c>
      <c r="O255">
        <v>114</v>
      </c>
      <c r="P255">
        <v>120</v>
      </c>
      <c r="Q255">
        <v>216</v>
      </c>
      <c r="R255">
        <v>186</v>
      </c>
      <c r="S255">
        <v>228</v>
      </c>
      <c r="T255">
        <v>180</v>
      </c>
      <c r="U255">
        <v>150</v>
      </c>
      <c r="V255">
        <v>155</v>
      </c>
      <c r="W255">
        <v>96</v>
      </c>
      <c r="X255">
        <v>114</v>
      </c>
      <c r="Y255">
        <v>48</v>
      </c>
      <c r="Z255">
        <v>102</v>
      </c>
      <c r="AA255">
        <v>36</v>
      </c>
      <c r="AB255">
        <v>78</v>
      </c>
      <c r="AC255">
        <v>18</v>
      </c>
      <c r="AD255">
        <v>48</v>
      </c>
      <c r="AF255">
        <v>24</v>
      </c>
      <c r="AH255">
        <v>12</v>
      </c>
      <c r="CH255" t="str">
        <f t="shared" si="3"/>
        <v>JV1-0695-3</v>
      </c>
      <c r="CI255" s="1" t="s">
        <v>102</v>
      </c>
    </row>
    <row r="256" spans="1:87">
      <c r="A256" t="s">
        <v>1514</v>
      </c>
      <c r="B256">
        <v>120</v>
      </c>
      <c r="C256" t="s">
        <v>1494</v>
      </c>
      <c r="D256" t="s">
        <v>142</v>
      </c>
      <c r="E256" t="s">
        <v>629</v>
      </c>
      <c r="F256" t="s">
        <v>1467</v>
      </c>
      <c r="G256" t="s">
        <v>1495</v>
      </c>
      <c r="AF256">
        <v>120</v>
      </c>
      <c r="CH256" t="str">
        <f t="shared" si="3"/>
        <v>D-0077</v>
      </c>
      <c r="CI256" s="1" t="s">
        <v>102</v>
      </c>
    </row>
    <row r="257" spans="1:87">
      <c r="A257" t="s">
        <v>1513</v>
      </c>
      <c r="B257">
        <v>89</v>
      </c>
      <c r="C257" t="s">
        <v>1494</v>
      </c>
      <c r="D257" t="s">
        <v>142</v>
      </c>
      <c r="E257" t="s">
        <v>629</v>
      </c>
      <c r="F257" t="s">
        <v>1467</v>
      </c>
      <c r="G257" t="s">
        <v>1495</v>
      </c>
      <c r="AE257">
        <v>89</v>
      </c>
      <c r="CH257" t="str">
        <f t="shared" si="3"/>
        <v>D-0077</v>
      </c>
      <c r="CI257" s="1" t="s">
        <v>102</v>
      </c>
    </row>
    <row r="258" spans="1:87">
      <c r="A258" t="s">
        <v>1512</v>
      </c>
      <c r="B258">
        <v>124</v>
      </c>
      <c r="C258" t="s">
        <v>1494</v>
      </c>
      <c r="D258" t="s">
        <v>142</v>
      </c>
      <c r="E258" t="s">
        <v>629</v>
      </c>
      <c r="F258" t="s">
        <v>1467</v>
      </c>
      <c r="G258" t="s">
        <v>1495</v>
      </c>
      <c r="AD258">
        <v>124</v>
      </c>
      <c r="CH258" t="str">
        <f t="shared" ref="CH258:CH321" si="4">TRIM(IFERROR(IFERROR(MID($D258,FIND("(D-",$D258)+1,6),LEFT($D258,FIND("(",$D258)-1)),$D258))</f>
        <v>D-0077</v>
      </c>
      <c r="CI258" s="1" t="s">
        <v>102</v>
      </c>
    </row>
    <row r="259" spans="1:87">
      <c r="A259" t="s">
        <v>1511</v>
      </c>
      <c r="B259">
        <v>147</v>
      </c>
      <c r="C259" t="s">
        <v>1494</v>
      </c>
      <c r="D259" t="s">
        <v>142</v>
      </c>
      <c r="E259" t="s">
        <v>629</v>
      </c>
      <c r="F259" t="s">
        <v>1467</v>
      </c>
      <c r="G259" t="s">
        <v>1495</v>
      </c>
      <c r="AC259">
        <v>147</v>
      </c>
      <c r="CH259" t="str">
        <f t="shared" si="4"/>
        <v>D-0077</v>
      </c>
      <c r="CI259" s="1" t="s">
        <v>102</v>
      </c>
    </row>
    <row r="260" spans="1:87">
      <c r="A260" t="s">
        <v>1510</v>
      </c>
      <c r="B260">
        <v>213</v>
      </c>
      <c r="C260" t="s">
        <v>1494</v>
      </c>
      <c r="D260" t="s">
        <v>142</v>
      </c>
      <c r="E260" t="s">
        <v>629</v>
      </c>
      <c r="F260" t="s">
        <v>1467</v>
      </c>
      <c r="G260" t="s">
        <v>1495</v>
      </c>
      <c r="AB260">
        <v>213</v>
      </c>
      <c r="CH260" t="str">
        <f t="shared" si="4"/>
        <v>D-0077</v>
      </c>
      <c r="CI260" s="1" t="s">
        <v>102</v>
      </c>
    </row>
    <row r="261" spans="1:87">
      <c r="A261" t="s">
        <v>1507</v>
      </c>
      <c r="B261">
        <v>187</v>
      </c>
      <c r="C261" t="s">
        <v>1494</v>
      </c>
      <c r="D261" t="s">
        <v>142</v>
      </c>
      <c r="E261" t="s">
        <v>629</v>
      </c>
      <c r="F261" t="s">
        <v>1467</v>
      </c>
      <c r="G261" t="s">
        <v>1495</v>
      </c>
      <c r="Y261">
        <v>187</v>
      </c>
      <c r="CH261" t="str">
        <f t="shared" si="4"/>
        <v>D-0077</v>
      </c>
      <c r="CI261" s="1" t="s">
        <v>102</v>
      </c>
    </row>
    <row r="262" spans="1:87">
      <c r="A262" t="s">
        <v>1505</v>
      </c>
      <c r="B262">
        <v>89</v>
      </c>
      <c r="C262" t="s">
        <v>1494</v>
      </c>
      <c r="D262" t="s">
        <v>142</v>
      </c>
      <c r="E262" t="s">
        <v>629</v>
      </c>
      <c r="F262" t="s">
        <v>1467</v>
      </c>
      <c r="G262" t="s">
        <v>1495</v>
      </c>
      <c r="V262">
        <v>89</v>
      </c>
      <c r="CH262" t="str">
        <f t="shared" si="4"/>
        <v>D-0077</v>
      </c>
      <c r="CI262" s="1" t="s">
        <v>102</v>
      </c>
    </row>
    <row r="263" spans="1:87">
      <c r="A263" t="s">
        <v>1515</v>
      </c>
      <c r="B263">
        <v>59</v>
      </c>
      <c r="C263" t="s">
        <v>1494</v>
      </c>
      <c r="D263" t="s">
        <v>142</v>
      </c>
      <c r="E263" t="s">
        <v>629</v>
      </c>
      <c r="F263" t="s">
        <v>1467</v>
      </c>
      <c r="G263" t="s">
        <v>1495</v>
      </c>
      <c r="AH263">
        <v>59</v>
      </c>
      <c r="CH263" t="str">
        <f t="shared" si="4"/>
        <v>D-0077</v>
      </c>
      <c r="CI263" s="1" t="s">
        <v>102</v>
      </c>
    </row>
    <row r="264" spans="1:87">
      <c r="A264" t="s">
        <v>1504</v>
      </c>
      <c r="B264">
        <v>56</v>
      </c>
      <c r="C264" t="s">
        <v>1494</v>
      </c>
      <c r="D264" t="s">
        <v>142</v>
      </c>
      <c r="E264" t="s">
        <v>629</v>
      </c>
      <c r="F264" t="s">
        <v>1467</v>
      </c>
      <c r="G264" t="s">
        <v>1495</v>
      </c>
      <c r="U264">
        <v>56</v>
      </c>
      <c r="CH264" t="str">
        <f t="shared" si="4"/>
        <v>D-0077</v>
      </c>
      <c r="CI264" s="1" t="s">
        <v>102</v>
      </c>
    </row>
    <row r="265" spans="1:87">
      <c r="A265" t="s">
        <v>1502</v>
      </c>
      <c r="B265">
        <v>12</v>
      </c>
      <c r="C265" t="s">
        <v>1494</v>
      </c>
      <c r="D265" t="s">
        <v>142</v>
      </c>
      <c r="E265" t="s">
        <v>629</v>
      </c>
      <c r="F265" t="s">
        <v>1467</v>
      </c>
      <c r="G265" t="s">
        <v>1495</v>
      </c>
      <c r="S265">
        <v>12</v>
      </c>
      <c r="CH265" t="str">
        <f t="shared" si="4"/>
        <v>D-0077</v>
      </c>
      <c r="CI265" s="1" t="s">
        <v>102</v>
      </c>
    </row>
    <row r="266" spans="1:87">
      <c r="A266" t="s">
        <v>1590</v>
      </c>
      <c r="B266">
        <v>645</v>
      </c>
      <c r="C266" t="s">
        <v>748</v>
      </c>
      <c r="D266" t="s">
        <v>282</v>
      </c>
      <c r="E266" t="s">
        <v>639</v>
      </c>
      <c r="F266" t="s">
        <v>699</v>
      </c>
      <c r="G266" t="s">
        <v>749</v>
      </c>
      <c r="H266">
        <v>100</v>
      </c>
      <c r="I266">
        <v>70</v>
      </c>
      <c r="J266">
        <v>110</v>
      </c>
      <c r="K266">
        <v>70</v>
      </c>
      <c r="L266">
        <v>85</v>
      </c>
      <c r="CE266">
        <v>40</v>
      </c>
      <c r="CG266">
        <v>50</v>
      </c>
      <c r="CH266" t="str">
        <f t="shared" si="4"/>
        <v>D-0390</v>
      </c>
      <c r="CI266" s="1" t="s">
        <v>102</v>
      </c>
    </row>
    <row r="267" spans="1:87">
      <c r="A267" t="s">
        <v>1506</v>
      </c>
      <c r="B267">
        <v>147</v>
      </c>
      <c r="C267" t="s">
        <v>1494</v>
      </c>
      <c r="D267" t="s">
        <v>142</v>
      </c>
      <c r="E267" t="s">
        <v>629</v>
      </c>
      <c r="F267" t="s">
        <v>1467</v>
      </c>
      <c r="G267" t="s">
        <v>1495</v>
      </c>
      <c r="W267">
        <v>147</v>
      </c>
      <c r="CH267" t="str">
        <f t="shared" si="4"/>
        <v>D-0077</v>
      </c>
      <c r="CI267" s="1" t="s">
        <v>102</v>
      </c>
    </row>
    <row r="268" spans="1:87">
      <c r="A268" t="s">
        <v>2638</v>
      </c>
      <c r="B268">
        <v>2670</v>
      </c>
      <c r="C268" t="s">
        <v>712</v>
      </c>
      <c r="D268" t="s">
        <v>457</v>
      </c>
      <c r="E268" t="s">
        <v>629</v>
      </c>
      <c r="F268" t="s">
        <v>672</v>
      </c>
      <c r="G268" t="s">
        <v>713</v>
      </c>
      <c r="L268">
        <v>72</v>
      </c>
      <c r="M268">
        <v>72</v>
      </c>
      <c r="N268">
        <v>72</v>
      </c>
      <c r="O268">
        <v>72</v>
      </c>
      <c r="P268">
        <v>102</v>
      </c>
      <c r="Q268">
        <v>144</v>
      </c>
      <c r="R268">
        <v>192</v>
      </c>
      <c r="S268">
        <v>198</v>
      </c>
      <c r="T268">
        <v>186</v>
      </c>
      <c r="U268">
        <v>138</v>
      </c>
      <c r="V268">
        <v>174</v>
      </c>
      <c r="W268">
        <v>138</v>
      </c>
      <c r="X268">
        <v>192</v>
      </c>
      <c r="Y268">
        <v>174</v>
      </c>
      <c r="Z268">
        <v>192</v>
      </c>
      <c r="AA268">
        <v>144</v>
      </c>
      <c r="AB268">
        <v>216</v>
      </c>
      <c r="AC268">
        <v>84</v>
      </c>
      <c r="AD268">
        <v>150</v>
      </c>
      <c r="AF268">
        <v>84</v>
      </c>
      <c r="AH268">
        <v>36</v>
      </c>
      <c r="AJ268">
        <v>6</v>
      </c>
      <c r="AL268">
        <v>6</v>
      </c>
      <c r="CH268" t="str">
        <f t="shared" si="4"/>
        <v>JV1-0695-3</v>
      </c>
      <c r="CI268" s="1" t="s">
        <v>102</v>
      </c>
    </row>
    <row r="269" spans="1:87">
      <c r="A269" t="s">
        <v>2649</v>
      </c>
      <c r="B269">
        <v>299</v>
      </c>
      <c r="C269" t="s">
        <v>712</v>
      </c>
      <c r="D269" t="s">
        <v>457</v>
      </c>
      <c r="E269" t="s">
        <v>629</v>
      </c>
      <c r="F269" t="s">
        <v>672</v>
      </c>
      <c r="G269" t="s">
        <v>713</v>
      </c>
      <c r="L269">
        <v>18</v>
      </c>
      <c r="M269">
        <v>18</v>
      </c>
      <c r="N269">
        <v>18</v>
      </c>
      <c r="O269">
        <v>18</v>
      </c>
      <c r="P269">
        <v>18</v>
      </c>
      <c r="Q269">
        <v>24</v>
      </c>
      <c r="R269">
        <v>30</v>
      </c>
      <c r="S269">
        <v>30</v>
      </c>
      <c r="T269">
        <v>18</v>
      </c>
      <c r="U269">
        <v>18</v>
      </c>
      <c r="V269">
        <v>12</v>
      </c>
      <c r="W269">
        <v>12</v>
      </c>
      <c r="X269">
        <v>23</v>
      </c>
      <c r="Y269">
        <v>12</v>
      </c>
      <c r="Z269">
        <v>18</v>
      </c>
      <c r="AA269">
        <v>18</v>
      </c>
      <c r="AB269">
        <v>12</v>
      </c>
      <c r="AC269">
        <v>6</v>
      </c>
      <c r="AF269">
        <v>6</v>
      </c>
      <c r="AH269">
        <v>12</v>
      </c>
      <c r="AL269">
        <v>6</v>
      </c>
      <c r="CH269" t="str">
        <f t="shared" si="4"/>
        <v>JV1-0695-3</v>
      </c>
      <c r="CI269" s="1" t="s">
        <v>102</v>
      </c>
    </row>
    <row r="270" spans="1:87">
      <c r="A270" t="s">
        <v>1226</v>
      </c>
      <c r="B270">
        <v>371</v>
      </c>
      <c r="C270" t="s">
        <v>1171</v>
      </c>
      <c r="D270" t="s">
        <v>457</v>
      </c>
      <c r="E270" t="s">
        <v>629</v>
      </c>
      <c r="F270" t="s">
        <v>672</v>
      </c>
      <c r="G270" t="s">
        <v>686</v>
      </c>
      <c r="L270">
        <v>30</v>
      </c>
      <c r="M270">
        <v>30</v>
      </c>
      <c r="N270">
        <v>30</v>
      </c>
      <c r="O270">
        <v>30</v>
      </c>
      <c r="P270">
        <v>24</v>
      </c>
      <c r="Q270">
        <v>66</v>
      </c>
      <c r="R270">
        <v>36</v>
      </c>
      <c r="S270">
        <v>36</v>
      </c>
      <c r="T270">
        <v>24</v>
      </c>
      <c r="U270">
        <v>23</v>
      </c>
      <c r="V270">
        <v>12</v>
      </c>
      <c r="W270">
        <v>18</v>
      </c>
      <c r="X270">
        <v>12</v>
      </c>
      <c r="Y270">
        <v>24</v>
      </c>
      <c r="Z270">
        <v>18</v>
      </c>
      <c r="AA270">
        <v>12</v>
      </c>
      <c r="AB270">
        <v>12</v>
      </c>
      <c r="AC270">
        <v>6</v>
      </c>
      <c r="AD270">
        <v>6</v>
      </c>
      <c r="CH270" t="str">
        <f t="shared" si="4"/>
        <v>JV1-0695-3</v>
      </c>
      <c r="CI270" s="1" t="s">
        <v>102</v>
      </c>
    </row>
    <row r="271" spans="1:87">
      <c r="A271" t="s">
        <v>2305</v>
      </c>
      <c r="B271">
        <v>168</v>
      </c>
      <c r="C271" t="s">
        <v>2289</v>
      </c>
      <c r="D271" t="s">
        <v>261</v>
      </c>
      <c r="E271" t="s">
        <v>629</v>
      </c>
      <c r="F271" t="s">
        <v>652</v>
      </c>
      <c r="G271" t="s">
        <v>1736</v>
      </c>
      <c r="T271">
        <v>12</v>
      </c>
      <c r="V271">
        <v>48</v>
      </c>
      <c r="X271">
        <v>60</v>
      </c>
      <c r="Z271">
        <v>36</v>
      </c>
      <c r="AB271">
        <v>12</v>
      </c>
      <c r="CH271" t="str">
        <f t="shared" si="4"/>
        <v>D-0310</v>
      </c>
      <c r="CI271" s="1" t="s">
        <v>102</v>
      </c>
    </row>
    <row r="272" spans="1:87">
      <c r="A272" t="s">
        <v>2291</v>
      </c>
      <c r="B272">
        <v>120</v>
      </c>
      <c r="C272" t="s">
        <v>2289</v>
      </c>
      <c r="D272" t="s">
        <v>261</v>
      </c>
      <c r="E272" t="s">
        <v>629</v>
      </c>
      <c r="F272" t="s">
        <v>652</v>
      </c>
      <c r="G272" t="s">
        <v>1736</v>
      </c>
      <c r="V272">
        <v>12</v>
      </c>
      <c r="W272">
        <v>12</v>
      </c>
      <c r="X272">
        <v>12</v>
      </c>
      <c r="Y272">
        <v>12</v>
      </c>
      <c r="Z272">
        <v>12</v>
      </c>
      <c r="AA272">
        <v>12</v>
      </c>
      <c r="AB272">
        <v>12</v>
      </c>
      <c r="AC272">
        <v>12</v>
      </c>
      <c r="AD272">
        <v>12</v>
      </c>
      <c r="AF272">
        <v>12</v>
      </c>
      <c r="CH272" t="str">
        <f t="shared" si="4"/>
        <v>D-0310</v>
      </c>
      <c r="CI272" s="1" t="s">
        <v>102</v>
      </c>
    </row>
    <row r="273" spans="1:87">
      <c r="A273" t="s">
        <v>2304</v>
      </c>
      <c r="B273">
        <v>252</v>
      </c>
      <c r="C273" t="s">
        <v>2289</v>
      </c>
      <c r="D273" t="s">
        <v>261</v>
      </c>
      <c r="E273" t="s">
        <v>629</v>
      </c>
      <c r="F273" t="s">
        <v>652</v>
      </c>
      <c r="G273" t="s">
        <v>1736</v>
      </c>
      <c r="S273">
        <v>12</v>
      </c>
      <c r="T273">
        <v>12</v>
      </c>
      <c r="U273">
        <v>24</v>
      </c>
      <c r="V273">
        <v>12</v>
      </c>
      <c r="W273">
        <v>36</v>
      </c>
      <c r="X273">
        <v>24</v>
      </c>
      <c r="Y273">
        <v>36</v>
      </c>
      <c r="Z273">
        <v>24</v>
      </c>
      <c r="AA273">
        <v>12</v>
      </c>
      <c r="AB273">
        <v>24</v>
      </c>
      <c r="AC273">
        <v>24</v>
      </c>
      <c r="AD273">
        <v>12</v>
      </c>
      <c r="CH273" t="str">
        <f t="shared" si="4"/>
        <v>D-0310</v>
      </c>
      <c r="CI273" s="1" t="s">
        <v>102</v>
      </c>
    </row>
    <row r="274" spans="1:87">
      <c r="A274" t="s">
        <v>2295</v>
      </c>
      <c r="B274">
        <v>228</v>
      </c>
      <c r="C274" t="s">
        <v>2289</v>
      </c>
      <c r="D274" t="s">
        <v>261</v>
      </c>
      <c r="E274" t="s">
        <v>629</v>
      </c>
      <c r="F274" t="s">
        <v>652</v>
      </c>
      <c r="G274" t="s">
        <v>1736</v>
      </c>
      <c r="L274">
        <v>12</v>
      </c>
      <c r="M274">
        <v>12</v>
      </c>
      <c r="N274">
        <v>12</v>
      </c>
      <c r="O274">
        <v>12</v>
      </c>
      <c r="P274">
        <v>12</v>
      </c>
      <c r="Q274">
        <v>12</v>
      </c>
      <c r="R274">
        <v>12</v>
      </c>
      <c r="S274">
        <v>12</v>
      </c>
      <c r="T274">
        <v>12</v>
      </c>
      <c r="U274">
        <v>24</v>
      </c>
      <c r="V274">
        <v>12</v>
      </c>
      <c r="W274">
        <v>24</v>
      </c>
      <c r="X274">
        <v>12</v>
      </c>
      <c r="Y274">
        <v>12</v>
      </c>
      <c r="Z274">
        <v>12</v>
      </c>
      <c r="AA274">
        <v>12</v>
      </c>
      <c r="AB274">
        <v>12</v>
      </c>
      <c r="CH274" t="str">
        <f t="shared" si="4"/>
        <v>D-0310</v>
      </c>
      <c r="CI274" s="1" t="s">
        <v>102</v>
      </c>
    </row>
    <row r="275" spans="1:87">
      <c r="A275" t="s">
        <v>2297</v>
      </c>
      <c r="B275">
        <v>228</v>
      </c>
      <c r="C275" t="s">
        <v>2289</v>
      </c>
      <c r="D275" t="s">
        <v>261</v>
      </c>
      <c r="E275" t="s">
        <v>629</v>
      </c>
      <c r="F275" t="s">
        <v>652</v>
      </c>
      <c r="G275" t="s">
        <v>1736</v>
      </c>
      <c r="V275">
        <v>24</v>
      </c>
      <c r="W275">
        <v>36</v>
      </c>
      <c r="X275">
        <v>24</v>
      </c>
      <c r="Y275">
        <v>36</v>
      </c>
      <c r="Z275">
        <v>24</v>
      </c>
      <c r="AA275">
        <v>36</v>
      </c>
      <c r="AB275">
        <v>24</v>
      </c>
      <c r="AC275">
        <v>12</v>
      </c>
      <c r="AD275">
        <v>12</v>
      </c>
      <c r="CH275" t="str">
        <f t="shared" si="4"/>
        <v>D-0310</v>
      </c>
      <c r="CI275" s="1" t="s">
        <v>102</v>
      </c>
    </row>
    <row r="276" spans="1:87">
      <c r="A276" t="s">
        <v>2301</v>
      </c>
      <c r="B276">
        <v>132</v>
      </c>
      <c r="C276" t="s">
        <v>2289</v>
      </c>
      <c r="D276" t="s">
        <v>261</v>
      </c>
      <c r="E276" t="s">
        <v>629</v>
      </c>
      <c r="F276" t="s">
        <v>652</v>
      </c>
      <c r="G276" t="s">
        <v>1736</v>
      </c>
      <c r="U276">
        <v>12</v>
      </c>
      <c r="V276">
        <v>12</v>
      </c>
      <c r="W276">
        <v>12</v>
      </c>
      <c r="X276">
        <v>12</v>
      </c>
      <c r="Y276">
        <v>24</v>
      </c>
      <c r="Z276">
        <v>12</v>
      </c>
      <c r="AA276">
        <v>12</v>
      </c>
      <c r="AB276">
        <v>12</v>
      </c>
      <c r="AC276">
        <v>12</v>
      </c>
      <c r="AD276">
        <v>12</v>
      </c>
      <c r="CH276" t="str">
        <f t="shared" si="4"/>
        <v>D-0310</v>
      </c>
      <c r="CI276" s="1" t="s">
        <v>102</v>
      </c>
    </row>
    <row r="277" spans="1:87">
      <c r="A277" t="s">
        <v>2298</v>
      </c>
      <c r="B277">
        <v>180</v>
      </c>
      <c r="C277" t="s">
        <v>2289</v>
      </c>
      <c r="D277" t="s">
        <v>261</v>
      </c>
      <c r="E277" t="s">
        <v>629</v>
      </c>
      <c r="F277" t="s">
        <v>652</v>
      </c>
      <c r="G277" t="s">
        <v>1736</v>
      </c>
      <c r="T277">
        <v>22</v>
      </c>
      <c r="U277">
        <v>10</v>
      </c>
      <c r="V277">
        <v>32</v>
      </c>
      <c r="W277">
        <v>10</v>
      </c>
      <c r="X277">
        <v>32</v>
      </c>
      <c r="Y277">
        <v>10</v>
      </c>
      <c r="Z277">
        <v>32</v>
      </c>
      <c r="AA277">
        <v>10</v>
      </c>
      <c r="AB277">
        <v>22</v>
      </c>
      <c r="CH277" t="str">
        <f t="shared" si="4"/>
        <v>D-0310</v>
      </c>
      <c r="CI277" s="1" t="s">
        <v>102</v>
      </c>
    </row>
    <row r="278" spans="1:87">
      <c r="A278" t="s">
        <v>2299</v>
      </c>
      <c r="B278">
        <v>144</v>
      </c>
      <c r="C278" t="s">
        <v>2289</v>
      </c>
      <c r="D278" t="s">
        <v>261</v>
      </c>
      <c r="E278" t="s">
        <v>629</v>
      </c>
      <c r="F278" t="s">
        <v>652</v>
      </c>
      <c r="G278" t="s">
        <v>1736</v>
      </c>
      <c r="R278">
        <v>12</v>
      </c>
      <c r="T278">
        <v>24</v>
      </c>
      <c r="V278">
        <v>24</v>
      </c>
      <c r="X278">
        <v>36</v>
      </c>
      <c r="Z278">
        <v>24</v>
      </c>
      <c r="AB278">
        <v>12</v>
      </c>
      <c r="AD278">
        <v>12</v>
      </c>
      <c r="CH278" t="str">
        <f t="shared" si="4"/>
        <v>D-0310</v>
      </c>
      <c r="CI278" s="1" t="s">
        <v>102</v>
      </c>
    </row>
    <row r="279" spans="1:87">
      <c r="A279" t="s">
        <v>2300</v>
      </c>
      <c r="B279">
        <v>192</v>
      </c>
      <c r="C279" t="s">
        <v>2289</v>
      </c>
      <c r="D279" t="s">
        <v>261</v>
      </c>
      <c r="E279" t="s">
        <v>629</v>
      </c>
      <c r="F279" t="s">
        <v>652</v>
      </c>
      <c r="G279" t="s">
        <v>1736</v>
      </c>
      <c r="T279">
        <v>16</v>
      </c>
      <c r="U279">
        <v>32</v>
      </c>
      <c r="V279">
        <v>32</v>
      </c>
      <c r="W279">
        <v>32</v>
      </c>
      <c r="X279">
        <v>32</v>
      </c>
      <c r="Y279">
        <v>16</v>
      </c>
      <c r="Z279">
        <v>16</v>
      </c>
      <c r="AA279">
        <v>16</v>
      </c>
      <c r="CH279" t="str">
        <f t="shared" si="4"/>
        <v>D-0310</v>
      </c>
      <c r="CI279" s="1" t="s">
        <v>102</v>
      </c>
    </row>
    <row r="280" spans="1:87">
      <c r="A280" t="s">
        <v>2302</v>
      </c>
      <c r="B280">
        <v>126</v>
      </c>
      <c r="C280" t="s">
        <v>2289</v>
      </c>
      <c r="D280" t="s">
        <v>261</v>
      </c>
      <c r="E280" t="s">
        <v>629</v>
      </c>
      <c r="F280" t="s">
        <v>652</v>
      </c>
      <c r="G280" t="s">
        <v>1736</v>
      </c>
      <c r="U280">
        <v>14</v>
      </c>
      <c r="W280">
        <v>28</v>
      </c>
      <c r="X280">
        <v>14</v>
      </c>
      <c r="Y280">
        <v>28</v>
      </c>
      <c r="Z280">
        <v>14</v>
      </c>
      <c r="AB280">
        <v>14</v>
      </c>
      <c r="AC280">
        <v>14</v>
      </c>
      <c r="CH280" t="str">
        <f t="shared" si="4"/>
        <v>D-0310</v>
      </c>
      <c r="CI280" s="1" t="s">
        <v>102</v>
      </c>
    </row>
    <row r="281" spans="1:87">
      <c r="A281" t="s">
        <v>2252</v>
      </c>
      <c r="B281">
        <v>12</v>
      </c>
      <c r="C281" t="s">
        <v>2030</v>
      </c>
      <c r="D281" t="s">
        <v>133</v>
      </c>
      <c r="E281" t="s">
        <v>642</v>
      </c>
      <c r="F281" t="s">
        <v>635</v>
      </c>
      <c r="G281" t="s">
        <v>2015</v>
      </c>
      <c r="V281">
        <v>6</v>
      </c>
      <c r="X281">
        <v>6</v>
      </c>
      <c r="CH281" t="str">
        <f t="shared" si="4"/>
        <v>D-0036</v>
      </c>
      <c r="CI281" s="1" t="s">
        <v>102</v>
      </c>
    </row>
    <row r="282" spans="1:87">
      <c r="A282" t="s">
        <v>2213</v>
      </c>
      <c r="B282">
        <v>12</v>
      </c>
      <c r="C282" t="s">
        <v>1741</v>
      </c>
      <c r="D282" t="s">
        <v>261</v>
      </c>
      <c r="E282" t="s">
        <v>629</v>
      </c>
      <c r="F282" t="s">
        <v>652</v>
      </c>
      <c r="G282" t="s">
        <v>1742</v>
      </c>
      <c r="V282">
        <v>6</v>
      </c>
      <c r="X282">
        <v>6</v>
      </c>
      <c r="CH282" t="str">
        <f t="shared" si="4"/>
        <v>D-0310</v>
      </c>
      <c r="CI282" s="1" t="s">
        <v>102</v>
      </c>
    </row>
    <row r="283" spans="1:87">
      <c r="A283" t="s">
        <v>1772</v>
      </c>
      <c r="B283">
        <v>804</v>
      </c>
      <c r="C283" t="s">
        <v>1746</v>
      </c>
      <c r="D283" t="s">
        <v>410</v>
      </c>
      <c r="E283" t="s">
        <v>629</v>
      </c>
      <c r="F283" t="s">
        <v>652</v>
      </c>
      <c r="G283" t="s">
        <v>1742</v>
      </c>
      <c r="T283">
        <v>24</v>
      </c>
      <c r="U283">
        <v>36</v>
      </c>
      <c r="V283">
        <v>60</v>
      </c>
      <c r="W283">
        <v>96</v>
      </c>
      <c r="X283">
        <v>96</v>
      </c>
      <c r="Y283">
        <v>156</v>
      </c>
      <c r="Z283">
        <v>168</v>
      </c>
      <c r="AA283">
        <v>24</v>
      </c>
      <c r="AB283">
        <v>36</v>
      </c>
      <c r="AC283">
        <v>60</v>
      </c>
      <c r="AD283">
        <v>12</v>
      </c>
      <c r="AE283">
        <v>36</v>
      </c>
      <c r="CH283" t="str">
        <f t="shared" si="4"/>
        <v>D-0591</v>
      </c>
      <c r="CI283" s="1" t="s">
        <v>102</v>
      </c>
    </row>
    <row r="284" spans="1:87">
      <c r="A284" t="s">
        <v>1870</v>
      </c>
      <c r="B284">
        <v>768</v>
      </c>
      <c r="C284" t="s">
        <v>1746</v>
      </c>
      <c r="D284" t="s">
        <v>410</v>
      </c>
      <c r="E284" t="s">
        <v>629</v>
      </c>
      <c r="F284" t="s">
        <v>652</v>
      </c>
      <c r="G284" t="s">
        <v>1742</v>
      </c>
      <c r="S284">
        <v>48</v>
      </c>
      <c r="U284">
        <v>108</v>
      </c>
      <c r="W284">
        <v>216</v>
      </c>
      <c r="Y284">
        <v>192</v>
      </c>
      <c r="AA284">
        <v>120</v>
      </c>
      <c r="AC284">
        <v>84</v>
      </c>
      <c r="CH284" t="str">
        <f t="shared" si="4"/>
        <v>D-0591</v>
      </c>
      <c r="CI284" s="1" t="s">
        <v>102</v>
      </c>
    </row>
    <row r="285" spans="1:87">
      <c r="A285" t="s">
        <v>1832</v>
      </c>
      <c r="B285">
        <v>690</v>
      </c>
      <c r="C285" t="s">
        <v>1746</v>
      </c>
      <c r="D285" t="s">
        <v>410</v>
      </c>
      <c r="E285" t="s">
        <v>629</v>
      </c>
      <c r="F285" t="s">
        <v>652</v>
      </c>
      <c r="G285" t="s">
        <v>1742</v>
      </c>
      <c r="O285">
        <v>6</v>
      </c>
      <c r="Q285">
        <v>18</v>
      </c>
      <c r="S285">
        <v>24</v>
      </c>
      <c r="U285">
        <v>36</v>
      </c>
      <c r="W285">
        <v>102</v>
      </c>
      <c r="Y285">
        <v>138</v>
      </c>
      <c r="AA285">
        <v>162</v>
      </c>
      <c r="AC285">
        <v>102</v>
      </c>
      <c r="AE285">
        <v>66</v>
      </c>
      <c r="AG285">
        <v>36</v>
      </c>
      <c r="CH285" t="str">
        <f t="shared" si="4"/>
        <v>D-0591</v>
      </c>
      <c r="CI285" s="1" t="s">
        <v>102</v>
      </c>
    </row>
    <row r="286" spans="1:87">
      <c r="A286" t="s">
        <v>1834</v>
      </c>
      <c r="B286">
        <v>684</v>
      </c>
      <c r="C286" t="s">
        <v>1746</v>
      </c>
      <c r="D286" t="s">
        <v>410</v>
      </c>
      <c r="E286" t="s">
        <v>629</v>
      </c>
      <c r="F286" t="s">
        <v>652</v>
      </c>
      <c r="G286" t="s">
        <v>1742</v>
      </c>
      <c r="O286">
        <v>3</v>
      </c>
      <c r="Q286">
        <v>9</v>
      </c>
      <c r="S286">
        <v>12</v>
      </c>
      <c r="U286">
        <v>36</v>
      </c>
      <c r="W286">
        <v>84</v>
      </c>
      <c r="Y286">
        <v>156</v>
      </c>
      <c r="AA286">
        <v>168</v>
      </c>
      <c r="AC286">
        <v>114</v>
      </c>
      <c r="AE286">
        <v>78</v>
      </c>
      <c r="AG286">
        <v>24</v>
      </c>
      <c r="CH286" t="str">
        <f t="shared" si="4"/>
        <v>D-0591</v>
      </c>
      <c r="CI286" s="1" t="s">
        <v>102</v>
      </c>
    </row>
    <row r="287" spans="1:87">
      <c r="A287" t="s">
        <v>1904</v>
      </c>
      <c r="B287">
        <v>608</v>
      </c>
      <c r="C287" t="s">
        <v>1746</v>
      </c>
      <c r="D287" t="s">
        <v>410</v>
      </c>
      <c r="E287" t="s">
        <v>629</v>
      </c>
      <c r="F287" t="s">
        <v>652</v>
      </c>
      <c r="G287" t="s">
        <v>1742</v>
      </c>
      <c r="O287">
        <v>2</v>
      </c>
      <c r="Q287">
        <v>14</v>
      </c>
      <c r="S287">
        <v>40</v>
      </c>
      <c r="U287">
        <v>98</v>
      </c>
      <c r="W287">
        <v>142</v>
      </c>
      <c r="Y287">
        <v>140</v>
      </c>
      <c r="AA287">
        <v>101</v>
      </c>
      <c r="AC287">
        <v>59</v>
      </c>
      <c r="AE287">
        <v>12</v>
      </c>
      <c r="CH287" t="str">
        <f t="shared" si="4"/>
        <v>D-0591</v>
      </c>
      <c r="CI287" s="1" t="s">
        <v>102</v>
      </c>
    </row>
    <row r="288" spans="1:87">
      <c r="A288" t="s">
        <v>1973</v>
      </c>
      <c r="B288">
        <v>600</v>
      </c>
      <c r="C288" t="s">
        <v>1746</v>
      </c>
      <c r="D288" t="s">
        <v>410</v>
      </c>
      <c r="E288" t="s">
        <v>629</v>
      </c>
      <c r="F288" t="s">
        <v>652</v>
      </c>
      <c r="G288" t="s">
        <v>1742</v>
      </c>
      <c r="Q288">
        <v>12</v>
      </c>
      <c r="S288">
        <v>120</v>
      </c>
      <c r="U288">
        <v>156</v>
      </c>
      <c r="W288">
        <v>144</v>
      </c>
      <c r="Y288">
        <v>96</v>
      </c>
      <c r="AA288">
        <v>48</v>
      </c>
      <c r="AC288">
        <v>24</v>
      </c>
      <c r="CH288" t="str">
        <f t="shared" si="4"/>
        <v>D-0591</v>
      </c>
      <c r="CI288" s="1" t="s">
        <v>102</v>
      </c>
    </row>
    <row r="289" spans="1:87">
      <c r="A289" t="s">
        <v>1871</v>
      </c>
      <c r="B289">
        <v>552</v>
      </c>
      <c r="C289" t="s">
        <v>1746</v>
      </c>
      <c r="D289" t="s">
        <v>410</v>
      </c>
      <c r="E289" t="s">
        <v>629</v>
      </c>
      <c r="F289" t="s">
        <v>652</v>
      </c>
      <c r="G289" t="s">
        <v>1742</v>
      </c>
      <c r="S289">
        <v>36</v>
      </c>
      <c r="U289">
        <v>72</v>
      </c>
      <c r="W289">
        <v>120</v>
      </c>
      <c r="Y289">
        <v>132</v>
      </c>
      <c r="AA289">
        <v>108</v>
      </c>
      <c r="AC289">
        <v>84</v>
      </c>
      <c r="CH289" t="str">
        <f t="shared" si="4"/>
        <v>D-0591</v>
      </c>
      <c r="CI289" s="1" t="s">
        <v>102</v>
      </c>
    </row>
    <row r="290" spans="1:87">
      <c r="A290" t="s">
        <v>1798</v>
      </c>
      <c r="B290">
        <v>549</v>
      </c>
      <c r="C290" t="s">
        <v>1746</v>
      </c>
      <c r="D290" t="s">
        <v>410</v>
      </c>
      <c r="E290" t="s">
        <v>629</v>
      </c>
      <c r="F290" t="s">
        <v>652</v>
      </c>
      <c r="G290" t="s">
        <v>1742</v>
      </c>
      <c r="M290">
        <v>6</v>
      </c>
      <c r="N290">
        <v>17</v>
      </c>
      <c r="O290">
        <v>10</v>
      </c>
      <c r="P290">
        <v>24</v>
      </c>
      <c r="Q290">
        <v>15</v>
      </c>
      <c r="R290">
        <v>44</v>
      </c>
      <c r="S290">
        <v>55</v>
      </c>
      <c r="T290">
        <v>22</v>
      </c>
      <c r="U290">
        <v>38</v>
      </c>
      <c r="V290">
        <v>34</v>
      </c>
      <c r="W290">
        <v>18</v>
      </c>
      <c r="X290">
        <v>41</v>
      </c>
      <c r="Y290">
        <v>24</v>
      </c>
      <c r="Z290">
        <v>57</v>
      </c>
      <c r="AA290">
        <v>56</v>
      </c>
      <c r="AB290">
        <v>25</v>
      </c>
      <c r="AC290">
        <v>32</v>
      </c>
      <c r="AD290">
        <v>17</v>
      </c>
      <c r="AE290">
        <v>8</v>
      </c>
      <c r="AG290">
        <v>2</v>
      </c>
      <c r="AI290">
        <v>2</v>
      </c>
      <c r="AK290">
        <v>2</v>
      </c>
      <c r="CH290" t="str">
        <f t="shared" si="4"/>
        <v>D-0591</v>
      </c>
      <c r="CI290" s="1" t="s">
        <v>102</v>
      </c>
    </row>
    <row r="291" spans="1:87">
      <c r="A291" t="s">
        <v>1799</v>
      </c>
      <c r="B291">
        <v>475</v>
      </c>
      <c r="C291" t="s">
        <v>1746</v>
      </c>
      <c r="D291" t="s">
        <v>410</v>
      </c>
      <c r="E291" t="s">
        <v>629</v>
      </c>
      <c r="F291" t="s">
        <v>652</v>
      </c>
      <c r="G291" t="s">
        <v>1742</v>
      </c>
      <c r="M291">
        <v>6</v>
      </c>
      <c r="N291">
        <v>17</v>
      </c>
      <c r="O291">
        <v>11</v>
      </c>
      <c r="P291">
        <v>24</v>
      </c>
      <c r="Q291">
        <v>14</v>
      </c>
      <c r="R291">
        <v>40</v>
      </c>
      <c r="S291">
        <v>50</v>
      </c>
      <c r="T291">
        <v>23</v>
      </c>
      <c r="U291">
        <v>36</v>
      </c>
      <c r="V291">
        <v>29</v>
      </c>
      <c r="W291">
        <v>16</v>
      </c>
      <c r="X291">
        <v>35</v>
      </c>
      <c r="Y291">
        <v>18</v>
      </c>
      <c r="Z291">
        <v>47</v>
      </c>
      <c r="AA291">
        <v>47</v>
      </c>
      <c r="AB291">
        <v>21</v>
      </c>
      <c r="AC291">
        <v>26</v>
      </c>
      <c r="AD291">
        <v>11</v>
      </c>
      <c r="AE291">
        <v>4</v>
      </c>
      <c r="CH291" t="str">
        <f t="shared" si="4"/>
        <v>D-0591</v>
      </c>
      <c r="CI291" s="1" t="s">
        <v>102</v>
      </c>
    </row>
    <row r="292" spans="1:87">
      <c r="A292" t="s">
        <v>1754</v>
      </c>
      <c r="B292">
        <v>5172</v>
      </c>
      <c r="C292" t="s">
        <v>1746</v>
      </c>
      <c r="D292" t="s">
        <v>410</v>
      </c>
      <c r="E292" t="s">
        <v>629</v>
      </c>
      <c r="F292" t="s">
        <v>652</v>
      </c>
      <c r="G292" t="s">
        <v>1742</v>
      </c>
      <c r="N292">
        <v>72</v>
      </c>
      <c r="O292">
        <v>180</v>
      </c>
      <c r="P292">
        <v>216</v>
      </c>
      <c r="Q292">
        <v>312</v>
      </c>
      <c r="R292">
        <v>384</v>
      </c>
      <c r="S292">
        <v>552</v>
      </c>
      <c r="T292">
        <v>192</v>
      </c>
      <c r="U292">
        <v>396</v>
      </c>
      <c r="V292">
        <v>288</v>
      </c>
      <c r="W292">
        <v>384</v>
      </c>
      <c r="X292">
        <v>432</v>
      </c>
      <c r="Y292">
        <v>420</v>
      </c>
      <c r="Z292">
        <v>384</v>
      </c>
      <c r="AA292">
        <v>372</v>
      </c>
      <c r="AB292">
        <v>156</v>
      </c>
      <c r="AC292">
        <v>288</v>
      </c>
      <c r="AD292">
        <v>96</v>
      </c>
      <c r="AE292">
        <v>48</v>
      </c>
      <c r="CH292" t="str">
        <f t="shared" si="4"/>
        <v>D-0591</v>
      </c>
      <c r="CI292" s="1" t="s">
        <v>102</v>
      </c>
    </row>
    <row r="293" spans="1:87">
      <c r="A293" t="s">
        <v>1877</v>
      </c>
      <c r="B293">
        <v>1728</v>
      </c>
      <c r="C293" t="s">
        <v>1746</v>
      </c>
      <c r="D293" t="s">
        <v>410</v>
      </c>
      <c r="E293" t="s">
        <v>629</v>
      </c>
      <c r="F293" t="s">
        <v>652</v>
      </c>
      <c r="G293" t="s">
        <v>1742</v>
      </c>
      <c r="N293">
        <v>144</v>
      </c>
      <c r="P293">
        <v>144</v>
      </c>
      <c r="Q293">
        <v>144</v>
      </c>
      <c r="R293">
        <v>144</v>
      </c>
      <c r="S293">
        <v>144</v>
      </c>
      <c r="U293">
        <v>144</v>
      </c>
      <c r="V293">
        <v>144</v>
      </c>
      <c r="X293">
        <v>144</v>
      </c>
      <c r="Y293">
        <v>144</v>
      </c>
      <c r="Z293">
        <v>144</v>
      </c>
      <c r="AA293">
        <v>144</v>
      </c>
      <c r="AC293">
        <v>144</v>
      </c>
      <c r="CH293" t="str">
        <f t="shared" si="4"/>
        <v>D-0591</v>
      </c>
      <c r="CI293" s="1" t="s">
        <v>102</v>
      </c>
    </row>
    <row r="294" spans="1:87">
      <c r="A294" t="s">
        <v>1907</v>
      </c>
      <c r="B294">
        <v>482</v>
      </c>
      <c r="C294" t="s">
        <v>1746</v>
      </c>
      <c r="D294" t="s">
        <v>410</v>
      </c>
      <c r="E294" t="s">
        <v>629</v>
      </c>
      <c r="F294" t="s">
        <v>652</v>
      </c>
      <c r="G294" t="s">
        <v>1742</v>
      </c>
      <c r="M294">
        <v>2</v>
      </c>
      <c r="O294">
        <v>4</v>
      </c>
      <c r="Q294">
        <v>24</v>
      </c>
      <c r="S294">
        <v>55</v>
      </c>
      <c r="U294">
        <v>94</v>
      </c>
      <c r="W294">
        <v>119</v>
      </c>
      <c r="Y294">
        <v>111</v>
      </c>
      <c r="AA294">
        <v>43</v>
      </c>
      <c r="AC294">
        <v>18</v>
      </c>
      <c r="AE294">
        <v>12</v>
      </c>
      <c r="CH294" t="str">
        <f t="shared" si="4"/>
        <v>D-0591</v>
      </c>
      <c r="CI294" s="1" t="s">
        <v>102</v>
      </c>
    </row>
    <row r="295" spans="1:87">
      <c r="A295" t="s">
        <v>1893</v>
      </c>
      <c r="B295">
        <v>360</v>
      </c>
      <c r="C295" t="s">
        <v>1746</v>
      </c>
      <c r="D295" t="s">
        <v>410</v>
      </c>
      <c r="E295" t="s">
        <v>629</v>
      </c>
      <c r="F295" t="s">
        <v>652</v>
      </c>
      <c r="G295" t="s">
        <v>1742</v>
      </c>
      <c r="T295">
        <v>30</v>
      </c>
      <c r="U295">
        <v>60</v>
      </c>
      <c r="V295">
        <v>60</v>
      </c>
      <c r="W295">
        <v>60</v>
      </c>
      <c r="X295">
        <v>60</v>
      </c>
      <c r="Y295">
        <v>30</v>
      </c>
      <c r="Z295">
        <v>30</v>
      </c>
      <c r="AA295">
        <v>30</v>
      </c>
      <c r="CH295" t="str">
        <f t="shared" si="4"/>
        <v>D-0591</v>
      </c>
      <c r="CI295" s="1" t="s">
        <v>102</v>
      </c>
    </row>
    <row r="296" spans="1:87">
      <c r="A296" t="s">
        <v>1906</v>
      </c>
      <c r="B296">
        <v>445</v>
      </c>
      <c r="C296" t="s">
        <v>1746</v>
      </c>
      <c r="D296" t="s">
        <v>410</v>
      </c>
      <c r="E296" t="s">
        <v>629</v>
      </c>
      <c r="F296" t="s">
        <v>652</v>
      </c>
      <c r="G296" t="s">
        <v>1742</v>
      </c>
      <c r="Q296">
        <v>12</v>
      </c>
      <c r="S296">
        <v>41</v>
      </c>
      <c r="U296">
        <v>93</v>
      </c>
      <c r="W296">
        <v>116</v>
      </c>
      <c r="Y296">
        <v>103</v>
      </c>
      <c r="AA296">
        <v>52</v>
      </c>
      <c r="AC296">
        <v>16</v>
      </c>
      <c r="AE296">
        <v>12</v>
      </c>
      <c r="CH296" t="str">
        <f t="shared" si="4"/>
        <v>D-0591</v>
      </c>
      <c r="CI296" s="1" t="s">
        <v>102</v>
      </c>
    </row>
    <row r="297" spans="1:87">
      <c r="A297" t="s">
        <v>1876</v>
      </c>
      <c r="B297">
        <v>1680</v>
      </c>
      <c r="C297" t="s">
        <v>1746</v>
      </c>
      <c r="D297" t="s">
        <v>410</v>
      </c>
      <c r="E297" t="s">
        <v>629</v>
      </c>
      <c r="F297" t="s">
        <v>652</v>
      </c>
      <c r="G297" t="s">
        <v>1742</v>
      </c>
      <c r="N297">
        <v>70</v>
      </c>
      <c r="P297">
        <v>140</v>
      </c>
      <c r="Q297">
        <v>140</v>
      </c>
      <c r="R297">
        <v>140</v>
      </c>
      <c r="S297">
        <v>140</v>
      </c>
      <c r="T297">
        <v>140</v>
      </c>
      <c r="U297">
        <v>70</v>
      </c>
      <c r="V297">
        <v>70</v>
      </c>
      <c r="X297">
        <v>70</v>
      </c>
      <c r="Y297">
        <v>140</v>
      </c>
      <c r="Z297">
        <v>140</v>
      </c>
      <c r="AA297">
        <v>140</v>
      </c>
      <c r="AB297">
        <v>140</v>
      </c>
      <c r="AC297">
        <v>70</v>
      </c>
      <c r="AD297">
        <v>70</v>
      </c>
      <c r="CH297" t="str">
        <f t="shared" si="4"/>
        <v>D-0591</v>
      </c>
      <c r="CI297" s="1" t="s">
        <v>102</v>
      </c>
    </row>
    <row r="298" spans="1:87">
      <c r="A298" t="s">
        <v>2326</v>
      </c>
      <c r="B298">
        <v>437</v>
      </c>
      <c r="C298" t="s">
        <v>638</v>
      </c>
      <c r="D298" t="s">
        <v>177</v>
      </c>
      <c r="E298" t="s">
        <v>639</v>
      </c>
      <c r="F298" t="s">
        <v>640</v>
      </c>
      <c r="G298" t="s">
        <v>641</v>
      </c>
      <c r="I298">
        <v>437</v>
      </c>
      <c r="CH298" t="str">
        <f t="shared" si="4"/>
        <v>D-0152</v>
      </c>
      <c r="CI298" s="1" t="s">
        <v>102</v>
      </c>
    </row>
    <row r="299" spans="1:87">
      <c r="A299" t="s">
        <v>2336</v>
      </c>
      <c r="B299">
        <v>291</v>
      </c>
      <c r="C299" t="s">
        <v>638</v>
      </c>
      <c r="D299" t="s">
        <v>177</v>
      </c>
      <c r="E299" t="s">
        <v>639</v>
      </c>
      <c r="F299" t="s">
        <v>640</v>
      </c>
      <c r="G299" t="s">
        <v>641</v>
      </c>
      <c r="J299">
        <v>291</v>
      </c>
      <c r="CH299" t="str">
        <f t="shared" si="4"/>
        <v>D-0152</v>
      </c>
      <c r="CI299" s="1" t="s">
        <v>102</v>
      </c>
    </row>
    <row r="300" spans="1:87">
      <c r="A300" t="s">
        <v>2342</v>
      </c>
      <c r="B300">
        <v>60</v>
      </c>
      <c r="C300" t="s">
        <v>638</v>
      </c>
      <c r="D300" t="s">
        <v>177</v>
      </c>
      <c r="E300" t="s">
        <v>639</v>
      </c>
      <c r="F300" t="s">
        <v>640</v>
      </c>
      <c r="G300" t="s">
        <v>641</v>
      </c>
      <c r="J300">
        <v>60</v>
      </c>
      <c r="CH300" t="str">
        <f t="shared" si="4"/>
        <v>D-0152</v>
      </c>
      <c r="CI300" s="1" t="s">
        <v>102</v>
      </c>
    </row>
    <row r="301" spans="1:87">
      <c r="A301" t="s">
        <v>2325</v>
      </c>
      <c r="B301">
        <v>887</v>
      </c>
      <c r="C301" t="s">
        <v>638</v>
      </c>
      <c r="D301" t="s">
        <v>177</v>
      </c>
      <c r="E301" t="s">
        <v>639</v>
      </c>
      <c r="F301" t="s">
        <v>640</v>
      </c>
      <c r="G301" t="s">
        <v>641</v>
      </c>
      <c r="H301">
        <v>887</v>
      </c>
      <c r="CH301" t="str">
        <f t="shared" si="4"/>
        <v>D-0152</v>
      </c>
      <c r="CI301" s="1" t="s">
        <v>102</v>
      </c>
    </row>
    <row r="302" spans="1:87">
      <c r="A302" t="s">
        <v>2338</v>
      </c>
      <c r="B302">
        <v>222</v>
      </c>
      <c r="C302" t="s">
        <v>638</v>
      </c>
      <c r="D302" t="s">
        <v>177</v>
      </c>
      <c r="E302" t="s">
        <v>639</v>
      </c>
      <c r="F302" t="s">
        <v>640</v>
      </c>
      <c r="G302" t="s">
        <v>641</v>
      </c>
      <c r="H302">
        <v>222</v>
      </c>
      <c r="CH302" t="str">
        <f t="shared" si="4"/>
        <v>D-0152</v>
      </c>
      <c r="CI302" s="1" t="s">
        <v>102</v>
      </c>
    </row>
    <row r="303" spans="1:87">
      <c r="A303" t="s">
        <v>2353</v>
      </c>
      <c r="B303">
        <v>48</v>
      </c>
      <c r="C303" t="s">
        <v>638</v>
      </c>
      <c r="D303" t="s">
        <v>177</v>
      </c>
      <c r="E303" t="s">
        <v>639</v>
      </c>
      <c r="F303" t="s">
        <v>640</v>
      </c>
      <c r="G303" t="s">
        <v>641</v>
      </c>
      <c r="H303">
        <v>48</v>
      </c>
      <c r="CH303" t="str">
        <f t="shared" si="4"/>
        <v>D-0152</v>
      </c>
      <c r="CI303" s="1" t="s">
        <v>102</v>
      </c>
    </row>
    <row r="304" spans="1:87">
      <c r="A304" t="s">
        <v>2324</v>
      </c>
      <c r="B304">
        <v>599</v>
      </c>
      <c r="C304" t="s">
        <v>638</v>
      </c>
      <c r="D304" t="s">
        <v>177</v>
      </c>
      <c r="E304" t="s">
        <v>639</v>
      </c>
      <c r="F304" t="s">
        <v>640</v>
      </c>
      <c r="G304" t="s">
        <v>641</v>
      </c>
      <c r="CH304" t="str">
        <f t="shared" si="4"/>
        <v>D-0152</v>
      </c>
      <c r="CI304" s="1" t="s">
        <v>102</v>
      </c>
    </row>
    <row r="305" spans="1:87">
      <c r="A305" t="s">
        <v>2354</v>
      </c>
      <c r="B305">
        <v>47</v>
      </c>
      <c r="C305" t="s">
        <v>638</v>
      </c>
      <c r="D305" t="s">
        <v>177</v>
      </c>
      <c r="E305" t="s">
        <v>639</v>
      </c>
      <c r="F305" t="s">
        <v>640</v>
      </c>
      <c r="G305" t="s">
        <v>641</v>
      </c>
      <c r="CH305" t="str">
        <f t="shared" si="4"/>
        <v>D-0152</v>
      </c>
      <c r="CI305" s="1" t="s">
        <v>102</v>
      </c>
    </row>
    <row r="306" spans="1:87">
      <c r="A306" t="s">
        <v>2355</v>
      </c>
      <c r="B306">
        <v>26</v>
      </c>
      <c r="C306" t="s">
        <v>638</v>
      </c>
      <c r="D306" t="s">
        <v>177</v>
      </c>
      <c r="E306" t="s">
        <v>639</v>
      </c>
      <c r="F306" t="s">
        <v>640</v>
      </c>
      <c r="G306" t="s">
        <v>641</v>
      </c>
      <c r="CH306" t="str">
        <f t="shared" si="4"/>
        <v>D-0152</v>
      </c>
      <c r="CI306" s="1" t="s">
        <v>102</v>
      </c>
    </row>
    <row r="307" spans="1:87">
      <c r="A307" t="s">
        <v>2323</v>
      </c>
      <c r="B307">
        <v>149</v>
      </c>
      <c r="C307" t="s">
        <v>638</v>
      </c>
      <c r="D307" t="s">
        <v>177</v>
      </c>
      <c r="E307" t="s">
        <v>639</v>
      </c>
      <c r="F307" t="s">
        <v>640</v>
      </c>
      <c r="G307" t="s">
        <v>641</v>
      </c>
      <c r="CH307" t="str">
        <f t="shared" si="4"/>
        <v>D-0152</v>
      </c>
      <c r="CI307" s="1" t="s">
        <v>102</v>
      </c>
    </row>
    <row r="308" spans="1:87">
      <c r="A308" t="s">
        <v>2322</v>
      </c>
      <c r="B308">
        <v>527</v>
      </c>
      <c r="C308" t="s">
        <v>638</v>
      </c>
      <c r="D308" t="s">
        <v>177</v>
      </c>
      <c r="E308" t="s">
        <v>639</v>
      </c>
      <c r="F308" t="s">
        <v>640</v>
      </c>
      <c r="G308" t="s">
        <v>641</v>
      </c>
      <c r="CH308" t="str">
        <f t="shared" si="4"/>
        <v>D-0152</v>
      </c>
      <c r="CI308" s="1" t="s">
        <v>102</v>
      </c>
    </row>
    <row r="309" spans="1:87">
      <c r="A309" t="s">
        <v>2356</v>
      </c>
      <c r="B309">
        <v>32</v>
      </c>
      <c r="C309" t="s">
        <v>638</v>
      </c>
      <c r="D309" t="s">
        <v>177</v>
      </c>
      <c r="E309" t="s">
        <v>639</v>
      </c>
      <c r="F309" t="s">
        <v>640</v>
      </c>
      <c r="G309" t="s">
        <v>641</v>
      </c>
      <c r="CH309" t="str">
        <f t="shared" si="4"/>
        <v>D-0152</v>
      </c>
      <c r="CI309" s="1" t="s">
        <v>102</v>
      </c>
    </row>
    <row r="310" spans="1:87">
      <c r="A310" t="s">
        <v>2321</v>
      </c>
      <c r="B310">
        <v>122</v>
      </c>
      <c r="C310" t="s">
        <v>638</v>
      </c>
      <c r="D310" t="s">
        <v>177</v>
      </c>
      <c r="E310" t="s">
        <v>639</v>
      </c>
      <c r="F310" t="s">
        <v>640</v>
      </c>
      <c r="G310" t="s">
        <v>641</v>
      </c>
      <c r="CG310">
        <v>122</v>
      </c>
      <c r="CH310" t="str">
        <f t="shared" si="4"/>
        <v>D-0152</v>
      </c>
      <c r="CI310" s="1" t="s">
        <v>102</v>
      </c>
    </row>
    <row r="311" spans="1:87">
      <c r="A311" t="s">
        <v>2340</v>
      </c>
      <c r="B311">
        <v>45</v>
      </c>
      <c r="C311" t="s">
        <v>638</v>
      </c>
      <c r="D311" t="s">
        <v>177</v>
      </c>
      <c r="E311" t="s">
        <v>639</v>
      </c>
      <c r="F311" t="s">
        <v>640</v>
      </c>
      <c r="G311" t="s">
        <v>641</v>
      </c>
      <c r="CH311" t="str">
        <f t="shared" si="4"/>
        <v>D-0152</v>
      </c>
      <c r="CI311" s="1" t="s">
        <v>102</v>
      </c>
    </row>
    <row r="312" spans="1:87">
      <c r="A312" t="s">
        <v>2511</v>
      </c>
      <c r="B312">
        <v>2</v>
      </c>
      <c r="C312" t="s">
        <v>1538</v>
      </c>
      <c r="D312" t="s">
        <v>195</v>
      </c>
      <c r="E312" t="s">
        <v>642</v>
      </c>
      <c r="F312" t="s">
        <v>630</v>
      </c>
      <c r="G312" t="s">
        <v>1539</v>
      </c>
      <c r="AD312">
        <v>2</v>
      </c>
      <c r="CH312" t="str">
        <f t="shared" si="4"/>
        <v>D-0189</v>
      </c>
      <c r="CI312" s="1" t="s">
        <v>102</v>
      </c>
    </row>
    <row r="313" spans="1:87">
      <c r="A313" t="s">
        <v>2431</v>
      </c>
      <c r="B313">
        <v>1455</v>
      </c>
      <c r="C313" t="s">
        <v>2432</v>
      </c>
      <c r="D313" t="s">
        <v>238</v>
      </c>
      <c r="E313" t="s">
        <v>642</v>
      </c>
      <c r="F313" t="s">
        <v>632</v>
      </c>
      <c r="G313" t="s">
        <v>2433</v>
      </c>
      <c r="P313">
        <v>6</v>
      </c>
      <c r="Q313">
        <v>12</v>
      </c>
      <c r="R313">
        <v>60</v>
      </c>
      <c r="S313">
        <v>90</v>
      </c>
      <c r="T313">
        <v>177</v>
      </c>
      <c r="U313">
        <v>198</v>
      </c>
      <c r="V313">
        <v>252</v>
      </c>
      <c r="W313">
        <v>234</v>
      </c>
      <c r="X313">
        <v>204</v>
      </c>
      <c r="Y313">
        <v>108</v>
      </c>
      <c r="Z313">
        <v>84</v>
      </c>
      <c r="AA313">
        <v>18</v>
      </c>
      <c r="AB313">
        <v>12</v>
      </c>
      <c r="CH313" t="str">
        <f t="shared" si="4"/>
        <v>D-0267</v>
      </c>
      <c r="CI313" s="1" t="s">
        <v>102</v>
      </c>
    </row>
    <row r="314" spans="1:87">
      <c r="A314" t="s">
        <v>2700</v>
      </c>
      <c r="B314">
        <v>245</v>
      </c>
      <c r="C314" t="s">
        <v>2701</v>
      </c>
      <c r="D314" t="s">
        <v>223</v>
      </c>
      <c r="E314" t="s">
        <v>642</v>
      </c>
      <c r="F314" t="s">
        <v>693</v>
      </c>
      <c r="G314" t="s">
        <v>2702</v>
      </c>
      <c r="P314">
        <v>6</v>
      </c>
      <c r="Q314">
        <v>10</v>
      </c>
      <c r="R314">
        <v>18</v>
      </c>
      <c r="S314">
        <v>18</v>
      </c>
      <c r="T314">
        <v>29</v>
      </c>
      <c r="U314">
        <v>24</v>
      </c>
      <c r="V314">
        <v>24</v>
      </c>
      <c r="W314">
        <v>24</v>
      </c>
      <c r="X314">
        <v>24</v>
      </c>
      <c r="Y314">
        <v>18</v>
      </c>
      <c r="Z314">
        <v>18</v>
      </c>
      <c r="AA314">
        <v>12</v>
      </c>
      <c r="AB314">
        <v>12</v>
      </c>
      <c r="AC314">
        <v>4</v>
      </c>
      <c r="AD314">
        <v>4</v>
      </c>
      <c r="CH314" t="str">
        <f t="shared" si="4"/>
        <v>D-0263</v>
      </c>
      <c r="CI314" s="1" t="s">
        <v>102</v>
      </c>
    </row>
    <row r="315" spans="1:87">
      <c r="A315" t="s">
        <v>969</v>
      </c>
      <c r="B315">
        <v>24</v>
      </c>
      <c r="C315" t="s">
        <v>962</v>
      </c>
      <c r="D315" t="s">
        <v>173</v>
      </c>
      <c r="E315" t="s">
        <v>642</v>
      </c>
      <c r="F315" t="s">
        <v>938</v>
      </c>
      <c r="G315" t="s">
        <v>963</v>
      </c>
      <c r="L315">
        <v>6</v>
      </c>
      <c r="M315">
        <v>6</v>
      </c>
      <c r="N315">
        <v>6</v>
      </c>
      <c r="O315">
        <v>6</v>
      </c>
      <c r="P315">
        <v>6</v>
      </c>
      <c r="Q315">
        <v>6</v>
      </c>
      <c r="R315">
        <v>6</v>
      </c>
      <c r="CH315" t="str">
        <f t="shared" si="4"/>
        <v>D-0146</v>
      </c>
      <c r="CI315" s="1" t="s">
        <v>102</v>
      </c>
    </row>
    <row r="316" spans="1:87">
      <c r="A316" t="s">
        <v>968</v>
      </c>
      <c r="B316">
        <v>60</v>
      </c>
      <c r="C316" t="s">
        <v>962</v>
      </c>
      <c r="D316" t="s">
        <v>173</v>
      </c>
      <c r="E316" t="s">
        <v>642</v>
      </c>
      <c r="F316" t="s">
        <v>938</v>
      </c>
      <c r="G316" t="s">
        <v>963</v>
      </c>
      <c r="L316">
        <v>12</v>
      </c>
      <c r="M316">
        <v>12</v>
      </c>
      <c r="N316">
        <v>12</v>
      </c>
      <c r="O316">
        <v>12</v>
      </c>
      <c r="P316">
        <v>12</v>
      </c>
      <c r="Q316">
        <v>12</v>
      </c>
      <c r="R316">
        <v>12</v>
      </c>
      <c r="S316">
        <v>6</v>
      </c>
      <c r="CH316" t="str">
        <f t="shared" si="4"/>
        <v>D-0146</v>
      </c>
      <c r="CI316" s="1" t="s">
        <v>102</v>
      </c>
    </row>
    <row r="317" spans="1:87">
      <c r="A317" t="s">
        <v>2628</v>
      </c>
      <c r="B317">
        <v>185</v>
      </c>
      <c r="C317" t="s">
        <v>2625</v>
      </c>
      <c r="D317" t="s">
        <v>457</v>
      </c>
      <c r="E317" t="s">
        <v>629</v>
      </c>
      <c r="F317" t="s">
        <v>672</v>
      </c>
      <c r="G317" t="s">
        <v>682</v>
      </c>
      <c r="L317">
        <v>12</v>
      </c>
      <c r="M317">
        <v>12</v>
      </c>
      <c r="N317">
        <v>12</v>
      </c>
      <c r="O317">
        <v>12</v>
      </c>
      <c r="P317">
        <v>12</v>
      </c>
      <c r="Q317">
        <v>18</v>
      </c>
      <c r="R317">
        <v>24</v>
      </c>
      <c r="S317">
        <v>24</v>
      </c>
      <c r="T317">
        <v>24</v>
      </c>
      <c r="U317">
        <v>18</v>
      </c>
      <c r="V317">
        <v>18</v>
      </c>
      <c r="W317">
        <v>18</v>
      </c>
      <c r="X317">
        <v>11</v>
      </c>
      <c r="CH317" t="str">
        <f t="shared" si="4"/>
        <v>JV1-0695-3</v>
      </c>
      <c r="CI317" s="1" t="s">
        <v>102</v>
      </c>
    </row>
    <row r="318" spans="1:87">
      <c r="A318" t="s">
        <v>2919</v>
      </c>
      <c r="B318">
        <v>701</v>
      </c>
      <c r="C318" t="s">
        <v>1168</v>
      </c>
      <c r="D318" t="s">
        <v>457</v>
      </c>
      <c r="E318" t="s">
        <v>629</v>
      </c>
      <c r="F318" t="s">
        <v>672</v>
      </c>
      <c r="G318" t="s">
        <v>673</v>
      </c>
      <c r="O318">
        <v>54</v>
      </c>
      <c r="P318">
        <v>60</v>
      </c>
      <c r="Q318">
        <v>108</v>
      </c>
      <c r="R318">
        <v>114</v>
      </c>
      <c r="S318">
        <v>138</v>
      </c>
      <c r="T318">
        <v>114</v>
      </c>
      <c r="U318">
        <v>113</v>
      </c>
      <c r="CH318" t="str">
        <f t="shared" si="4"/>
        <v>JV1-0695-3</v>
      </c>
      <c r="CI318" s="1" t="s">
        <v>102</v>
      </c>
    </row>
    <row r="319" spans="1:87">
      <c r="A319" t="s">
        <v>1405</v>
      </c>
      <c r="B319">
        <v>575</v>
      </c>
      <c r="C319" t="s">
        <v>1386</v>
      </c>
      <c r="D319" t="s">
        <v>457</v>
      </c>
      <c r="E319" t="s">
        <v>629</v>
      </c>
      <c r="F319" t="s">
        <v>672</v>
      </c>
      <c r="G319" t="s">
        <v>673</v>
      </c>
      <c r="P319">
        <v>54</v>
      </c>
      <c r="Q319">
        <v>42</v>
      </c>
      <c r="R319">
        <v>84</v>
      </c>
      <c r="S319">
        <v>48</v>
      </c>
      <c r="T319">
        <v>90</v>
      </c>
      <c r="U319">
        <v>42</v>
      </c>
      <c r="V319">
        <v>65</v>
      </c>
      <c r="W319">
        <v>18</v>
      </c>
      <c r="X319">
        <v>48</v>
      </c>
      <c r="Z319">
        <v>30</v>
      </c>
      <c r="AB319">
        <v>24</v>
      </c>
      <c r="AD319">
        <v>6</v>
      </c>
      <c r="CH319" t="str">
        <f t="shared" si="4"/>
        <v>JV1-0695-3</v>
      </c>
      <c r="CI319" s="1" t="s">
        <v>102</v>
      </c>
    </row>
    <row r="320" spans="1:87">
      <c r="A320" t="s">
        <v>1402</v>
      </c>
      <c r="B320">
        <v>581</v>
      </c>
      <c r="C320" t="s">
        <v>1384</v>
      </c>
      <c r="D320" t="s">
        <v>457</v>
      </c>
      <c r="E320" t="s">
        <v>629</v>
      </c>
      <c r="F320" t="s">
        <v>672</v>
      </c>
      <c r="G320" t="s">
        <v>673</v>
      </c>
      <c r="P320">
        <v>54</v>
      </c>
      <c r="R320">
        <v>66</v>
      </c>
      <c r="T320">
        <v>66</v>
      </c>
      <c r="U320">
        <v>12</v>
      </c>
      <c r="V320">
        <v>95</v>
      </c>
      <c r="W320">
        <v>12</v>
      </c>
      <c r="X320">
        <v>90</v>
      </c>
      <c r="Y320">
        <v>12</v>
      </c>
      <c r="Z320">
        <v>90</v>
      </c>
      <c r="AB320">
        <v>60</v>
      </c>
      <c r="AD320">
        <v>12</v>
      </c>
      <c r="CH320" t="str">
        <f t="shared" si="4"/>
        <v>JV1-0695-3</v>
      </c>
      <c r="CI320" s="1" t="s">
        <v>102</v>
      </c>
    </row>
    <row r="321" spans="1:87">
      <c r="A321" t="s">
        <v>2830</v>
      </c>
      <c r="B321">
        <v>395</v>
      </c>
      <c r="C321" t="s">
        <v>1168</v>
      </c>
      <c r="D321" t="s">
        <v>457</v>
      </c>
      <c r="E321" t="s">
        <v>629</v>
      </c>
      <c r="F321" t="s">
        <v>672</v>
      </c>
      <c r="G321" t="s">
        <v>673</v>
      </c>
      <c r="L321">
        <v>18</v>
      </c>
      <c r="M321">
        <v>18</v>
      </c>
      <c r="N321">
        <v>18</v>
      </c>
      <c r="O321">
        <v>18</v>
      </c>
      <c r="Q321">
        <v>42</v>
      </c>
      <c r="S321">
        <v>42</v>
      </c>
      <c r="T321">
        <v>18</v>
      </c>
      <c r="U321">
        <v>42</v>
      </c>
      <c r="V321">
        <v>47</v>
      </c>
      <c r="W321">
        <v>60</v>
      </c>
      <c r="X321">
        <v>12</v>
      </c>
      <c r="Y321">
        <v>60</v>
      </c>
      <c r="Z321">
        <v>24</v>
      </c>
      <c r="AB321">
        <v>30</v>
      </c>
      <c r="CH321" t="str">
        <f t="shared" si="4"/>
        <v>JV1-0695-3</v>
      </c>
      <c r="CI321" s="1" t="s">
        <v>102</v>
      </c>
    </row>
    <row r="322" spans="1:87">
      <c r="A322" t="s">
        <v>3185</v>
      </c>
      <c r="B322">
        <v>605</v>
      </c>
      <c r="C322" t="s">
        <v>1385</v>
      </c>
      <c r="D322" t="s">
        <v>457</v>
      </c>
      <c r="E322" t="s">
        <v>629</v>
      </c>
      <c r="F322" t="s">
        <v>672</v>
      </c>
      <c r="G322" t="s">
        <v>1000</v>
      </c>
      <c r="P322">
        <v>12</v>
      </c>
      <c r="T322">
        <v>24</v>
      </c>
      <c r="U322">
        <v>18</v>
      </c>
      <c r="V322">
        <v>41</v>
      </c>
      <c r="W322">
        <v>36</v>
      </c>
      <c r="X322">
        <v>78</v>
      </c>
      <c r="Y322">
        <v>72</v>
      </c>
      <c r="Z322">
        <v>78</v>
      </c>
      <c r="AA322">
        <v>66</v>
      </c>
      <c r="AB322">
        <v>66</v>
      </c>
      <c r="AC322">
        <v>42</v>
      </c>
      <c r="AD322">
        <v>48</v>
      </c>
      <c r="AF322">
        <v>12</v>
      </c>
      <c r="CH322" t="str">
        <f t="shared" ref="CH322:CH385" si="5">TRIM(IFERROR(IFERROR(MID($D322,FIND("(D-",$D322)+1,6),LEFT($D322,FIND("(",$D322)-1)),$D322))</f>
        <v>JV1-0695-3</v>
      </c>
      <c r="CI322" s="1" t="s">
        <v>102</v>
      </c>
    </row>
    <row r="323" spans="1:87">
      <c r="A323" t="s">
        <v>1225</v>
      </c>
      <c r="B323">
        <v>149</v>
      </c>
      <c r="C323" t="s">
        <v>1168</v>
      </c>
      <c r="D323" t="s">
        <v>457</v>
      </c>
      <c r="E323" t="s">
        <v>629</v>
      </c>
      <c r="F323" t="s">
        <v>672</v>
      </c>
      <c r="G323" t="s">
        <v>673</v>
      </c>
      <c r="T323">
        <v>6</v>
      </c>
      <c r="U323">
        <v>11</v>
      </c>
      <c r="V323">
        <v>6</v>
      </c>
      <c r="W323">
        <v>12</v>
      </c>
      <c r="X323">
        <v>12</v>
      </c>
      <c r="Y323">
        <v>24</v>
      </c>
      <c r="Z323">
        <v>30</v>
      </c>
      <c r="AA323">
        <v>18</v>
      </c>
      <c r="AB323">
        <v>12</v>
      </c>
      <c r="AC323">
        <v>12</v>
      </c>
      <c r="AD323">
        <v>6</v>
      </c>
      <c r="CH323" t="str">
        <f t="shared" si="5"/>
        <v>JV1-0695-3</v>
      </c>
      <c r="CI323" s="1" t="s">
        <v>102</v>
      </c>
    </row>
    <row r="324" spans="1:87">
      <c r="A324" t="s">
        <v>1224</v>
      </c>
      <c r="B324">
        <v>149</v>
      </c>
      <c r="C324" t="s">
        <v>1168</v>
      </c>
      <c r="D324" t="s">
        <v>457</v>
      </c>
      <c r="E324" t="s">
        <v>629</v>
      </c>
      <c r="F324" t="s">
        <v>672</v>
      </c>
      <c r="G324" t="s">
        <v>673</v>
      </c>
      <c r="V324">
        <v>17</v>
      </c>
      <c r="W324">
        <v>12</v>
      </c>
      <c r="X324">
        <v>24</v>
      </c>
      <c r="Y324">
        <v>24</v>
      </c>
      <c r="Z324">
        <v>24</v>
      </c>
      <c r="AA324">
        <v>12</v>
      </c>
      <c r="AB324">
        <v>12</v>
      </c>
      <c r="AC324">
        <v>12</v>
      </c>
      <c r="AD324">
        <v>12</v>
      </c>
      <c r="CH324" t="str">
        <f t="shared" si="5"/>
        <v>JV1-0695-3</v>
      </c>
      <c r="CI324" s="1" t="s">
        <v>102</v>
      </c>
    </row>
    <row r="325" spans="1:87">
      <c r="A325" t="s">
        <v>1880</v>
      </c>
      <c r="B325">
        <v>225</v>
      </c>
      <c r="C325" t="s">
        <v>1746</v>
      </c>
      <c r="D325" t="s">
        <v>410</v>
      </c>
      <c r="E325" t="s">
        <v>629</v>
      </c>
      <c r="F325" t="s">
        <v>652</v>
      </c>
      <c r="G325" t="s">
        <v>1742</v>
      </c>
      <c r="V325">
        <v>25</v>
      </c>
      <c r="X325">
        <v>50</v>
      </c>
      <c r="Y325">
        <v>25</v>
      </c>
      <c r="Z325">
        <v>50</v>
      </c>
      <c r="AA325">
        <v>25</v>
      </c>
      <c r="AC325">
        <v>25</v>
      </c>
      <c r="AD325">
        <v>25</v>
      </c>
      <c r="CH325" t="str">
        <f t="shared" si="5"/>
        <v>D-0591</v>
      </c>
      <c r="CI325" s="1" t="s">
        <v>102</v>
      </c>
    </row>
    <row r="326" spans="1:87">
      <c r="A326" t="s">
        <v>1881</v>
      </c>
      <c r="B326">
        <v>225</v>
      </c>
      <c r="C326" t="s">
        <v>1746</v>
      </c>
      <c r="D326" t="s">
        <v>410</v>
      </c>
      <c r="E326" t="s">
        <v>629</v>
      </c>
      <c r="F326" t="s">
        <v>652</v>
      </c>
      <c r="G326" t="s">
        <v>1742</v>
      </c>
      <c r="V326">
        <v>25</v>
      </c>
      <c r="X326">
        <v>50</v>
      </c>
      <c r="Y326">
        <v>25</v>
      </c>
      <c r="Z326">
        <v>50</v>
      </c>
      <c r="AA326">
        <v>25</v>
      </c>
      <c r="AC326">
        <v>25</v>
      </c>
      <c r="AD326">
        <v>25</v>
      </c>
      <c r="CH326" t="str">
        <f t="shared" si="5"/>
        <v>D-0591</v>
      </c>
      <c r="CI326" s="1" t="s">
        <v>102</v>
      </c>
    </row>
    <row r="327" spans="1:87">
      <c r="A327" t="s">
        <v>1879</v>
      </c>
      <c r="B327">
        <v>24</v>
      </c>
      <c r="C327" t="s">
        <v>1746</v>
      </c>
      <c r="D327" t="s">
        <v>410</v>
      </c>
      <c r="E327" t="s">
        <v>629</v>
      </c>
      <c r="F327" t="s">
        <v>652</v>
      </c>
      <c r="G327" t="s">
        <v>1742</v>
      </c>
      <c r="N327">
        <v>3</v>
      </c>
      <c r="O327">
        <v>3</v>
      </c>
      <c r="P327">
        <v>4</v>
      </c>
      <c r="Q327">
        <v>4</v>
      </c>
      <c r="R327">
        <v>4</v>
      </c>
      <c r="S327">
        <v>3</v>
      </c>
      <c r="T327">
        <v>3</v>
      </c>
      <c r="CH327" t="str">
        <f t="shared" si="5"/>
        <v>D-0591</v>
      </c>
      <c r="CI327" s="1" t="s">
        <v>102</v>
      </c>
    </row>
    <row r="328" spans="1:87">
      <c r="A328" t="s">
        <v>1748</v>
      </c>
      <c r="B328">
        <v>240</v>
      </c>
      <c r="C328" t="s">
        <v>1746</v>
      </c>
      <c r="D328" t="s">
        <v>410</v>
      </c>
      <c r="E328" t="s">
        <v>629</v>
      </c>
      <c r="F328" t="s">
        <v>652</v>
      </c>
      <c r="G328" t="s">
        <v>1742</v>
      </c>
      <c r="M328">
        <v>12</v>
      </c>
      <c r="N328">
        <v>12</v>
      </c>
      <c r="O328">
        <v>12</v>
      </c>
      <c r="P328">
        <v>12</v>
      </c>
      <c r="Q328">
        <v>12</v>
      </c>
      <c r="R328">
        <v>12</v>
      </c>
      <c r="S328">
        <v>12</v>
      </c>
      <c r="T328">
        <v>12</v>
      </c>
      <c r="U328">
        <v>12</v>
      </c>
      <c r="V328">
        <v>12</v>
      </c>
      <c r="W328">
        <v>12</v>
      </c>
      <c r="X328">
        <v>12</v>
      </c>
      <c r="Y328">
        <v>12</v>
      </c>
      <c r="Z328">
        <v>12</v>
      </c>
      <c r="AA328">
        <v>12</v>
      </c>
      <c r="AB328">
        <v>12</v>
      </c>
      <c r="AC328">
        <v>12</v>
      </c>
      <c r="AD328">
        <v>12</v>
      </c>
      <c r="AE328">
        <v>12</v>
      </c>
      <c r="AG328">
        <v>12</v>
      </c>
      <c r="CH328" t="str">
        <f t="shared" si="5"/>
        <v>D-0591</v>
      </c>
      <c r="CI328" s="1" t="s">
        <v>102</v>
      </c>
    </row>
    <row r="329" spans="1:87">
      <c r="A329" t="s">
        <v>1882</v>
      </c>
      <c r="B329">
        <v>45</v>
      </c>
      <c r="C329" t="s">
        <v>1746</v>
      </c>
      <c r="D329" t="s">
        <v>410</v>
      </c>
      <c r="E329" t="s">
        <v>629</v>
      </c>
      <c r="F329" t="s">
        <v>652</v>
      </c>
      <c r="G329" t="s">
        <v>1742</v>
      </c>
      <c r="V329">
        <v>5</v>
      </c>
      <c r="X329">
        <v>10</v>
      </c>
      <c r="Y329">
        <v>5</v>
      </c>
      <c r="Z329">
        <v>10</v>
      </c>
      <c r="AA329">
        <v>5</v>
      </c>
      <c r="AC329">
        <v>5</v>
      </c>
      <c r="AD329">
        <v>5</v>
      </c>
      <c r="CH329" t="str">
        <f t="shared" si="5"/>
        <v>D-0591</v>
      </c>
      <c r="CI329" s="1" t="s">
        <v>102</v>
      </c>
    </row>
    <row r="330" spans="1:87">
      <c r="A330" t="s">
        <v>3464</v>
      </c>
      <c r="B330">
        <v>1241</v>
      </c>
      <c r="C330" t="s">
        <v>951</v>
      </c>
      <c r="D330" t="s">
        <v>233</v>
      </c>
      <c r="E330" t="s">
        <v>642</v>
      </c>
      <c r="F330" t="s">
        <v>657</v>
      </c>
      <c r="G330" t="s">
        <v>952</v>
      </c>
      <c r="V330">
        <v>1241</v>
      </c>
      <c r="CH330" t="str">
        <f t="shared" si="5"/>
        <v>D-0265</v>
      </c>
      <c r="CI330" s="1" t="s">
        <v>102</v>
      </c>
    </row>
    <row r="331" spans="1:87">
      <c r="A331" t="s">
        <v>2174</v>
      </c>
      <c r="B331">
        <v>1008</v>
      </c>
      <c r="C331" t="s">
        <v>2171</v>
      </c>
      <c r="D331" t="s">
        <v>133</v>
      </c>
      <c r="E331" t="s">
        <v>629</v>
      </c>
      <c r="F331" t="s">
        <v>635</v>
      </c>
      <c r="G331" t="s">
        <v>2172</v>
      </c>
      <c r="L331">
        <v>36</v>
      </c>
      <c r="M331">
        <v>36</v>
      </c>
      <c r="N331">
        <v>84</v>
      </c>
      <c r="O331">
        <v>84</v>
      </c>
      <c r="P331">
        <v>132</v>
      </c>
      <c r="Q331">
        <v>132</v>
      </c>
      <c r="R331">
        <v>156</v>
      </c>
      <c r="S331">
        <v>108</v>
      </c>
      <c r="T331">
        <v>108</v>
      </c>
      <c r="U331">
        <v>60</v>
      </c>
      <c r="V331">
        <v>48</v>
      </c>
      <c r="W331">
        <v>12</v>
      </c>
      <c r="X331">
        <v>12</v>
      </c>
      <c r="CH331" t="str">
        <f t="shared" si="5"/>
        <v>D-0036</v>
      </c>
      <c r="CI331" s="1" t="s">
        <v>102</v>
      </c>
    </row>
    <row r="332" spans="1:87">
      <c r="A332" t="s">
        <v>3864</v>
      </c>
      <c r="B332">
        <v>1214</v>
      </c>
      <c r="C332" t="s">
        <v>3865</v>
      </c>
      <c r="D332" t="s">
        <v>95</v>
      </c>
      <c r="E332" t="s">
        <v>629</v>
      </c>
      <c r="F332" t="s">
        <v>634</v>
      </c>
      <c r="G332" t="s">
        <v>3866</v>
      </c>
      <c r="O332">
        <v>12</v>
      </c>
      <c r="P332">
        <v>33</v>
      </c>
      <c r="Q332">
        <v>46</v>
      </c>
      <c r="R332">
        <v>54</v>
      </c>
      <c r="S332">
        <v>56</v>
      </c>
      <c r="T332">
        <v>8</v>
      </c>
      <c r="U332">
        <v>60</v>
      </c>
      <c r="V332">
        <v>95</v>
      </c>
      <c r="W332">
        <v>74</v>
      </c>
      <c r="X332">
        <v>135</v>
      </c>
      <c r="Y332">
        <v>107</v>
      </c>
      <c r="Z332">
        <v>153</v>
      </c>
      <c r="AA332">
        <v>28</v>
      </c>
      <c r="AB332">
        <v>146</v>
      </c>
      <c r="AC332">
        <v>59</v>
      </c>
      <c r="AD332">
        <v>71</v>
      </c>
      <c r="AE332">
        <v>14</v>
      </c>
      <c r="AF332">
        <v>38</v>
      </c>
      <c r="AH332">
        <v>25</v>
      </c>
      <c r="CH332" t="str">
        <f t="shared" si="5"/>
        <v>EOR-13</v>
      </c>
      <c r="CI332" s="1" t="s">
        <v>102</v>
      </c>
    </row>
    <row r="333" spans="1:87">
      <c r="A333" t="s">
        <v>2320</v>
      </c>
      <c r="B333">
        <v>471</v>
      </c>
      <c r="C333" t="s">
        <v>638</v>
      </c>
      <c r="D333" t="s">
        <v>177</v>
      </c>
      <c r="E333" t="s">
        <v>639</v>
      </c>
      <c r="F333" t="s">
        <v>640</v>
      </c>
      <c r="G333" t="s">
        <v>641</v>
      </c>
      <c r="CF333">
        <v>471</v>
      </c>
      <c r="CH333" t="str">
        <f t="shared" si="5"/>
        <v>D-0152</v>
      </c>
      <c r="CI333" s="1" t="s">
        <v>102</v>
      </c>
    </row>
    <row r="334" spans="1:87">
      <c r="A334" t="s">
        <v>2319</v>
      </c>
      <c r="B334">
        <v>463</v>
      </c>
      <c r="C334" t="s">
        <v>638</v>
      </c>
      <c r="D334" t="s">
        <v>177</v>
      </c>
      <c r="E334" t="s">
        <v>639</v>
      </c>
      <c r="F334" t="s">
        <v>640</v>
      </c>
      <c r="G334" t="s">
        <v>641</v>
      </c>
      <c r="CE334">
        <v>463</v>
      </c>
      <c r="CH334" t="str">
        <f t="shared" si="5"/>
        <v>D-0152</v>
      </c>
      <c r="CI334" s="1" t="s">
        <v>102</v>
      </c>
    </row>
    <row r="335" spans="1:87">
      <c r="A335" t="s">
        <v>2341</v>
      </c>
      <c r="B335">
        <v>109</v>
      </c>
      <c r="C335" t="s">
        <v>638</v>
      </c>
      <c r="D335" t="s">
        <v>177</v>
      </c>
      <c r="E335" t="s">
        <v>639</v>
      </c>
      <c r="F335" t="s">
        <v>640</v>
      </c>
      <c r="G335" t="s">
        <v>641</v>
      </c>
      <c r="CE335">
        <v>109</v>
      </c>
      <c r="CH335" t="str">
        <f t="shared" si="5"/>
        <v>D-0152</v>
      </c>
      <c r="CI335" s="1" t="s">
        <v>102</v>
      </c>
    </row>
    <row r="336" spans="1:87">
      <c r="A336" t="s">
        <v>2357</v>
      </c>
      <c r="B336">
        <v>22</v>
      </c>
      <c r="C336" t="s">
        <v>638</v>
      </c>
      <c r="D336" t="s">
        <v>177</v>
      </c>
      <c r="E336" t="s">
        <v>639</v>
      </c>
      <c r="F336" t="s">
        <v>640</v>
      </c>
      <c r="G336" t="s">
        <v>641</v>
      </c>
      <c r="CG336">
        <v>22</v>
      </c>
      <c r="CH336" t="str">
        <f t="shared" si="5"/>
        <v>D-0152</v>
      </c>
      <c r="CI336" s="1" t="s">
        <v>102</v>
      </c>
    </row>
    <row r="337" spans="1:87">
      <c r="A337" t="s">
        <v>2358</v>
      </c>
      <c r="B337">
        <v>25</v>
      </c>
      <c r="C337" t="s">
        <v>638</v>
      </c>
      <c r="D337" t="s">
        <v>177</v>
      </c>
      <c r="E337" t="s">
        <v>639</v>
      </c>
      <c r="F337" t="s">
        <v>640</v>
      </c>
      <c r="G337" t="s">
        <v>641</v>
      </c>
      <c r="CF337">
        <v>25</v>
      </c>
      <c r="CH337" t="str">
        <f t="shared" si="5"/>
        <v>D-0152</v>
      </c>
      <c r="CI337" s="1" t="s">
        <v>102</v>
      </c>
    </row>
    <row r="338" spans="1:87">
      <c r="A338" t="s">
        <v>1528</v>
      </c>
      <c r="B338">
        <v>394</v>
      </c>
      <c r="C338" t="s">
        <v>1523</v>
      </c>
      <c r="D338" t="s">
        <v>413</v>
      </c>
      <c r="E338" t="s">
        <v>642</v>
      </c>
      <c r="F338" t="s">
        <v>657</v>
      </c>
      <c r="G338" t="s">
        <v>1155</v>
      </c>
      <c r="P338">
        <v>12</v>
      </c>
      <c r="Q338">
        <v>3</v>
      </c>
      <c r="R338">
        <v>42</v>
      </c>
      <c r="S338">
        <v>14</v>
      </c>
      <c r="T338">
        <v>70</v>
      </c>
      <c r="U338">
        <v>28</v>
      </c>
      <c r="V338">
        <v>69</v>
      </c>
      <c r="W338">
        <v>26</v>
      </c>
      <c r="X338">
        <v>48</v>
      </c>
      <c r="Y338">
        <v>16</v>
      </c>
      <c r="Z338">
        <v>28</v>
      </c>
      <c r="AA338">
        <v>9</v>
      </c>
      <c r="AB338">
        <v>15</v>
      </c>
      <c r="AC338">
        <v>6</v>
      </c>
      <c r="AD338">
        <v>8</v>
      </c>
      <c r="CH338" t="str">
        <f t="shared" si="5"/>
        <v>D-0594</v>
      </c>
      <c r="CI338" s="1" t="s">
        <v>102</v>
      </c>
    </row>
    <row r="339" spans="1:87">
      <c r="A339" t="s">
        <v>1445</v>
      </c>
      <c r="B339">
        <v>5556</v>
      </c>
      <c r="C339" t="s">
        <v>1192</v>
      </c>
      <c r="D339" t="s">
        <v>195</v>
      </c>
      <c r="E339" t="s">
        <v>642</v>
      </c>
      <c r="F339" t="s">
        <v>630</v>
      </c>
      <c r="G339" t="s">
        <v>747</v>
      </c>
      <c r="P339">
        <v>39</v>
      </c>
      <c r="Q339">
        <v>83</v>
      </c>
      <c r="R339">
        <v>259</v>
      </c>
      <c r="S339">
        <v>400</v>
      </c>
      <c r="T339">
        <v>634</v>
      </c>
      <c r="U339">
        <v>694</v>
      </c>
      <c r="V339">
        <v>841</v>
      </c>
      <c r="W339">
        <v>785</v>
      </c>
      <c r="X339">
        <v>617</v>
      </c>
      <c r="Y339">
        <v>476</v>
      </c>
      <c r="Z339">
        <v>359</v>
      </c>
      <c r="AA339">
        <v>125</v>
      </c>
      <c r="AB339">
        <v>142</v>
      </c>
      <c r="AC339">
        <v>53</v>
      </c>
      <c r="AD339">
        <v>49</v>
      </c>
      <c r="CH339" t="str">
        <f t="shared" si="5"/>
        <v>D-0189</v>
      </c>
      <c r="CI339" s="1" t="s">
        <v>102</v>
      </c>
    </row>
    <row r="340" spans="1:87">
      <c r="A340" t="s">
        <v>4303</v>
      </c>
      <c r="B340">
        <v>7405</v>
      </c>
      <c r="C340" t="s">
        <v>1320</v>
      </c>
      <c r="D340" t="s">
        <v>249</v>
      </c>
      <c r="E340" t="s">
        <v>629</v>
      </c>
      <c r="F340" t="s">
        <v>657</v>
      </c>
      <c r="G340" t="s">
        <v>710</v>
      </c>
      <c r="M340">
        <v>1</v>
      </c>
      <c r="N340">
        <v>4</v>
      </c>
      <c r="O340">
        <v>9</v>
      </c>
      <c r="P340">
        <v>13</v>
      </c>
      <c r="Q340">
        <v>21</v>
      </c>
      <c r="R340">
        <v>90</v>
      </c>
      <c r="S340">
        <v>106</v>
      </c>
      <c r="T340">
        <v>237</v>
      </c>
      <c r="U340">
        <v>204</v>
      </c>
      <c r="V340">
        <v>490</v>
      </c>
      <c r="W340">
        <v>527</v>
      </c>
      <c r="X340">
        <v>762</v>
      </c>
      <c r="Y340">
        <v>694</v>
      </c>
      <c r="Z340">
        <v>904</v>
      </c>
      <c r="AA340">
        <v>656</v>
      </c>
      <c r="AB340">
        <v>829</v>
      </c>
      <c r="AC340">
        <v>439</v>
      </c>
      <c r="AD340">
        <v>649</v>
      </c>
      <c r="AE340">
        <v>135</v>
      </c>
      <c r="AF340">
        <v>396</v>
      </c>
      <c r="AH340">
        <v>154</v>
      </c>
      <c r="AJ340">
        <v>85</v>
      </c>
      <c r="CH340" t="str">
        <f t="shared" si="5"/>
        <v>D-0271</v>
      </c>
      <c r="CI340" s="1" t="s">
        <v>102</v>
      </c>
    </row>
    <row r="341" spans="1:87">
      <c r="A341" t="s">
        <v>2407</v>
      </c>
      <c r="B341">
        <v>20003</v>
      </c>
      <c r="C341" t="s">
        <v>1563</v>
      </c>
      <c r="D341" t="s">
        <v>444</v>
      </c>
      <c r="E341" t="s">
        <v>629</v>
      </c>
      <c r="F341" t="s">
        <v>636</v>
      </c>
      <c r="G341" t="s">
        <v>1562</v>
      </c>
      <c r="S341">
        <v>601</v>
      </c>
      <c r="T341">
        <v>1621</v>
      </c>
      <c r="U341">
        <v>1472</v>
      </c>
      <c r="V341">
        <v>3174</v>
      </c>
      <c r="W341">
        <v>3176</v>
      </c>
      <c r="X341">
        <v>2874</v>
      </c>
      <c r="Y341">
        <v>2743</v>
      </c>
      <c r="Z341">
        <v>2014</v>
      </c>
      <c r="AA341">
        <v>843</v>
      </c>
      <c r="AB341">
        <v>887</v>
      </c>
      <c r="AC341">
        <v>102</v>
      </c>
      <c r="AD341">
        <v>496</v>
      </c>
      <c r="CH341" t="str">
        <f t="shared" si="5"/>
        <v>D-0686</v>
      </c>
      <c r="CI341" s="1" t="s">
        <v>102</v>
      </c>
    </row>
    <row r="342" spans="1:87">
      <c r="A342" t="s">
        <v>2698</v>
      </c>
      <c r="B342">
        <v>3421</v>
      </c>
      <c r="C342" t="s">
        <v>756</v>
      </c>
      <c r="D342" t="s">
        <v>223</v>
      </c>
      <c r="E342" t="s">
        <v>629</v>
      </c>
      <c r="F342" t="s">
        <v>693</v>
      </c>
      <c r="G342" t="s">
        <v>2469</v>
      </c>
      <c r="R342">
        <v>4</v>
      </c>
      <c r="S342">
        <v>48</v>
      </c>
      <c r="T342">
        <v>227</v>
      </c>
      <c r="U342">
        <v>261</v>
      </c>
      <c r="V342">
        <v>432</v>
      </c>
      <c r="W342">
        <v>647</v>
      </c>
      <c r="X342">
        <v>655</v>
      </c>
      <c r="Y342">
        <v>415</v>
      </c>
      <c r="Z342">
        <v>392</v>
      </c>
      <c r="AA342">
        <v>168</v>
      </c>
      <c r="AB342">
        <v>89</v>
      </c>
      <c r="AC342">
        <v>30</v>
      </c>
      <c r="AD342">
        <v>37</v>
      </c>
      <c r="AE342">
        <v>8</v>
      </c>
      <c r="AF342">
        <v>8</v>
      </c>
      <c r="CH342" t="str">
        <f t="shared" si="5"/>
        <v>D-0263</v>
      </c>
      <c r="CI342" s="1" t="s">
        <v>102</v>
      </c>
    </row>
    <row r="343" spans="1:87">
      <c r="A343" t="s">
        <v>2582</v>
      </c>
      <c r="B343">
        <v>4812</v>
      </c>
      <c r="C343" t="s">
        <v>2583</v>
      </c>
      <c r="D343" t="s">
        <v>200</v>
      </c>
      <c r="E343" t="s">
        <v>629</v>
      </c>
      <c r="F343" t="s">
        <v>632</v>
      </c>
      <c r="G343" t="s">
        <v>2693</v>
      </c>
      <c r="R343">
        <v>21</v>
      </c>
      <c r="S343">
        <v>42</v>
      </c>
      <c r="T343">
        <v>75</v>
      </c>
      <c r="U343">
        <v>111</v>
      </c>
      <c r="V343">
        <v>201</v>
      </c>
      <c r="W343">
        <v>274</v>
      </c>
      <c r="X343">
        <v>422</v>
      </c>
      <c r="Y343">
        <v>415</v>
      </c>
      <c r="Z343">
        <v>423</v>
      </c>
      <c r="AA343">
        <v>660</v>
      </c>
      <c r="AB343">
        <v>631</v>
      </c>
      <c r="AC343">
        <v>455</v>
      </c>
      <c r="AD343">
        <v>388</v>
      </c>
      <c r="AE343">
        <v>66</v>
      </c>
      <c r="AF343">
        <v>392</v>
      </c>
      <c r="AH343">
        <v>160</v>
      </c>
      <c r="AJ343">
        <v>76</v>
      </c>
      <c r="CH343" t="str">
        <f t="shared" si="5"/>
        <v>D-0212</v>
      </c>
      <c r="CI343" s="1" t="s">
        <v>102</v>
      </c>
    </row>
    <row r="344" spans="1:87">
      <c r="A344" t="s">
        <v>3884</v>
      </c>
      <c r="B344">
        <v>1543</v>
      </c>
      <c r="C344" t="s">
        <v>1115</v>
      </c>
      <c r="D344" t="s">
        <v>249</v>
      </c>
      <c r="E344" t="s">
        <v>642</v>
      </c>
      <c r="F344" t="s">
        <v>657</v>
      </c>
      <c r="G344" t="s">
        <v>1116</v>
      </c>
      <c r="P344">
        <v>9</v>
      </c>
      <c r="Q344">
        <v>108</v>
      </c>
      <c r="R344">
        <v>153</v>
      </c>
      <c r="S344">
        <v>229</v>
      </c>
      <c r="T344">
        <v>285</v>
      </c>
      <c r="U344">
        <v>186</v>
      </c>
      <c r="V344">
        <v>266</v>
      </c>
      <c r="W344">
        <v>153</v>
      </c>
      <c r="X344">
        <v>47</v>
      </c>
      <c r="Y344">
        <v>72</v>
      </c>
      <c r="Z344">
        <v>17</v>
      </c>
      <c r="AA344">
        <v>11</v>
      </c>
      <c r="AB344">
        <v>7</v>
      </c>
      <c r="CH344" t="str">
        <f t="shared" si="5"/>
        <v>D-0271</v>
      </c>
      <c r="CI344" s="1" t="s">
        <v>102</v>
      </c>
    </row>
    <row r="345" spans="1:87">
      <c r="A345" t="s">
        <v>1289</v>
      </c>
      <c r="B345">
        <v>377</v>
      </c>
      <c r="C345" t="s">
        <v>1217</v>
      </c>
      <c r="D345" t="s">
        <v>457</v>
      </c>
      <c r="E345" t="s">
        <v>629</v>
      </c>
      <c r="F345" t="s">
        <v>672</v>
      </c>
      <c r="G345" t="s">
        <v>1005</v>
      </c>
      <c r="V345">
        <v>30</v>
      </c>
      <c r="W345">
        <v>48</v>
      </c>
      <c r="X345">
        <v>83</v>
      </c>
      <c r="Y345">
        <v>78</v>
      </c>
      <c r="Z345">
        <v>48</v>
      </c>
      <c r="AA345">
        <v>36</v>
      </c>
      <c r="AB345">
        <v>30</v>
      </c>
      <c r="AD345">
        <v>24</v>
      </c>
      <c r="CH345" t="str">
        <f t="shared" si="5"/>
        <v>JV1-0695-3</v>
      </c>
      <c r="CI345" s="1" t="s">
        <v>102</v>
      </c>
    </row>
    <row r="346" spans="1:87">
      <c r="A346" t="s">
        <v>1290</v>
      </c>
      <c r="B346">
        <v>209</v>
      </c>
      <c r="C346" t="s">
        <v>1217</v>
      </c>
      <c r="D346" t="s">
        <v>457</v>
      </c>
      <c r="E346" t="s">
        <v>629</v>
      </c>
      <c r="F346" t="s">
        <v>672</v>
      </c>
      <c r="G346" t="s">
        <v>1005</v>
      </c>
      <c r="U346">
        <v>18</v>
      </c>
      <c r="V346">
        <v>24</v>
      </c>
      <c r="W346">
        <v>36</v>
      </c>
      <c r="X346">
        <v>41</v>
      </c>
      <c r="Y346">
        <v>36</v>
      </c>
      <c r="Z346">
        <v>24</v>
      </c>
      <c r="AA346">
        <v>12</v>
      </c>
      <c r="AB346">
        <v>18</v>
      </c>
      <c r="CH346" t="str">
        <f t="shared" si="5"/>
        <v>JV1-0695-3</v>
      </c>
      <c r="CI346" s="1" t="s">
        <v>102</v>
      </c>
    </row>
    <row r="347" spans="1:87">
      <c r="A347" t="s">
        <v>2170</v>
      </c>
      <c r="B347">
        <v>468</v>
      </c>
      <c r="C347" t="s">
        <v>2171</v>
      </c>
      <c r="D347" t="s">
        <v>133</v>
      </c>
      <c r="E347" t="s">
        <v>629</v>
      </c>
      <c r="F347" t="s">
        <v>635</v>
      </c>
      <c r="G347" t="s">
        <v>2172</v>
      </c>
      <c r="L347">
        <v>12</v>
      </c>
      <c r="M347">
        <v>12</v>
      </c>
      <c r="N347">
        <v>24</v>
      </c>
      <c r="O347">
        <v>36</v>
      </c>
      <c r="P347">
        <v>72</v>
      </c>
      <c r="Q347">
        <v>48</v>
      </c>
      <c r="R347">
        <v>72</v>
      </c>
      <c r="S347">
        <v>48</v>
      </c>
      <c r="T347">
        <v>60</v>
      </c>
      <c r="U347">
        <v>36</v>
      </c>
      <c r="V347">
        <v>24</v>
      </c>
      <c r="W347">
        <v>12</v>
      </c>
      <c r="X347">
        <v>12</v>
      </c>
      <c r="CH347" t="str">
        <f t="shared" si="5"/>
        <v>D-0036</v>
      </c>
      <c r="CI347" s="1" t="s">
        <v>102</v>
      </c>
    </row>
    <row r="348" spans="1:87">
      <c r="A348" t="s">
        <v>2173</v>
      </c>
      <c r="B348">
        <v>456</v>
      </c>
      <c r="C348" t="s">
        <v>2171</v>
      </c>
      <c r="D348" t="s">
        <v>133</v>
      </c>
      <c r="E348" t="s">
        <v>629</v>
      </c>
      <c r="F348" t="s">
        <v>635</v>
      </c>
      <c r="G348" t="s">
        <v>2172</v>
      </c>
      <c r="L348">
        <v>12</v>
      </c>
      <c r="M348">
        <v>12</v>
      </c>
      <c r="N348">
        <v>48</v>
      </c>
      <c r="O348">
        <v>48</v>
      </c>
      <c r="P348">
        <v>72</v>
      </c>
      <c r="Q348">
        <v>60</v>
      </c>
      <c r="R348">
        <v>60</v>
      </c>
      <c r="S348">
        <v>48</v>
      </c>
      <c r="T348">
        <v>48</v>
      </c>
      <c r="U348">
        <v>12</v>
      </c>
      <c r="V348">
        <v>12</v>
      </c>
      <c r="W348">
        <v>12</v>
      </c>
      <c r="X348">
        <v>12</v>
      </c>
      <c r="CH348" t="str">
        <f t="shared" si="5"/>
        <v>D-0036</v>
      </c>
      <c r="CI348" s="1" t="s">
        <v>102</v>
      </c>
    </row>
    <row r="349" spans="1:87">
      <c r="A349" t="s">
        <v>1001</v>
      </c>
      <c r="B349">
        <v>1008</v>
      </c>
      <c r="C349" t="s">
        <v>689</v>
      </c>
      <c r="D349" t="s">
        <v>457</v>
      </c>
      <c r="E349" t="s">
        <v>629</v>
      </c>
      <c r="F349" t="s">
        <v>672</v>
      </c>
      <c r="G349" t="s">
        <v>686</v>
      </c>
      <c r="O349">
        <v>138</v>
      </c>
      <c r="Q349">
        <v>258</v>
      </c>
      <c r="S349">
        <v>306</v>
      </c>
      <c r="U349">
        <v>192</v>
      </c>
      <c r="W349">
        <v>114</v>
      </c>
      <c r="CH349" t="str">
        <f t="shared" si="5"/>
        <v>JV1-0695-3</v>
      </c>
      <c r="CI349" s="1" t="s">
        <v>102</v>
      </c>
    </row>
    <row r="350" spans="1:87">
      <c r="A350" t="s">
        <v>3079</v>
      </c>
      <c r="B350">
        <v>221</v>
      </c>
      <c r="C350" t="s">
        <v>951</v>
      </c>
      <c r="D350" t="s">
        <v>233</v>
      </c>
      <c r="E350" t="s">
        <v>642</v>
      </c>
      <c r="F350" t="s">
        <v>657</v>
      </c>
      <c r="G350" t="s">
        <v>952</v>
      </c>
      <c r="AD350">
        <v>221</v>
      </c>
      <c r="CH350" t="str">
        <f t="shared" si="5"/>
        <v>D-0265</v>
      </c>
      <c r="CI350" s="1" t="s">
        <v>102</v>
      </c>
    </row>
    <row r="351" spans="1:87">
      <c r="A351" t="s">
        <v>4851</v>
      </c>
      <c r="B351">
        <v>1534</v>
      </c>
      <c r="C351" t="s">
        <v>939</v>
      </c>
      <c r="D351" t="s">
        <v>249</v>
      </c>
      <c r="E351" t="s">
        <v>642</v>
      </c>
      <c r="F351" t="s">
        <v>957</v>
      </c>
      <c r="G351" t="s">
        <v>728</v>
      </c>
      <c r="X351">
        <v>22</v>
      </c>
      <c r="Y351">
        <v>121</v>
      </c>
      <c r="Z351">
        <v>208</v>
      </c>
      <c r="AA351">
        <v>285</v>
      </c>
      <c r="AB351">
        <v>314</v>
      </c>
      <c r="AD351">
        <v>167</v>
      </c>
      <c r="AE351">
        <v>187</v>
      </c>
      <c r="AF351">
        <v>65</v>
      </c>
      <c r="AG351">
        <v>54</v>
      </c>
      <c r="AI351">
        <v>54</v>
      </c>
      <c r="AK351">
        <v>57</v>
      </c>
      <c r="CH351" t="str">
        <f t="shared" si="5"/>
        <v>D-0271</v>
      </c>
      <c r="CI351" s="1" t="s">
        <v>102</v>
      </c>
    </row>
    <row r="352" spans="1:87">
      <c r="A352" t="s">
        <v>3077</v>
      </c>
      <c r="B352">
        <v>810</v>
      </c>
      <c r="C352" t="s">
        <v>951</v>
      </c>
      <c r="D352" t="s">
        <v>233</v>
      </c>
      <c r="E352" t="s">
        <v>642</v>
      </c>
      <c r="F352" t="s">
        <v>657</v>
      </c>
      <c r="G352" t="s">
        <v>952</v>
      </c>
      <c r="T352">
        <v>810</v>
      </c>
      <c r="CH352" t="str">
        <f t="shared" si="5"/>
        <v>D-0265</v>
      </c>
      <c r="CI352" s="1" t="s">
        <v>102</v>
      </c>
    </row>
    <row r="353" spans="1:87">
      <c r="A353" t="s">
        <v>2851</v>
      </c>
      <c r="B353">
        <v>185</v>
      </c>
      <c r="C353" t="s">
        <v>1167</v>
      </c>
      <c r="D353" t="s">
        <v>457</v>
      </c>
      <c r="E353" t="s">
        <v>629</v>
      </c>
      <c r="F353" t="s">
        <v>672</v>
      </c>
      <c r="G353" t="s">
        <v>686</v>
      </c>
      <c r="N353">
        <v>6</v>
      </c>
      <c r="O353">
        <v>12</v>
      </c>
      <c r="P353">
        <v>12</v>
      </c>
      <c r="Q353">
        <v>18</v>
      </c>
      <c r="R353">
        <v>18</v>
      </c>
      <c r="S353">
        <v>18</v>
      </c>
      <c r="T353">
        <v>12</v>
      </c>
      <c r="U353">
        <v>12</v>
      </c>
      <c r="V353">
        <v>17</v>
      </c>
      <c r="W353">
        <v>6</v>
      </c>
      <c r="X353">
        <v>12</v>
      </c>
      <c r="Y353">
        <v>6</v>
      </c>
      <c r="Z353">
        <v>6</v>
      </c>
      <c r="AA353">
        <v>6</v>
      </c>
      <c r="AB353">
        <v>6</v>
      </c>
      <c r="AC353">
        <v>6</v>
      </c>
      <c r="AD353">
        <v>6</v>
      </c>
      <c r="AF353">
        <v>6</v>
      </c>
      <c r="CH353" t="str">
        <f t="shared" si="5"/>
        <v>JV1-0695-3</v>
      </c>
      <c r="CI353" s="1" t="s">
        <v>102</v>
      </c>
    </row>
    <row r="354" spans="1:87">
      <c r="A354" t="s">
        <v>2845</v>
      </c>
      <c r="B354">
        <v>809</v>
      </c>
      <c r="C354" t="s">
        <v>1167</v>
      </c>
      <c r="D354" t="s">
        <v>457</v>
      </c>
      <c r="E354" t="s">
        <v>629</v>
      </c>
      <c r="F354" t="s">
        <v>672</v>
      </c>
      <c r="G354" t="s">
        <v>686</v>
      </c>
      <c r="N354">
        <v>24</v>
      </c>
      <c r="O354">
        <v>48</v>
      </c>
      <c r="P354">
        <v>48</v>
      </c>
      <c r="Q354">
        <v>90</v>
      </c>
      <c r="R354">
        <v>78</v>
      </c>
      <c r="S354">
        <v>96</v>
      </c>
      <c r="T354">
        <v>72</v>
      </c>
      <c r="U354">
        <v>60</v>
      </c>
      <c r="V354">
        <v>65</v>
      </c>
      <c r="W354">
        <v>42</v>
      </c>
      <c r="X354">
        <v>48</v>
      </c>
      <c r="Y354">
        <v>18</v>
      </c>
      <c r="Z354">
        <v>36</v>
      </c>
      <c r="AA354">
        <v>12</v>
      </c>
      <c r="AB354">
        <v>30</v>
      </c>
      <c r="AC354">
        <v>6</v>
      </c>
      <c r="AD354">
        <v>18</v>
      </c>
      <c r="AF354">
        <v>12</v>
      </c>
      <c r="AH354">
        <v>6</v>
      </c>
      <c r="CH354" t="str">
        <f t="shared" si="5"/>
        <v>JV1-0695-3</v>
      </c>
      <c r="CI354" s="1" t="s">
        <v>102</v>
      </c>
    </row>
    <row r="355" spans="1:87">
      <c r="A355" t="s">
        <v>2317</v>
      </c>
      <c r="B355">
        <v>335</v>
      </c>
      <c r="C355" t="s">
        <v>638</v>
      </c>
      <c r="D355" t="s">
        <v>177</v>
      </c>
      <c r="E355" t="s">
        <v>639</v>
      </c>
      <c r="F355" t="s">
        <v>640</v>
      </c>
      <c r="G355" t="s">
        <v>641</v>
      </c>
      <c r="CC355">
        <v>335</v>
      </c>
      <c r="CH355" t="str">
        <f t="shared" si="5"/>
        <v>D-0152</v>
      </c>
      <c r="CI355" s="1" t="s">
        <v>102</v>
      </c>
    </row>
    <row r="356" spans="1:87">
      <c r="A356" t="s">
        <v>2343</v>
      </c>
      <c r="B356">
        <v>70</v>
      </c>
      <c r="C356" t="s">
        <v>638</v>
      </c>
      <c r="D356" t="s">
        <v>177</v>
      </c>
      <c r="E356" t="s">
        <v>639</v>
      </c>
      <c r="F356" t="s">
        <v>640</v>
      </c>
      <c r="G356" t="s">
        <v>641</v>
      </c>
      <c r="K356">
        <v>70</v>
      </c>
      <c r="CH356" t="str">
        <f t="shared" si="5"/>
        <v>D-0152</v>
      </c>
      <c r="CI356" s="1" t="s">
        <v>102</v>
      </c>
    </row>
    <row r="357" spans="1:87">
      <c r="A357" t="s">
        <v>2361</v>
      </c>
      <c r="B357">
        <v>25</v>
      </c>
      <c r="C357" t="s">
        <v>638</v>
      </c>
      <c r="D357" t="s">
        <v>177</v>
      </c>
      <c r="E357" t="s">
        <v>639</v>
      </c>
      <c r="F357" t="s">
        <v>640</v>
      </c>
      <c r="G357" t="s">
        <v>641</v>
      </c>
      <c r="CC357">
        <v>25</v>
      </c>
      <c r="CH357" t="str">
        <f t="shared" si="5"/>
        <v>D-0152</v>
      </c>
      <c r="CI357" s="1" t="s">
        <v>102</v>
      </c>
    </row>
    <row r="358" spans="1:87">
      <c r="A358" t="s">
        <v>2318</v>
      </c>
      <c r="B358">
        <v>279</v>
      </c>
      <c r="C358" t="s">
        <v>638</v>
      </c>
      <c r="D358" t="s">
        <v>177</v>
      </c>
      <c r="E358" t="s">
        <v>639</v>
      </c>
      <c r="F358" t="s">
        <v>640</v>
      </c>
      <c r="G358" t="s">
        <v>641</v>
      </c>
      <c r="CD358">
        <v>279</v>
      </c>
      <c r="CH358" t="str">
        <f t="shared" si="5"/>
        <v>D-0152</v>
      </c>
      <c r="CI358" s="1" t="s">
        <v>102</v>
      </c>
    </row>
    <row r="359" spans="1:87">
      <c r="A359" t="s">
        <v>2360</v>
      </c>
      <c r="B359">
        <v>18</v>
      </c>
      <c r="C359" t="s">
        <v>638</v>
      </c>
      <c r="D359" t="s">
        <v>177</v>
      </c>
      <c r="E359" t="s">
        <v>639</v>
      </c>
      <c r="F359" t="s">
        <v>640</v>
      </c>
      <c r="G359" t="s">
        <v>641</v>
      </c>
      <c r="CD359">
        <v>18</v>
      </c>
      <c r="CH359" t="str">
        <f t="shared" si="5"/>
        <v>D-0152</v>
      </c>
      <c r="CI359" s="1" t="s">
        <v>102</v>
      </c>
    </row>
    <row r="360" spans="1:87">
      <c r="A360" t="s">
        <v>1399</v>
      </c>
      <c r="B360">
        <v>521</v>
      </c>
      <c r="C360" t="s">
        <v>1387</v>
      </c>
      <c r="D360" t="s">
        <v>457</v>
      </c>
      <c r="E360" t="s">
        <v>629</v>
      </c>
      <c r="F360" t="s">
        <v>672</v>
      </c>
      <c r="G360" t="s">
        <v>673</v>
      </c>
      <c r="O360">
        <v>48</v>
      </c>
      <c r="Q360">
        <v>78</v>
      </c>
      <c r="S360">
        <v>96</v>
      </c>
      <c r="U360">
        <v>89</v>
      </c>
      <c r="W360">
        <v>72</v>
      </c>
      <c r="Y360">
        <v>54</v>
      </c>
      <c r="AA360">
        <v>36</v>
      </c>
      <c r="AC360">
        <v>24</v>
      </c>
      <c r="AE360">
        <v>24</v>
      </c>
      <c r="CH360" t="str">
        <f t="shared" si="5"/>
        <v>JV1-0695-3</v>
      </c>
      <c r="CI360" s="1" t="s">
        <v>102</v>
      </c>
    </row>
    <row r="361" spans="1:87">
      <c r="A361" t="s">
        <v>3879</v>
      </c>
      <c r="B361">
        <v>12</v>
      </c>
      <c r="C361" t="s">
        <v>3865</v>
      </c>
      <c r="D361" t="s">
        <v>95</v>
      </c>
      <c r="E361" t="s">
        <v>629</v>
      </c>
      <c r="F361" t="s">
        <v>634</v>
      </c>
      <c r="G361" t="s">
        <v>3866</v>
      </c>
      <c r="T361">
        <v>1</v>
      </c>
      <c r="U361">
        <v>1</v>
      </c>
      <c r="V361">
        <v>1</v>
      </c>
      <c r="W361">
        <v>1</v>
      </c>
      <c r="X361">
        <v>1</v>
      </c>
      <c r="Y361">
        <v>1</v>
      </c>
      <c r="Z361">
        <v>1</v>
      </c>
      <c r="AA361">
        <v>1</v>
      </c>
      <c r="AB361">
        <v>1</v>
      </c>
      <c r="AC361">
        <v>1</v>
      </c>
      <c r="AD361">
        <v>1</v>
      </c>
      <c r="AE361">
        <v>1</v>
      </c>
      <c r="CH361" t="str">
        <f t="shared" si="5"/>
        <v>EOR-13</v>
      </c>
      <c r="CI361" s="1" t="s">
        <v>102</v>
      </c>
    </row>
    <row r="362" spans="1:87">
      <c r="A362" t="s">
        <v>2359</v>
      </c>
      <c r="B362">
        <v>25</v>
      </c>
      <c r="C362" t="s">
        <v>638</v>
      </c>
      <c r="D362" t="s">
        <v>177</v>
      </c>
      <c r="E362" t="s">
        <v>639</v>
      </c>
      <c r="F362" t="s">
        <v>640</v>
      </c>
      <c r="G362" t="s">
        <v>641</v>
      </c>
      <c r="CE362">
        <v>25</v>
      </c>
      <c r="CH362" t="str">
        <f t="shared" si="5"/>
        <v>D-0152</v>
      </c>
      <c r="CI362" s="1" t="s">
        <v>102</v>
      </c>
    </row>
    <row r="363" spans="1:87">
      <c r="A363" t="s">
        <v>1398</v>
      </c>
      <c r="B363">
        <v>149</v>
      </c>
      <c r="C363" t="s">
        <v>1387</v>
      </c>
      <c r="D363" t="s">
        <v>457</v>
      </c>
      <c r="E363" t="s">
        <v>629</v>
      </c>
      <c r="F363" t="s">
        <v>672</v>
      </c>
      <c r="G363" t="s">
        <v>673</v>
      </c>
      <c r="T363">
        <v>6</v>
      </c>
      <c r="U363">
        <v>6</v>
      </c>
      <c r="V363">
        <v>11</v>
      </c>
      <c r="W363">
        <v>12</v>
      </c>
      <c r="X363">
        <v>12</v>
      </c>
      <c r="Y363">
        <v>24</v>
      </c>
      <c r="Z363">
        <v>30</v>
      </c>
      <c r="AA363">
        <v>18</v>
      </c>
      <c r="AB363">
        <v>12</v>
      </c>
      <c r="AC363">
        <v>12</v>
      </c>
      <c r="AD363">
        <v>6</v>
      </c>
      <c r="CH363" t="str">
        <f t="shared" si="5"/>
        <v>JV1-0695-3</v>
      </c>
      <c r="CI363" s="1" t="s">
        <v>102</v>
      </c>
    </row>
    <row r="364" spans="1:87">
      <c r="A364" t="s">
        <v>2428</v>
      </c>
      <c r="B364">
        <v>1341</v>
      </c>
      <c r="C364" t="s">
        <v>2429</v>
      </c>
      <c r="D364" t="s">
        <v>238</v>
      </c>
      <c r="E364" t="s">
        <v>642</v>
      </c>
      <c r="F364" t="s">
        <v>645</v>
      </c>
      <c r="G364" t="s">
        <v>4427</v>
      </c>
      <c r="U364">
        <v>226</v>
      </c>
      <c r="V364">
        <v>223</v>
      </c>
      <c r="W364">
        <v>223</v>
      </c>
      <c r="X364">
        <v>223</v>
      </c>
      <c r="Y364">
        <v>223</v>
      </c>
      <c r="Z364">
        <v>223</v>
      </c>
      <c r="CH364" t="str">
        <f t="shared" si="5"/>
        <v>D-0267</v>
      </c>
      <c r="CI364" s="1" t="s">
        <v>102</v>
      </c>
    </row>
    <row r="365" spans="1:87">
      <c r="A365" t="s">
        <v>3188</v>
      </c>
      <c r="B365">
        <v>185</v>
      </c>
      <c r="C365" t="s">
        <v>1218</v>
      </c>
      <c r="D365" t="s">
        <v>538</v>
      </c>
      <c r="E365" t="s">
        <v>629</v>
      </c>
      <c r="F365" t="s">
        <v>672</v>
      </c>
      <c r="G365" t="s">
        <v>1219</v>
      </c>
      <c r="N365">
        <v>15</v>
      </c>
      <c r="O365">
        <v>15</v>
      </c>
      <c r="P365">
        <v>30</v>
      </c>
      <c r="Q365">
        <v>30</v>
      </c>
      <c r="R365">
        <v>30</v>
      </c>
      <c r="S365">
        <v>30</v>
      </c>
      <c r="T365">
        <v>15</v>
      </c>
      <c r="U365">
        <v>20</v>
      </c>
      <c r="CH365" t="str">
        <f t="shared" si="5"/>
        <v>JV1-0695-3</v>
      </c>
      <c r="CI365" s="1" t="s">
        <v>102</v>
      </c>
    </row>
    <row r="366" spans="1:87">
      <c r="A366" t="s">
        <v>3189</v>
      </c>
      <c r="B366">
        <v>1565</v>
      </c>
      <c r="C366" t="s">
        <v>1218</v>
      </c>
      <c r="D366" t="s">
        <v>538</v>
      </c>
      <c r="E366" t="s">
        <v>629</v>
      </c>
      <c r="F366" t="s">
        <v>672</v>
      </c>
      <c r="G366" t="s">
        <v>1219</v>
      </c>
      <c r="U366">
        <v>130</v>
      </c>
      <c r="V366">
        <v>135</v>
      </c>
      <c r="W366">
        <v>260</v>
      </c>
      <c r="X366">
        <v>130</v>
      </c>
      <c r="Y366">
        <v>260</v>
      </c>
      <c r="Z366">
        <v>260</v>
      </c>
      <c r="AA366">
        <v>130</v>
      </c>
      <c r="AB366">
        <v>130</v>
      </c>
      <c r="AD366">
        <v>130</v>
      </c>
      <c r="CH366" t="str">
        <f t="shared" si="5"/>
        <v>JV1-0695-3</v>
      </c>
      <c r="CI366" s="1" t="s">
        <v>102</v>
      </c>
    </row>
    <row r="367" spans="1:87">
      <c r="A367" t="s">
        <v>1524</v>
      </c>
      <c r="B367">
        <v>372</v>
      </c>
      <c r="C367" t="s">
        <v>1523</v>
      </c>
      <c r="D367" t="s">
        <v>413</v>
      </c>
      <c r="E367" t="s">
        <v>642</v>
      </c>
      <c r="F367" t="s">
        <v>657</v>
      </c>
      <c r="G367" t="s">
        <v>1155</v>
      </c>
      <c r="P367">
        <v>9</v>
      </c>
      <c r="Q367">
        <v>7</v>
      </c>
      <c r="R367">
        <v>25</v>
      </c>
      <c r="S367">
        <v>28</v>
      </c>
      <c r="T367">
        <v>44</v>
      </c>
      <c r="U367">
        <v>42</v>
      </c>
      <c r="V367">
        <v>51</v>
      </c>
      <c r="W367">
        <v>41</v>
      </c>
      <c r="X367">
        <v>34</v>
      </c>
      <c r="Y367">
        <v>21</v>
      </c>
      <c r="Z367">
        <v>21</v>
      </c>
      <c r="AA367">
        <v>12</v>
      </c>
      <c r="AB367">
        <v>9</v>
      </c>
      <c r="AC367">
        <v>7</v>
      </c>
      <c r="AD367">
        <v>8</v>
      </c>
      <c r="AE367">
        <v>4</v>
      </c>
      <c r="AF367">
        <v>4</v>
      </c>
      <c r="AG367">
        <v>2</v>
      </c>
      <c r="AH367">
        <v>2</v>
      </c>
      <c r="AI367">
        <v>1</v>
      </c>
      <c r="CH367" t="str">
        <f t="shared" si="5"/>
        <v>D-0594</v>
      </c>
      <c r="CI367" s="1" t="s">
        <v>102</v>
      </c>
    </row>
    <row r="368" spans="1:87">
      <c r="A368" t="s">
        <v>1526</v>
      </c>
      <c r="B368">
        <v>312</v>
      </c>
      <c r="C368" t="s">
        <v>1523</v>
      </c>
      <c r="D368" t="s">
        <v>413</v>
      </c>
      <c r="E368" t="s">
        <v>642</v>
      </c>
      <c r="F368" t="s">
        <v>657</v>
      </c>
      <c r="G368" t="s">
        <v>1155</v>
      </c>
      <c r="P368">
        <v>10</v>
      </c>
      <c r="Q368">
        <v>15</v>
      </c>
      <c r="R368">
        <v>21</v>
      </c>
      <c r="S368">
        <v>27</v>
      </c>
      <c r="T368">
        <v>32</v>
      </c>
      <c r="U368">
        <v>36</v>
      </c>
      <c r="V368">
        <v>37</v>
      </c>
      <c r="W368">
        <v>35</v>
      </c>
      <c r="X368">
        <v>30</v>
      </c>
      <c r="Y368">
        <v>24</v>
      </c>
      <c r="Z368">
        <v>18</v>
      </c>
      <c r="AA368">
        <v>12</v>
      </c>
      <c r="AB368">
        <v>8</v>
      </c>
      <c r="AC368">
        <v>5</v>
      </c>
      <c r="AD368">
        <v>2</v>
      </c>
      <c r="CH368" t="str">
        <f t="shared" si="5"/>
        <v>D-0594</v>
      </c>
      <c r="CI368" s="1" t="s">
        <v>102</v>
      </c>
    </row>
    <row r="369" spans="1:87">
      <c r="A369" t="s">
        <v>1530</v>
      </c>
      <c r="B369">
        <v>1</v>
      </c>
      <c r="C369" t="s">
        <v>1523</v>
      </c>
      <c r="D369" t="s">
        <v>413</v>
      </c>
      <c r="E369" t="s">
        <v>642</v>
      </c>
      <c r="F369" t="s">
        <v>657</v>
      </c>
      <c r="G369" t="s">
        <v>1155</v>
      </c>
      <c r="X369">
        <v>1</v>
      </c>
      <c r="CH369" t="str">
        <f t="shared" si="5"/>
        <v>D-0594</v>
      </c>
      <c r="CI369" s="1" t="s">
        <v>102</v>
      </c>
    </row>
    <row r="370" spans="1:87">
      <c r="A370" t="s">
        <v>1534</v>
      </c>
      <c r="B370">
        <v>3</v>
      </c>
      <c r="C370" t="s">
        <v>1523</v>
      </c>
      <c r="D370" t="s">
        <v>413</v>
      </c>
      <c r="E370" t="s">
        <v>642</v>
      </c>
      <c r="F370" t="s">
        <v>657</v>
      </c>
      <c r="G370" t="s">
        <v>1155</v>
      </c>
      <c r="R370">
        <v>3</v>
      </c>
      <c r="CH370" t="str">
        <f t="shared" si="5"/>
        <v>D-0594</v>
      </c>
      <c r="CI370" s="1" t="s">
        <v>102</v>
      </c>
    </row>
    <row r="371" spans="1:87">
      <c r="A371" t="s">
        <v>1529</v>
      </c>
      <c r="B371">
        <v>1336</v>
      </c>
      <c r="C371" t="s">
        <v>1523</v>
      </c>
      <c r="D371" t="s">
        <v>413</v>
      </c>
      <c r="E371" t="s">
        <v>642</v>
      </c>
      <c r="F371" t="s">
        <v>657</v>
      </c>
      <c r="G371" t="s">
        <v>1155</v>
      </c>
      <c r="P371">
        <v>22</v>
      </c>
      <c r="Q371">
        <v>63</v>
      </c>
      <c r="R371">
        <v>164</v>
      </c>
      <c r="S371">
        <v>204</v>
      </c>
      <c r="T371">
        <v>272</v>
      </c>
      <c r="U371">
        <v>190</v>
      </c>
      <c r="V371">
        <v>153</v>
      </c>
      <c r="W371">
        <v>116</v>
      </c>
      <c r="X371">
        <v>70</v>
      </c>
      <c r="Y371">
        <v>29</v>
      </c>
      <c r="Z371">
        <v>30</v>
      </c>
      <c r="AA371">
        <v>7</v>
      </c>
      <c r="AB371">
        <v>10</v>
      </c>
      <c r="AC371">
        <v>3</v>
      </c>
      <c r="AD371">
        <v>3</v>
      </c>
      <c r="CH371" t="str">
        <f t="shared" si="5"/>
        <v>D-0594</v>
      </c>
      <c r="CI371" s="1" t="s">
        <v>102</v>
      </c>
    </row>
    <row r="372" spans="1:87">
      <c r="A372" t="s">
        <v>3481</v>
      </c>
      <c r="B372">
        <v>2398</v>
      </c>
      <c r="C372" t="s">
        <v>3482</v>
      </c>
      <c r="D372" t="s">
        <v>421</v>
      </c>
      <c r="E372" t="s">
        <v>974</v>
      </c>
      <c r="F372" t="s">
        <v>3483</v>
      </c>
      <c r="G372" t="s">
        <v>2283</v>
      </c>
      <c r="M372">
        <v>148</v>
      </c>
      <c r="N372">
        <v>194</v>
      </c>
      <c r="O372">
        <v>263</v>
      </c>
      <c r="P372">
        <v>314</v>
      </c>
      <c r="Q372">
        <v>398</v>
      </c>
      <c r="R372">
        <v>422</v>
      </c>
      <c r="S372">
        <v>433</v>
      </c>
      <c r="T372">
        <v>226</v>
      </c>
      <c r="CH372" t="str">
        <f t="shared" si="5"/>
        <v>D-0616</v>
      </c>
      <c r="CI372" s="1" t="s">
        <v>102</v>
      </c>
    </row>
    <row r="373" spans="1:87">
      <c r="A373" t="s">
        <v>3485</v>
      </c>
      <c r="B373">
        <v>3069</v>
      </c>
      <c r="C373" t="s">
        <v>3482</v>
      </c>
      <c r="D373" t="s">
        <v>421</v>
      </c>
      <c r="E373" t="s">
        <v>974</v>
      </c>
      <c r="F373" t="s">
        <v>3483</v>
      </c>
      <c r="G373" t="s">
        <v>2283</v>
      </c>
      <c r="M373">
        <v>202</v>
      </c>
      <c r="N373">
        <v>379</v>
      </c>
      <c r="O373">
        <v>314</v>
      </c>
      <c r="P373">
        <v>354</v>
      </c>
      <c r="Q373">
        <v>339</v>
      </c>
      <c r="R373">
        <v>560</v>
      </c>
      <c r="S373">
        <v>492</v>
      </c>
      <c r="T373">
        <v>429</v>
      </c>
      <c r="CH373" t="str">
        <f t="shared" si="5"/>
        <v>D-0616</v>
      </c>
      <c r="CI373" s="1" t="s">
        <v>102</v>
      </c>
    </row>
    <row r="374" spans="1:87">
      <c r="A374" t="s">
        <v>3484</v>
      </c>
      <c r="B374">
        <v>1</v>
      </c>
      <c r="C374" t="s">
        <v>3482</v>
      </c>
      <c r="D374" t="s">
        <v>421</v>
      </c>
      <c r="E374" t="s">
        <v>974</v>
      </c>
      <c r="F374" t="s">
        <v>3483</v>
      </c>
      <c r="G374" t="s">
        <v>2283</v>
      </c>
      <c r="N374">
        <v>1</v>
      </c>
      <c r="CH374" t="str">
        <f t="shared" si="5"/>
        <v>D-0616</v>
      </c>
      <c r="CI374" s="1" t="s">
        <v>102</v>
      </c>
    </row>
    <row r="375" spans="1:87">
      <c r="A375" t="s">
        <v>3225</v>
      </c>
      <c r="B375">
        <v>2202</v>
      </c>
      <c r="C375" t="s">
        <v>1175</v>
      </c>
      <c r="D375" t="s">
        <v>458</v>
      </c>
      <c r="E375" t="s">
        <v>629</v>
      </c>
      <c r="F375" t="s">
        <v>672</v>
      </c>
      <c r="G375" t="s">
        <v>732</v>
      </c>
      <c r="N375">
        <v>42</v>
      </c>
      <c r="O375">
        <v>84</v>
      </c>
      <c r="P375">
        <v>78</v>
      </c>
      <c r="Q375">
        <v>144</v>
      </c>
      <c r="R375">
        <v>174</v>
      </c>
      <c r="S375">
        <v>228</v>
      </c>
      <c r="T375">
        <v>174</v>
      </c>
      <c r="U375">
        <v>174</v>
      </c>
      <c r="V375">
        <v>198</v>
      </c>
      <c r="W375">
        <v>180</v>
      </c>
      <c r="X375">
        <v>126</v>
      </c>
      <c r="Y375">
        <v>162</v>
      </c>
      <c r="Z375">
        <v>72</v>
      </c>
      <c r="AA375">
        <v>90</v>
      </c>
      <c r="AB375">
        <v>102</v>
      </c>
      <c r="AC375">
        <v>66</v>
      </c>
      <c r="AD375">
        <v>66</v>
      </c>
      <c r="AF375">
        <v>36</v>
      </c>
      <c r="AH375">
        <v>6</v>
      </c>
      <c r="CH375" t="str">
        <f t="shared" si="5"/>
        <v>JV1-0695-3</v>
      </c>
      <c r="CI375" s="1" t="s">
        <v>102</v>
      </c>
    </row>
    <row r="376" spans="1:87">
      <c r="A376" t="s">
        <v>3207</v>
      </c>
      <c r="B376">
        <v>3702</v>
      </c>
      <c r="C376" t="s">
        <v>1175</v>
      </c>
      <c r="D376" t="s">
        <v>458</v>
      </c>
      <c r="E376" t="s">
        <v>629</v>
      </c>
      <c r="F376" t="s">
        <v>672</v>
      </c>
      <c r="G376" t="s">
        <v>732</v>
      </c>
      <c r="N376">
        <v>36</v>
      </c>
      <c r="O376">
        <v>138</v>
      </c>
      <c r="P376">
        <v>96</v>
      </c>
      <c r="Q376">
        <v>312</v>
      </c>
      <c r="R376">
        <v>114</v>
      </c>
      <c r="S376">
        <v>408</v>
      </c>
      <c r="T376">
        <v>384</v>
      </c>
      <c r="U376">
        <v>354</v>
      </c>
      <c r="V376">
        <v>336</v>
      </c>
      <c r="W376">
        <v>324</v>
      </c>
      <c r="X376">
        <v>174</v>
      </c>
      <c r="Y376">
        <v>282</v>
      </c>
      <c r="Z376">
        <v>126</v>
      </c>
      <c r="AA376">
        <v>162</v>
      </c>
      <c r="AB376">
        <v>162</v>
      </c>
      <c r="AC376">
        <v>84</v>
      </c>
      <c r="AD376">
        <v>102</v>
      </c>
      <c r="AE376">
        <v>6</v>
      </c>
      <c r="AF376">
        <v>72</v>
      </c>
      <c r="AH376">
        <v>18</v>
      </c>
      <c r="AJ376">
        <v>12</v>
      </c>
      <c r="CH376" t="str">
        <f t="shared" si="5"/>
        <v>JV1-0695-3</v>
      </c>
      <c r="CI376" s="1" t="s">
        <v>102</v>
      </c>
    </row>
    <row r="377" spans="1:87">
      <c r="A377" t="s">
        <v>3212</v>
      </c>
      <c r="B377">
        <v>5004</v>
      </c>
      <c r="C377" t="s">
        <v>1175</v>
      </c>
      <c r="D377" t="s">
        <v>458</v>
      </c>
      <c r="E377" t="s">
        <v>629</v>
      </c>
      <c r="F377" t="s">
        <v>672</v>
      </c>
      <c r="G377" t="s">
        <v>732</v>
      </c>
      <c r="N377">
        <v>150</v>
      </c>
      <c r="O377">
        <v>252</v>
      </c>
      <c r="P377">
        <v>348</v>
      </c>
      <c r="Q377">
        <v>474</v>
      </c>
      <c r="R377">
        <v>624</v>
      </c>
      <c r="S377">
        <v>798</v>
      </c>
      <c r="T377">
        <v>600</v>
      </c>
      <c r="U377">
        <v>504</v>
      </c>
      <c r="V377">
        <v>348</v>
      </c>
      <c r="W377">
        <v>258</v>
      </c>
      <c r="X377">
        <v>198</v>
      </c>
      <c r="Y377">
        <v>252</v>
      </c>
      <c r="Z377">
        <v>126</v>
      </c>
      <c r="AA377">
        <v>48</v>
      </c>
      <c r="AB377">
        <v>24</v>
      </c>
      <c r="CH377" t="str">
        <f t="shared" si="5"/>
        <v>JV1-0695-3</v>
      </c>
      <c r="CI377" s="1" t="s">
        <v>102</v>
      </c>
    </row>
    <row r="378" spans="1:87">
      <c r="A378" t="s">
        <v>3206</v>
      </c>
      <c r="B378">
        <v>509</v>
      </c>
      <c r="C378" t="s">
        <v>1175</v>
      </c>
      <c r="D378" t="s">
        <v>458</v>
      </c>
      <c r="E378" t="s">
        <v>629</v>
      </c>
      <c r="F378" t="s">
        <v>672</v>
      </c>
      <c r="G378" t="s">
        <v>732</v>
      </c>
      <c r="N378">
        <v>15</v>
      </c>
      <c r="O378">
        <v>15</v>
      </c>
      <c r="P378">
        <v>30</v>
      </c>
      <c r="Q378">
        <v>30</v>
      </c>
      <c r="R378">
        <v>30</v>
      </c>
      <c r="S378">
        <v>30</v>
      </c>
      <c r="T378">
        <v>15</v>
      </c>
      <c r="U378">
        <v>47</v>
      </c>
      <c r="V378">
        <v>27</v>
      </c>
      <c r="W378">
        <v>54</v>
      </c>
      <c r="X378">
        <v>27</v>
      </c>
      <c r="Y378">
        <v>54</v>
      </c>
      <c r="Z378">
        <v>54</v>
      </c>
      <c r="AA378">
        <v>27</v>
      </c>
      <c r="AB378">
        <v>27</v>
      </c>
      <c r="AD378">
        <v>27</v>
      </c>
      <c r="CH378" t="str">
        <f t="shared" si="5"/>
        <v>JV1-0695-3</v>
      </c>
      <c r="CI378" s="1" t="s">
        <v>102</v>
      </c>
    </row>
    <row r="379" spans="1:87">
      <c r="A379" t="s">
        <v>3202</v>
      </c>
      <c r="B379">
        <v>624</v>
      </c>
      <c r="C379" t="s">
        <v>1175</v>
      </c>
      <c r="D379" t="s">
        <v>458</v>
      </c>
      <c r="E379" t="s">
        <v>629</v>
      </c>
      <c r="F379" t="s">
        <v>672</v>
      </c>
      <c r="G379" t="s">
        <v>732</v>
      </c>
      <c r="O379">
        <v>30</v>
      </c>
      <c r="Q379">
        <v>60</v>
      </c>
      <c r="S379">
        <v>90</v>
      </c>
      <c r="U379">
        <v>96</v>
      </c>
      <c r="V379">
        <v>54</v>
      </c>
      <c r="X379">
        <v>60</v>
      </c>
      <c r="Z379">
        <v>66</v>
      </c>
      <c r="AB379">
        <v>72</v>
      </c>
      <c r="AD379">
        <v>54</v>
      </c>
      <c r="AF379">
        <v>42</v>
      </c>
      <c r="CH379" t="str">
        <f t="shared" si="5"/>
        <v>JV1-0695-3</v>
      </c>
      <c r="CI379" s="1" t="s">
        <v>102</v>
      </c>
    </row>
    <row r="380" spans="1:87">
      <c r="A380" t="s">
        <v>3209</v>
      </c>
      <c r="B380">
        <v>1596</v>
      </c>
      <c r="C380" t="s">
        <v>1175</v>
      </c>
      <c r="D380" t="s">
        <v>458</v>
      </c>
      <c r="E380" t="s">
        <v>629</v>
      </c>
      <c r="F380" t="s">
        <v>672</v>
      </c>
      <c r="G380" t="s">
        <v>732</v>
      </c>
      <c r="N380">
        <v>30</v>
      </c>
      <c r="O380">
        <v>60</v>
      </c>
      <c r="P380">
        <v>60</v>
      </c>
      <c r="Q380">
        <v>132</v>
      </c>
      <c r="R380">
        <v>120</v>
      </c>
      <c r="S380">
        <v>162</v>
      </c>
      <c r="T380">
        <v>120</v>
      </c>
      <c r="U380">
        <v>126</v>
      </c>
      <c r="V380">
        <v>126</v>
      </c>
      <c r="W380">
        <v>120</v>
      </c>
      <c r="X380">
        <v>90</v>
      </c>
      <c r="Y380">
        <v>132</v>
      </c>
      <c r="Z380">
        <v>72</v>
      </c>
      <c r="AA380">
        <v>60</v>
      </c>
      <c r="AB380">
        <v>72</v>
      </c>
      <c r="AC380">
        <v>36</v>
      </c>
      <c r="AD380">
        <v>42</v>
      </c>
      <c r="AF380">
        <v>24</v>
      </c>
      <c r="AH380">
        <v>6</v>
      </c>
      <c r="AJ380">
        <v>6</v>
      </c>
      <c r="CH380" t="str">
        <f t="shared" si="5"/>
        <v>JV1-0695-3</v>
      </c>
      <c r="CI380" s="1" t="s">
        <v>102</v>
      </c>
    </row>
    <row r="381" spans="1:87">
      <c r="A381" t="s">
        <v>3217</v>
      </c>
      <c r="B381">
        <v>1530</v>
      </c>
      <c r="C381" t="s">
        <v>1175</v>
      </c>
      <c r="D381" t="s">
        <v>458</v>
      </c>
      <c r="E381" t="s">
        <v>629</v>
      </c>
      <c r="F381" t="s">
        <v>672</v>
      </c>
      <c r="G381" t="s">
        <v>732</v>
      </c>
      <c r="N381">
        <v>60</v>
      </c>
      <c r="O381">
        <v>96</v>
      </c>
      <c r="P381">
        <v>102</v>
      </c>
      <c r="Q381">
        <v>126</v>
      </c>
      <c r="R381">
        <v>120</v>
      </c>
      <c r="S381">
        <v>144</v>
      </c>
      <c r="T381">
        <v>132</v>
      </c>
      <c r="U381">
        <v>96</v>
      </c>
      <c r="V381">
        <v>108</v>
      </c>
      <c r="W381">
        <v>84</v>
      </c>
      <c r="X381">
        <v>96</v>
      </c>
      <c r="Y381">
        <v>108</v>
      </c>
      <c r="Z381">
        <v>96</v>
      </c>
      <c r="AA381">
        <v>54</v>
      </c>
      <c r="AB381">
        <v>54</v>
      </c>
      <c r="AC381">
        <v>18</v>
      </c>
      <c r="AD381">
        <v>30</v>
      </c>
      <c r="AF381">
        <v>6</v>
      </c>
      <c r="CH381" t="str">
        <f t="shared" si="5"/>
        <v>JV1-0695-3</v>
      </c>
      <c r="CI381" s="1" t="s">
        <v>102</v>
      </c>
    </row>
    <row r="382" spans="1:87">
      <c r="A382" t="s">
        <v>3579</v>
      </c>
      <c r="B382">
        <v>2790</v>
      </c>
      <c r="C382" t="s">
        <v>3493</v>
      </c>
      <c r="D382" t="s">
        <v>3494</v>
      </c>
      <c r="E382" t="s">
        <v>629</v>
      </c>
      <c r="F382" t="s">
        <v>635</v>
      </c>
      <c r="G382" t="s">
        <v>1647</v>
      </c>
      <c r="L382">
        <v>10</v>
      </c>
      <c r="M382">
        <v>80</v>
      </c>
      <c r="N382">
        <v>12</v>
      </c>
      <c r="O382">
        <v>84</v>
      </c>
      <c r="P382">
        <v>25</v>
      </c>
      <c r="Q382">
        <v>94</v>
      </c>
      <c r="R382">
        <v>161</v>
      </c>
      <c r="S382">
        <v>41</v>
      </c>
      <c r="T382">
        <v>145</v>
      </c>
      <c r="U382">
        <v>122</v>
      </c>
      <c r="V382">
        <v>177</v>
      </c>
      <c r="W382">
        <v>189</v>
      </c>
      <c r="X382">
        <v>263</v>
      </c>
      <c r="Y382">
        <v>270</v>
      </c>
      <c r="Z382">
        <v>384</v>
      </c>
      <c r="AA382">
        <v>143</v>
      </c>
      <c r="AB382">
        <v>342</v>
      </c>
      <c r="AC382">
        <v>62</v>
      </c>
      <c r="AD382">
        <v>118</v>
      </c>
      <c r="AF382">
        <v>68</v>
      </c>
      <c r="CH382" t="str">
        <f t="shared" si="5"/>
        <v>D-0493</v>
      </c>
      <c r="CI382" s="1" t="s">
        <v>102</v>
      </c>
    </row>
    <row r="383" spans="1:87">
      <c r="A383" t="s">
        <v>3555</v>
      </c>
      <c r="B383">
        <v>2916</v>
      </c>
      <c r="C383" t="s">
        <v>3493</v>
      </c>
      <c r="D383" t="s">
        <v>3494</v>
      </c>
      <c r="E383" t="s">
        <v>629</v>
      </c>
      <c r="F383" t="s">
        <v>635</v>
      </c>
      <c r="G383" t="s">
        <v>1647</v>
      </c>
      <c r="L383">
        <v>60</v>
      </c>
      <c r="M383">
        <v>72</v>
      </c>
      <c r="N383">
        <v>96</v>
      </c>
      <c r="O383">
        <v>108</v>
      </c>
      <c r="P383">
        <v>180</v>
      </c>
      <c r="Q383">
        <v>168</v>
      </c>
      <c r="R383">
        <v>240</v>
      </c>
      <c r="S383">
        <v>192</v>
      </c>
      <c r="T383">
        <v>204</v>
      </c>
      <c r="U383">
        <v>132</v>
      </c>
      <c r="V383">
        <v>84</v>
      </c>
      <c r="W383">
        <v>144</v>
      </c>
      <c r="X383">
        <v>60</v>
      </c>
      <c r="Y383">
        <v>132</v>
      </c>
      <c r="Z383">
        <v>168</v>
      </c>
      <c r="AA383">
        <v>228</v>
      </c>
      <c r="AB383">
        <v>180</v>
      </c>
      <c r="AC383">
        <v>156</v>
      </c>
      <c r="AD383">
        <v>240</v>
      </c>
      <c r="AF383">
        <v>72</v>
      </c>
      <c r="CH383" t="str">
        <f t="shared" si="5"/>
        <v>D-0493</v>
      </c>
      <c r="CI383" s="1" t="s">
        <v>102</v>
      </c>
    </row>
    <row r="384" spans="1:87">
      <c r="A384" t="s">
        <v>3561</v>
      </c>
      <c r="B384">
        <v>3852</v>
      </c>
      <c r="C384" t="s">
        <v>3493</v>
      </c>
      <c r="D384" t="s">
        <v>3494</v>
      </c>
      <c r="E384" t="s">
        <v>629</v>
      </c>
      <c r="F384" t="s">
        <v>635</v>
      </c>
      <c r="G384" t="s">
        <v>1647</v>
      </c>
      <c r="L384">
        <v>12</v>
      </c>
      <c r="M384">
        <v>85</v>
      </c>
      <c r="N384">
        <v>14</v>
      </c>
      <c r="O384">
        <v>90</v>
      </c>
      <c r="P384">
        <v>55</v>
      </c>
      <c r="Q384">
        <v>112</v>
      </c>
      <c r="R384">
        <v>217</v>
      </c>
      <c r="S384">
        <v>68</v>
      </c>
      <c r="T384">
        <v>183</v>
      </c>
      <c r="U384">
        <v>164</v>
      </c>
      <c r="V384">
        <v>295</v>
      </c>
      <c r="W384">
        <v>245</v>
      </c>
      <c r="X384">
        <v>409</v>
      </c>
      <c r="Y384">
        <v>373</v>
      </c>
      <c r="Z384">
        <v>542</v>
      </c>
      <c r="AA384">
        <v>213</v>
      </c>
      <c r="AB384">
        <v>438</v>
      </c>
      <c r="AC384">
        <v>84</v>
      </c>
      <c r="AD384">
        <v>159</v>
      </c>
      <c r="AF384">
        <v>94</v>
      </c>
      <c r="CH384" t="str">
        <f t="shared" si="5"/>
        <v>D-0493</v>
      </c>
      <c r="CI384" s="1" t="s">
        <v>102</v>
      </c>
    </row>
    <row r="385" spans="1:87">
      <c r="A385" t="s">
        <v>3573</v>
      </c>
      <c r="B385">
        <v>3660</v>
      </c>
      <c r="C385" t="s">
        <v>3493</v>
      </c>
      <c r="D385" t="s">
        <v>3494</v>
      </c>
      <c r="E385" t="s">
        <v>629</v>
      </c>
      <c r="F385" t="s">
        <v>635</v>
      </c>
      <c r="G385" t="s">
        <v>1647</v>
      </c>
      <c r="L385">
        <v>60</v>
      </c>
      <c r="M385">
        <v>72</v>
      </c>
      <c r="N385">
        <v>96</v>
      </c>
      <c r="O385">
        <v>120</v>
      </c>
      <c r="P385">
        <v>204</v>
      </c>
      <c r="Q385">
        <v>180</v>
      </c>
      <c r="R385">
        <v>240</v>
      </c>
      <c r="S385">
        <v>204</v>
      </c>
      <c r="T385">
        <v>228</v>
      </c>
      <c r="U385">
        <v>144</v>
      </c>
      <c r="V385">
        <v>180</v>
      </c>
      <c r="W385">
        <v>192</v>
      </c>
      <c r="X385">
        <v>180</v>
      </c>
      <c r="Y385">
        <v>168</v>
      </c>
      <c r="Z385">
        <v>276</v>
      </c>
      <c r="AA385">
        <v>264</v>
      </c>
      <c r="AB385">
        <v>264</v>
      </c>
      <c r="AC385">
        <v>168</v>
      </c>
      <c r="AD385">
        <v>300</v>
      </c>
      <c r="AF385">
        <v>120</v>
      </c>
      <c r="CH385" t="str">
        <f t="shared" si="5"/>
        <v>D-0493</v>
      </c>
      <c r="CI385" s="1" t="s">
        <v>102</v>
      </c>
    </row>
    <row r="386" spans="1:87">
      <c r="A386" t="s">
        <v>3576</v>
      </c>
      <c r="B386">
        <v>852</v>
      </c>
      <c r="C386" t="s">
        <v>3493</v>
      </c>
      <c r="D386" t="s">
        <v>3494</v>
      </c>
      <c r="E386" t="s">
        <v>629</v>
      </c>
      <c r="F386" t="s">
        <v>635</v>
      </c>
      <c r="G386" t="s">
        <v>1647</v>
      </c>
      <c r="P386">
        <v>24</v>
      </c>
      <c r="Q386">
        <v>24</v>
      </c>
      <c r="R386">
        <v>48</v>
      </c>
      <c r="S386">
        <v>24</v>
      </c>
      <c r="T386">
        <v>84</v>
      </c>
      <c r="U386">
        <v>24</v>
      </c>
      <c r="V386">
        <v>84</v>
      </c>
      <c r="W386">
        <v>24</v>
      </c>
      <c r="X386">
        <v>84</v>
      </c>
      <c r="Y386">
        <v>84</v>
      </c>
      <c r="Z386">
        <v>84</v>
      </c>
      <c r="AA386">
        <v>84</v>
      </c>
      <c r="AB386">
        <v>84</v>
      </c>
      <c r="AC386">
        <v>24</v>
      </c>
      <c r="AD386">
        <v>48</v>
      </c>
      <c r="AF386">
        <v>24</v>
      </c>
      <c r="CH386" t="str">
        <f t="shared" ref="CH386:CH449" si="6">TRIM(IFERROR(IFERROR(MID($D386,FIND("(D-",$D386)+1,6),LEFT($D386,FIND("(",$D386)-1)),$D386))</f>
        <v>D-0493</v>
      </c>
      <c r="CI386" s="1" t="s">
        <v>102</v>
      </c>
    </row>
    <row r="387" spans="1:87">
      <c r="A387" t="s">
        <v>3574</v>
      </c>
      <c r="B387">
        <v>1836</v>
      </c>
      <c r="C387" t="s">
        <v>3493</v>
      </c>
      <c r="D387" t="s">
        <v>3494</v>
      </c>
      <c r="E387" t="s">
        <v>629</v>
      </c>
      <c r="F387" t="s">
        <v>635</v>
      </c>
      <c r="G387" t="s">
        <v>1647</v>
      </c>
      <c r="N387">
        <v>12</v>
      </c>
      <c r="O387">
        <v>12</v>
      </c>
      <c r="P387">
        <v>24</v>
      </c>
      <c r="Q387">
        <v>24</v>
      </c>
      <c r="R387">
        <v>24</v>
      </c>
      <c r="S387">
        <v>24</v>
      </c>
      <c r="T387">
        <v>36</v>
      </c>
      <c r="U387">
        <v>48</v>
      </c>
      <c r="V387">
        <v>168</v>
      </c>
      <c r="W387">
        <v>132</v>
      </c>
      <c r="X387">
        <v>216</v>
      </c>
      <c r="Y387">
        <v>180</v>
      </c>
      <c r="Z387">
        <v>252</v>
      </c>
      <c r="AA387">
        <v>180</v>
      </c>
      <c r="AB387">
        <v>192</v>
      </c>
      <c r="AC387">
        <v>84</v>
      </c>
      <c r="AD387">
        <v>144</v>
      </c>
      <c r="AF387">
        <v>84</v>
      </c>
      <c r="CH387" t="str">
        <f t="shared" si="6"/>
        <v>D-0493</v>
      </c>
      <c r="CI387" s="1" t="s">
        <v>102</v>
      </c>
    </row>
    <row r="388" spans="1:87">
      <c r="A388" t="s">
        <v>3584</v>
      </c>
      <c r="B388">
        <v>470</v>
      </c>
      <c r="C388" t="s">
        <v>3493</v>
      </c>
      <c r="D388" t="s">
        <v>3494</v>
      </c>
      <c r="E388" t="s">
        <v>629</v>
      </c>
      <c r="F388" t="s">
        <v>635</v>
      </c>
      <c r="G388" t="s">
        <v>1647</v>
      </c>
      <c r="L388">
        <v>1</v>
      </c>
      <c r="M388">
        <v>7</v>
      </c>
      <c r="N388">
        <v>4</v>
      </c>
      <c r="O388">
        <v>12</v>
      </c>
      <c r="P388">
        <v>6</v>
      </c>
      <c r="Q388">
        <v>11</v>
      </c>
      <c r="R388">
        <v>13</v>
      </c>
      <c r="S388">
        <v>4</v>
      </c>
      <c r="T388">
        <v>55</v>
      </c>
      <c r="U388">
        <v>64</v>
      </c>
      <c r="V388">
        <v>40</v>
      </c>
      <c r="W388">
        <v>82</v>
      </c>
      <c r="X388">
        <v>52</v>
      </c>
      <c r="Y388">
        <v>66</v>
      </c>
      <c r="Z388">
        <v>31</v>
      </c>
      <c r="AA388">
        <v>13</v>
      </c>
      <c r="AB388">
        <v>9</v>
      </c>
      <c r="CH388" t="str">
        <f t="shared" si="6"/>
        <v>D-0493</v>
      </c>
      <c r="CI388" s="1" t="s">
        <v>102</v>
      </c>
    </row>
    <row r="389" spans="1:87">
      <c r="A389" t="s">
        <v>3586</v>
      </c>
      <c r="B389">
        <v>378</v>
      </c>
      <c r="C389" t="s">
        <v>3493</v>
      </c>
      <c r="D389" t="s">
        <v>3494</v>
      </c>
      <c r="E389" t="s">
        <v>629</v>
      </c>
      <c r="F389" t="s">
        <v>635</v>
      </c>
      <c r="G389" t="s">
        <v>1647</v>
      </c>
      <c r="N389">
        <v>6</v>
      </c>
      <c r="O389">
        <v>9</v>
      </c>
      <c r="P389">
        <v>11</v>
      </c>
      <c r="Q389">
        <v>11</v>
      </c>
      <c r="R389">
        <v>7</v>
      </c>
      <c r="S389">
        <v>8</v>
      </c>
      <c r="T389">
        <v>12</v>
      </c>
      <c r="U389">
        <v>23</v>
      </c>
      <c r="V389">
        <v>40</v>
      </c>
      <c r="W389">
        <v>54</v>
      </c>
      <c r="X389">
        <v>58</v>
      </c>
      <c r="Y389">
        <v>54</v>
      </c>
      <c r="Z389">
        <v>40</v>
      </c>
      <c r="AA389">
        <v>31</v>
      </c>
      <c r="AB389">
        <v>14</v>
      </c>
      <c r="CH389" t="str">
        <f t="shared" si="6"/>
        <v>D-0493</v>
      </c>
      <c r="CI389" s="1" t="s">
        <v>102</v>
      </c>
    </row>
    <row r="390" spans="1:87">
      <c r="A390" t="s">
        <v>3578</v>
      </c>
      <c r="B390">
        <v>180</v>
      </c>
      <c r="C390" t="s">
        <v>3493</v>
      </c>
      <c r="D390" t="s">
        <v>3494</v>
      </c>
      <c r="E390" t="s">
        <v>629</v>
      </c>
      <c r="F390" t="s">
        <v>635</v>
      </c>
      <c r="G390" t="s">
        <v>1647</v>
      </c>
      <c r="O390">
        <v>20</v>
      </c>
      <c r="P390">
        <v>20</v>
      </c>
      <c r="Q390">
        <v>20</v>
      </c>
      <c r="R390">
        <v>20</v>
      </c>
      <c r="S390">
        <v>20</v>
      </c>
      <c r="T390">
        <v>20</v>
      </c>
      <c r="U390">
        <v>20</v>
      </c>
      <c r="V390">
        <v>20</v>
      </c>
      <c r="W390">
        <v>20</v>
      </c>
      <c r="CH390" t="str">
        <f t="shared" si="6"/>
        <v>D-0493</v>
      </c>
      <c r="CI390" s="1" t="s">
        <v>102</v>
      </c>
    </row>
    <row r="391" spans="1:87">
      <c r="A391" t="s">
        <v>3577</v>
      </c>
      <c r="B391">
        <v>1200</v>
      </c>
      <c r="C391" t="s">
        <v>3493</v>
      </c>
      <c r="D391" t="s">
        <v>3494</v>
      </c>
      <c r="E391" t="s">
        <v>629</v>
      </c>
      <c r="F391" t="s">
        <v>635</v>
      </c>
      <c r="G391" t="s">
        <v>1647</v>
      </c>
      <c r="N391">
        <v>24</v>
      </c>
      <c r="O391">
        <v>24</v>
      </c>
      <c r="P391">
        <v>36</v>
      </c>
      <c r="Q391">
        <v>24</v>
      </c>
      <c r="R391">
        <v>84</v>
      </c>
      <c r="S391">
        <v>24</v>
      </c>
      <c r="T391">
        <v>72</v>
      </c>
      <c r="U391">
        <v>24</v>
      </c>
      <c r="V391">
        <v>72</v>
      </c>
      <c r="W391">
        <v>36</v>
      </c>
      <c r="X391">
        <v>132</v>
      </c>
      <c r="Y391">
        <v>60</v>
      </c>
      <c r="Z391">
        <v>192</v>
      </c>
      <c r="AA391">
        <v>84</v>
      </c>
      <c r="AB391">
        <v>132</v>
      </c>
      <c r="AC391">
        <v>36</v>
      </c>
      <c r="AD391">
        <v>96</v>
      </c>
      <c r="AF391">
        <v>48</v>
      </c>
      <c r="CH391" t="str">
        <f t="shared" si="6"/>
        <v>D-0493</v>
      </c>
      <c r="CI391" s="1" t="s">
        <v>102</v>
      </c>
    </row>
    <row r="392" spans="1:87">
      <c r="A392" t="s">
        <v>3557</v>
      </c>
      <c r="B392">
        <v>600</v>
      </c>
      <c r="C392" t="s">
        <v>3493</v>
      </c>
      <c r="D392" t="s">
        <v>3494</v>
      </c>
      <c r="E392" t="s">
        <v>629</v>
      </c>
      <c r="F392" t="s">
        <v>635</v>
      </c>
      <c r="G392" t="s">
        <v>1647</v>
      </c>
      <c r="V392">
        <v>54</v>
      </c>
      <c r="W392">
        <v>54</v>
      </c>
      <c r="X392">
        <v>78</v>
      </c>
      <c r="Y392">
        <v>78</v>
      </c>
      <c r="Z392">
        <v>78</v>
      </c>
      <c r="AA392">
        <v>78</v>
      </c>
      <c r="AB392">
        <v>60</v>
      </c>
      <c r="AC392">
        <v>36</v>
      </c>
      <c r="AD392">
        <v>48</v>
      </c>
      <c r="AF392">
        <v>36</v>
      </c>
      <c r="CH392" t="str">
        <f t="shared" si="6"/>
        <v>D-0493</v>
      </c>
      <c r="CI392" s="1" t="s">
        <v>102</v>
      </c>
    </row>
    <row r="393" spans="1:87">
      <c r="A393" t="s">
        <v>3554</v>
      </c>
      <c r="B393">
        <v>324</v>
      </c>
      <c r="C393" t="s">
        <v>3493</v>
      </c>
      <c r="D393" t="s">
        <v>3494</v>
      </c>
      <c r="E393" t="s">
        <v>629</v>
      </c>
      <c r="F393" t="s">
        <v>635</v>
      </c>
      <c r="G393" t="s">
        <v>1647</v>
      </c>
      <c r="N393">
        <v>6</v>
      </c>
      <c r="O393">
        <v>12</v>
      </c>
      <c r="P393">
        <v>12</v>
      </c>
      <c r="Q393">
        <v>24</v>
      </c>
      <c r="R393">
        <v>12</v>
      </c>
      <c r="S393">
        <v>24</v>
      </c>
      <c r="T393">
        <v>12</v>
      </c>
      <c r="U393">
        <v>24</v>
      </c>
      <c r="V393">
        <v>24</v>
      </c>
      <c r="W393">
        <v>24</v>
      </c>
      <c r="X393">
        <v>24</v>
      </c>
      <c r="Y393">
        <v>24</v>
      </c>
      <c r="Z393">
        <v>24</v>
      </c>
      <c r="AA393">
        <v>24</v>
      </c>
      <c r="AB393">
        <v>12</v>
      </c>
      <c r="AC393">
        <v>24</v>
      </c>
      <c r="AD393">
        <v>12</v>
      </c>
      <c r="AF393">
        <v>6</v>
      </c>
      <c r="CH393" t="str">
        <f t="shared" si="6"/>
        <v>D-0493</v>
      </c>
      <c r="CI393" s="1" t="s">
        <v>102</v>
      </c>
    </row>
    <row r="394" spans="1:87">
      <c r="A394" t="s">
        <v>3552</v>
      </c>
      <c r="B394">
        <v>1788</v>
      </c>
      <c r="C394" t="s">
        <v>3493</v>
      </c>
      <c r="D394" t="s">
        <v>3494</v>
      </c>
      <c r="E394" t="s">
        <v>629</v>
      </c>
      <c r="F394" t="s">
        <v>635</v>
      </c>
      <c r="G394" t="s">
        <v>1647</v>
      </c>
      <c r="L394">
        <v>12</v>
      </c>
      <c r="M394">
        <v>12</v>
      </c>
      <c r="N394">
        <v>24</v>
      </c>
      <c r="O394">
        <v>24</v>
      </c>
      <c r="P394">
        <v>48</v>
      </c>
      <c r="Q394">
        <v>48</v>
      </c>
      <c r="R394">
        <v>60</v>
      </c>
      <c r="S394">
        <v>48</v>
      </c>
      <c r="T394">
        <v>60</v>
      </c>
      <c r="U394">
        <v>108</v>
      </c>
      <c r="V394">
        <v>192</v>
      </c>
      <c r="W394">
        <v>144</v>
      </c>
      <c r="X394">
        <v>240</v>
      </c>
      <c r="Y394">
        <v>144</v>
      </c>
      <c r="Z394">
        <v>180</v>
      </c>
      <c r="AA394">
        <v>120</v>
      </c>
      <c r="AB394">
        <v>132</v>
      </c>
      <c r="AD394">
        <v>96</v>
      </c>
      <c r="AF394">
        <v>96</v>
      </c>
      <c r="CH394" t="str">
        <f t="shared" si="6"/>
        <v>D-0493</v>
      </c>
      <c r="CI394" s="1" t="s">
        <v>102</v>
      </c>
    </row>
    <row r="395" spans="1:87">
      <c r="A395" t="s">
        <v>3663</v>
      </c>
      <c r="B395">
        <v>270</v>
      </c>
      <c r="C395" t="s">
        <v>3493</v>
      </c>
      <c r="D395" t="s">
        <v>3494</v>
      </c>
      <c r="E395" t="s">
        <v>629</v>
      </c>
      <c r="F395" t="s">
        <v>635</v>
      </c>
      <c r="G395" t="s">
        <v>1647</v>
      </c>
      <c r="P395">
        <v>30</v>
      </c>
      <c r="Q395">
        <v>60</v>
      </c>
      <c r="R395">
        <v>60</v>
      </c>
      <c r="S395">
        <v>60</v>
      </c>
      <c r="T395">
        <v>30</v>
      </c>
      <c r="U395">
        <v>30</v>
      </c>
      <c r="CH395" t="str">
        <f t="shared" si="6"/>
        <v>D-0493</v>
      </c>
      <c r="CI395" s="1" t="s">
        <v>102</v>
      </c>
    </row>
    <row r="396" spans="1:87">
      <c r="A396" t="s">
        <v>3662</v>
      </c>
      <c r="B396">
        <v>180</v>
      </c>
      <c r="C396" t="s">
        <v>3493</v>
      </c>
      <c r="D396" t="s">
        <v>3494</v>
      </c>
      <c r="E396" t="s">
        <v>629</v>
      </c>
      <c r="F396" t="s">
        <v>635</v>
      </c>
      <c r="G396" t="s">
        <v>1647</v>
      </c>
      <c r="P396">
        <v>20</v>
      </c>
      <c r="Q396">
        <v>20</v>
      </c>
      <c r="R396">
        <v>20</v>
      </c>
      <c r="S396">
        <v>20</v>
      </c>
      <c r="T396">
        <v>20</v>
      </c>
      <c r="U396">
        <v>20</v>
      </c>
      <c r="V396">
        <v>20</v>
      </c>
      <c r="W396">
        <v>20</v>
      </c>
      <c r="X396">
        <v>20</v>
      </c>
      <c r="CH396" t="str">
        <f t="shared" si="6"/>
        <v>D-0493</v>
      </c>
      <c r="CI396" s="1" t="s">
        <v>102</v>
      </c>
    </row>
    <row r="397" spans="1:87">
      <c r="A397" t="s">
        <v>3670</v>
      </c>
      <c r="B397">
        <v>2508</v>
      </c>
      <c r="C397" t="s">
        <v>3498</v>
      </c>
      <c r="D397" t="s">
        <v>3494</v>
      </c>
      <c r="E397" t="s">
        <v>629</v>
      </c>
      <c r="F397" t="s">
        <v>635</v>
      </c>
      <c r="G397" t="s">
        <v>1647</v>
      </c>
      <c r="L397">
        <v>36</v>
      </c>
      <c r="M397">
        <v>48</v>
      </c>
      <c r="N397">
        <v>60</v>
      </c>
      <c r="O397">
        <v>84</v>
      </c>
      <c r="P397">
        <v>132</v>
      </c>
      <c r="Q397">
        <v>108</v>
      </c>
      <c r="R397">
        <v>156</v>
      </c>
      <c r="S397">
        <v>132</v>
      </c>
      <c r="T397">
        <v>144</v>
      </c>
      <c r="U397">
        <v>96</v>
      </c>
      <c r="V397">
        <v>120</v>
      </c>
      <c r="W397">
        <v>132</v>
      </c>
      <c r="X397">
        <v>108</v>
      </c>
      <c r="Y397">
        <v>120</v>
      </c>
      <c r="Z397">
        <v>204</v>
      </c>
      <c r="AA397">
        <v>204</v>
      </c>
      <c r="AB397">
        <v>192</v>
      </c>
      <c r="AC397">
        <v>132</v>
      </c>
      <c r="AD397">
        <v>216</v>
      </c>
      <c r="AF397">
        <v>84</v>
      </c>
      <c r="CH397" t="str">
        <f t="shared" si="6"/>
        <v>D-0493</v>
      </c>
      <c r="CI397" s="1" t="s">
        <v>102</v>
      </c>
    </row>
    <row r="398" spans="1:87">
      <c r="A398" t="s">
        <v>3665</v>
      </c>
      <c r="B398">
        <v>26</v>
      </c>
      <c r="C398" t="s">
        <v>3493</v>
      </c>
      <c r="D398" t="s">
        <v>3494</v>
      </c>
      <c r="E398" t="s">
        <v>629</v>
      </c>
      <c r="F398" t="s">
        <v>635</v>
      </c>
      <c r="G398" t="s">
        <v>1647</v>
      </c>
      <c r="O398">
        <v>1</v>
      </c>
      <c r="Q398">
        <v>1</v>
      </c>
      <c r="R398">
        <v>1</v>
      </c>
      <c r="T398">
        <v>2</v>
      </c>
      <c r="U398">
        <v>3</v>
      </c>
      <c r="W398">
        <v>4</v>
      </c>
      <c r="X398">
        <v>1</v>
      </c>
      <c r="Y398">
        <v>4</v>
      </c>
      <c r="Z398">
        <v>4</v>
      </c>
      <c r="AA398">
        <v>1</v>
      </c>
      <c r="AB398">
        <v>3</v>
      </c>
      <c r="AC398">
        <v>1</v>
      </c>
      <c r="CH398" t="str">
        <f t="shared" si="6"/>
        <v>D-0493</v>
      </c>
      <c r="CI398" s="1" t="s">
        <v>102</v>
      </c>
    </row>
    <row r="399" spans="1:87">
      <c r="A399" t="s">
        <v>3668</v>
      </c>
      <c r="B399">
        <v>1488</v>
      </c>
      <c r="C399" t="s">
        <v>3498</v>
      </c>
      <c r="D399" t="s">
        <v>3494</v>
      </c>
      <c r="E399" t="s">
        <v>629</v>
      </c>
      <c r="F399" t="s">
        <v>635</v>
      </c>
      <c r="G399" t="s">
        <v>1647</v>
      </c>
      <c r="L399">
        <v>12</v>
      </c>
      <c r="M399">
        <v>12</v>
      </c>
      <c r="N399">
        <v>12</v>
      </c>
      <c r="O399">
        <v>12</v>
      </c>
      <c r="P399">
        <v>12</v>
      </c>
      <c r="Q399">
        <v>12</v>
      </c>
      <c r="R399">
        <v>24</v>
      </c>
      <c r="S399">
        <v>12</v>
      </c>
      <c r="T399">
        <v>24</v>
      </c>
      <c r="U399">
        <v>72</v>
      </c>
      <c r="V399">
        <v>168</v>
      </c>
      <c r="W399">
        <v>132</v>
      </c>
      <c r="X399">
        <v>216</v>
      </c>
      <c r="Y399">
        <v>144</v>
      </c>
      <c r="Z399">
        <v>168</v>
      </c>
      <c r="AA399">
        <v>132</v>
      </c>
      <c r="AB399">
        <v>120</v>
      </c>
      <c r="AC399">
        <v>12</v>
      </c>
      <c r="AD399">
        <v>96</v>
      </c>
      <c r="AF399">
        <v>96</v>
      </c>
      <c r="CH399" t="str">
        <f t="shared" si="6"/>
        <v>D-0493</v>
      </c>
      <c r="CI399" s="1" t="s">
        <v>102</v>
      </c>
    </row>
    <row r="400" spans="1:87">
      <c r="A400" t="s">
        <v>3669</v>
      </c>
      <c r="B400">
        <v>180</v>
      </c>
      <c r="C400" t="s">
        <v>3498</v>
      </c>
      <c r="D400" t="s">
        <v>3494</v>
      </c>
      <c r="E400" t="s">
        <v>629</v>
      </c>
      <c r="F400" t="s">
        <v>635</v>
      </c>
      <c r="G400" t="s">
        <v>1647</v>
      </c>
      <c r="P400">
        <v>12</v>
      </c>
      <c r="Q400">
        <v>12</v>
      </c>
      <c r="R400">
        <v>12</v>
      </c>
      <c r="S400">
        <v>12</v>
      </c>
      <c r="T400">
        <v>12</v>
      </c>
      <c r="U400">
        <v>12</v>
      </c>
      <c r="V400">
        <v>12</v>
      </c>
      <c r="W400">
        <v>12</v>
      </c>
      <c r="X400">
        <v>12</v>
      </c>
      <c r="Y400">
        <v>12</v>
      </c>
      <c r="Z400">
        <v>12</v>
      </c>
      <c r="AA400">
        <v>12</v>
      </c>
      <c r="AB400">
        <v>12</v>
      </c>
      <c r="AC400">
        <v>12</v>
      </c>
      <c r="AD400">
        <v>12</v>
      </c>
      <c r="CH400" t="str">
        <f t="shared" si="6"/>
        <v>D-0493</v>
      </c>
      <c r="CI400" s="1" t="s">
        <v>102</v>
      </c>
    </row>
    <row r="401" spans="1:87">
      <c r="A401" t="s">
        <v>3560</v>
      </c>
      <c r="B401">
        <v>180</v>
      </c>
      <c r="C401" t="s">
        <v>3493</v>
      </c>
      <c r="D401" t="s">
        <v>3494</v>
      </c>
      <c r="E401" t="s">
        <v>629</v>
      </c>
      <c r="F401" t="s">
        <v>635</v>
      </c>
      <c r="G401" t="s">
        <v>1647</v>
      </c>
      <c r="O401">
        <v>20</v>
      </c>
      <c r="P401">
        <v>20</v>
      </c>
      <c r="Q401">
        <v>20</v>
      </c>
      <c r="R401">
        <v>20</v>
      </c>
      <c r="S401">
        <v>20</v>
      </c>
      <c r="T401">
        <v>20</v>
      </c>
      <c r="U401">
        <v>20</v>
      </c>
      <c r="V401">
        <v>20</v>
      </c>
      <c r="W401">
        <v>20</v>
      </c>
      <c r="CH401" t="str">
        <f t="shared" si="6"/>
        <v>D-0493</v>
      </c>
      <c r="CI401" s="1" t="s">
        <v>102</v>
      </c>
    </row>
    <row r="402" spans="1:87">
      <c r="A402" t="s">
        <v>3664</v>
      </c>
      <c r="B402">
        <v>91</v>
      </c>
      <c r="C402" t="s">
        <v>3493</v>
      </c>
      <c r="D402" t="s">
        <v>3494</v>
      </c>
      <c r="E402" t="s">
        <v>629</v>
      </c>
      <c r="F402" t="s">
        <v>635</v>
      </c>
      <c r="G402" t="s">
        <v>1647</v>
      </c>
      <c r="O402">
        <v>5</v>
      </c>
      <c r="P402">
        <v>4</v>
      </c>
      <c r="Q402">
        <v>5</v>
      </c>
      <c r="R402">
        <v>5</v>
      </c>
      <c r="S402">
        <v>4</v>
      </c>
      <c r="T402">
        <v>6</v>
      </c>
      <c r="U402">
        <v>7</v>
      </c>
      <c r="V402">
        <v>4</v>
      </c>
      <c r="W402">
        <v>8</v>
      </c>
      <c r="X402">
        <v>5</v>
      </c>
      <c r="Y402">
        <v>9</v>
      </c>
      <c r="Z402">
        <v>8</v>
      </c>
      <c r="AA402">
        <v>5</v>
      </c>
      <c r="AB402">
        <v>7</v>
      </c>
      <c r="AC402">
        <v>5</v>
      </c>
      <c r="AD402">
        <v>4</v>
      </c>
      <c r="CH402" t="str">
        <f t="shared" si="6"/>
        <v>D-0493</v>
      </c>
      <c r="CI402" s="1" t="s">
        <v>102</v>
      </c>
    </row>
    <row r="403" spans="1:87">
      <c r="A403" t="s">
        <v>3673</v>
      </c>
      <c r="B403">
        <v>852</v>
      </c>
      <c r="C403" t="s">
        <v>3498</v>
      </c>
      <c r="D403" t="s">
        <v>3494</v>
      </c>
      <c r="E403" t="s">
        <v>629</v>
      </c>
      <c r="F403" t="s">
        <v>635</v>
      </c>
      <c r="G403" t="s">
        <v>1647</v>
      </c>
      <c r="P403">
        <v>24</v>
      </c>
      <c r="Q403">
        <v>24</v>
      </c>
      <c r="R403">
        <v>48</v>
      </c>
      <c r="S403">
        <v>24</v>
      </c>
      <c r="T403">
        <v>84</v>
      </c>
      <c r="U403">
        <v>24</v>
      </c>
      <c r="V403">
        <v>84</v>
      </c>
      <c r="W403">
        <v>24</v>
      </c>
      <c r="X403">
        <v>84</v>
      </c>
      <c r="Y403">
        <v>84</v>
      </c>
      <c r="Z403">
        <v>84</v>
      </c>
      <c r="AA403">
        <v>84</v>
      </c>
      <c r="AB403">
        <v>84</v>
      </c>
      <c r="AC403">
        <v>24</v>
      </c>
      <c r="AD403">
        <v>48</v>
      </c>
      <c r="AF403">
        <v>24</v>
      </c>
      <c r="CH403" t="str">
        <f t="shared" si="6"/>
        <v>D-0493</v>
      </c>
      <c r="CI403" s="1" t="s">
        <v>102</v>
      </c>
    </row>
    <row r="404" spans="1:87">
      <c r="A404" t="s">
        <v>3674</v>
      </c>
      <c r="B404">
        <v>600</v>
      </c>
      <c r="C404" t="s">
        <v>3498</v>
      </c>
      <c r="D404" t="s">
        <v>3494</v>
      </c>
      <c r="E404" t="s">
        <v>629</v>
      </c>
      <c r="F404" t="s">
        <v>635</v>
      </c>
      <c r="G404" t="s">
        <v>1647</v>
      </c>
      <c r="N404">
        <v>12</v>
      </c>
      <c r="O404">
        <v>12</v>
      </c>
      <c r="P404">
        <v>24</v>
      </c>
      <c r="Q404">
        <v>12</v>
      </c>
      <c r="R404">
        <v>36</v>
      </c>
      <c r="S404">
        <v>12</v>
      </c>
      <c r="T404">
        <v>36</v>
      </c>
      <c r="U404">
        <v>12</v>
      </c>
      <c r="V404">
        <v>36</v>
      </c>
      <c r="W404">
        <v>12</v>
      </c>
      <c r="X404">
        <v>72</v>
      </c>
      <c r="Y404">
        <v>36</v>
      </c>
      <c r="Z404">
        <v>96</v>
      </c>
      <c r="AA404">
        <v>48</v>
      </c>
      <c r="AB404">
        <v>72</v>
      </c>
      <c r="AC404">
        <v>12</v>
      </c>
      <c r="AD404">
        <v>48</v>
      </c>
      <c r="AF404">
        <v>12</v>
      </c>
      <c r="CH404" t="str">
        <f t="shared" si="6"/>
        <v>D-0493</v>
      </c>
      <c r="CI404" s="1" t="s">
        <v>102</v>
      </c>
    </row>
    <row r="405" spans="1:87">
      <c r="A405" t="s">
        <v>3672</v>
      </c>
      <c r="B405">
        <v>300</v>
      </c>
      <c r="C405" t="s">
        <v>3498</v>
      </c>
      <c r="D405" t="s">
        <v>3494</v>
      </c>
      <c r="E405" t="s">
        <v>629</v>
      </c>
      <c r="F405" t="s">
        <v>635</v>
      </c>
      <c r="G405" t="s">
        <v>1647</v>
      </c>
      <c r="V405">
        <v>24</v>
      </c>
      <c r="W405">
        <v>24</v>
      </c>
      <c r="X405">
        <v>42</v>
      </c>
      <c r="Y405">
        <v>42</v>
      </c>
      <c r="Z405">
        <v>42</v>
      </c>
      <c r="AA405">
        <v>36</v>
      </c>
      <c r="AB405">
        <v>30</v>
      </c>
      <c r="AC405">
        <v>18</v>
      </c>
      <c r="AD405">
        <v>24</v>
      </c>
      <c r="AF405">
        <v>18</v>
      </c>
      <c r="CH405" t="str">
        <f t="shared" si="6"/>
        <v>D-0493</v>
      </c>
      <c r="CI405" s="1" t="s">
        <v>102</v>
      </c>
    </row>
    <row r="406" spans="1:87">
      <c r="A406" t="s">
        <v>3671</v>
      </c>
      <c r="B406">
        <v>588</v>
      </c>
      <c r="C406" t="s">
        <v>3498</v>
      </c>
      <c r="D406" t="s">
        <v>3494</v>
      </c>
      <c r="E406" t="s">
        <v>629</v>
      </c>
      <c r="F406" t="s">
        <v>635</v>
      </c>
      <c r="G406" t="s">
        <v>1647</v>
      </c>
      <c r="N406">
        <v>12</v>
      </c>
      <c r="P406">
        <v>12</v>
      </c>
      <c r="Q406">
        <v>12</v>
      </c>
      <c r="R406">
        <v>12</v>
      </c>
      <c r="S406">
        <v>12</v>
      </c>
      <c r="T406">
        <v>12</v>
      </c>
      <c r="U406">
        <v>12</v>
      </c>
      <c r="V406">
        <v>48</v>
      </c>
      <c r="W406">
        <v>48</v>
      </c>
      <c r="X406">
        <v>60</v>
      </c>
      <c r="Y406">
        <v>72</v>
      </c>
      <c r="Z406">
        <v>60</v>
      </c>
      <c r="AA406">
        <v>60</v>
      </c>
      <c r="AB406">
        <v>48</v>
      </c>
      <c r="AC406">
        <v>24</v>
      </c>
      <c r="AD406">
        <v>48</v>
      </c>
      <c r="AF406">
        <v>36</v>
      </c>
      <c r="CH406" t="str">
        <f t="shared" si="6"/>
        <v>D-0493</v>
      </c>
      <c r="CI406" s="1" t="s">
        <v>102</v>
      </c>
    </row>
    <row r="407" spans="1:87">
      <c r="A407" t="s">
        <v>3687</v>
      </c>
      <c r="B407">
        <v>321</v>
      </c>
      <c r="C407" t="s">
        <v>3498</v>
      </c>
      <c r="D407" t="s">
        <v>3494</v>
      </c>
      <c r="E407" t="s">
        <v>629</v>
      </c>
      <c r="F407" t="s">
        <v>635</v>
      </c>
      <c r="G407" t="s">
        <v>1647</v>
      </c>
      <c r="T407">
        <v>44</v>
      </c>
      <c r="V407">
        <v>89</v>
      </c>
      <c r="X407">
        <v>89</v>
      </c>
      <c r="Z407">
        <v>67</v>
      </c>
      <c r="AB407">
        <v>32</v>
      </c>
      <c r="CH407" t="str">
        <f t="shared" si="6"/>
        <v>D-0493</v>
      </c>
      <c r="CI407" s="1" t="s">
        <v>102</v>
      </c>
    </row>
    <row r="408" spans="1:87">
      <c r="A408" t="s">
        <v>3681</v>
      </c>
      <c r="B408">
        <v>1830</v>
      </c>
      <c r="C408" t="s">
        <v>3498</v>
      </c>
      <c r="D408" t="s">
        <v>3494</v>
      </c>
      <c r="E408" t="s">
        <v>629</v>
      </c>
      <c r="F408" t="s">
        <v>635</v>
      </c>
      <c r="G408" t="s">
        <v>1647</v>
      </c>
      <c r="L408">
        <v>18</v>
      </c>
      <c r="N408">
        <v>60</v>
      </c>
      <c r="P408">
        <v>150</v>
      </c>
      <c r="R408">
        <v>228</v>
      </c>
      <c r="T408">
        <v>318</v>
      </c>
      <c r="V408">
        <v>306</v>
      </c>
      <c r="X408">
        <v>246</v>
      </c>
      <c r="Z408">
        <v>198</v>
      </c>
      <c r="AB408">
        <v>180</v>
      </c>
      <c r="AD408">
        <v>108</v>
      </c>
      <c r="AF408">
        <v>18</v>
      </c>
      <c r="CH408" t="str">
        <f t="shared" si="6"/>
        <v>D-0493</v>
      </c>
      <c r="CI408" s="1" t="s">
        <v>102</v>
      </c>
    </row>
    <row r="409" spans="1:87">
      <c r="A409" t="s">
        <v>3675</v>
      </c>
      <c r="B409">
        <v>2454</v>
      </c>
      <c r="C409" t="s">
        <v>3498</v>
      </c>
      <c r="D409" t="s">
        <v>3494</v>
      </c>
      <c r="E409" t="s">
        <v>629</v>
      </c>
      <c r="F409" t="s">
        <v>635</v>
      </c>
      <c r="G409" t="s">
        <v>1647</v>
      </c>
      <c r="L409">
        <v>12</v>
      </c>
      <c r="M409">
        <v>25</v>
      </c>
      <c r="N409">
        <v>12</v>
      </c>
      <c r="O409">
        <v>29</v>
      </c>
      <c r="P409">
        <v>26</v>
      </c>
      <c r="Q409">
        <v>38</v>
      </c>
      <c r="R409">
        <v>116</v>
      </c>
      <c r="S409">
        <v>46</v>
      </c>
      <c r="T409">
        <v>94</v>
      </c>
      <c r="U409">
        <v>81</v>
      </c>
      <c r="V409">
        <v>198</v>
      </c>
      <c r="W409">
        <v>117</v>
      </c>
      <c r="X409">
        <v>296</v>
      </c>
      <c r="Y409">
        <v>216</v>
      </c>
      <c r="Z409">
        <v>370</v>
      </c>
      <c r="AA409">
        <v>163</v>
      </c>
      <c r="AB409">
        <v>326</v>
      </c>
      <c r="AC409">
        <v>72</v>
      </c>
      <c r="AD409">
        <v>138</v>
      </c>
      <c r="AF409">
        <v>79</v>
      </c>
      <c r="CH409" t="str">
        <f t="shared" si="6"/>
        <v>D-0493</v>
      </c>
      <c r="CI409" s="1" t="s">
        <v>102</v>
      </c>
    </row>
    <row r="410" spans="1:87">
      <c r="A410" t="s">
        <v>3698</v>
      </c>
      <c r="B410">
        <v>26</v>
      </c>
      <c r="C410" t="s">
        <v>3498</v>
      </c>
      <c r="D410" t="s">
        <v>3494</v>
      </c>
      <c r="E410" t="s">
        <v>629</v>
      </c>
      <c r="F410" t="s">
        <v>635</v>
      </c>
      <c r="G410" t="s">
        <v>1647</v>
      </c>
      <c r="O410">
        <v>1</v>
      </c>
      <c r="Q410">
        <v>1</v>
      </c>
      <c r="R410">
        <v>1</v>
      </c>
      <c r="T410">
        <v>2</v>
      </c>
      <c r="U410">
        <v>3</v>
      </c>
      <c r="W410">
        <v>4</v>
      </c>
      <c r="X410">
        <v>1</v>
      </c>
      <c r="Y410">
        <v>4</v>
      </c>
      <c r="Z410">
        <v>4</v>
      </c>
      <c r="AA410">
        <v>1</v>
      </c>
      <c r="AB410">
        <v>3</v>
      </c>
      <c r="AC410">
        <v>1</v>
      </c>
      <c r="CH410" t="str">
        <f t="shared" si="6"/>
        <v>D-0493</v>
      </c>
      <c r="CI410" s="1" t="s">
        <v>102</v>
      </c>
    </row>
    <row r="411" spans="1:87">
      <c r="A411" t="s">
        <v>3693</v>
      </c>
      <c r="B411">
        <v>24</v>
      </c>
      <c r="C411" t="s">
        <v>3498</v>
      </c>
      <c r="D411" t="s">
        <v>3494</v>
      </c>
      <c r="E411" t="s">
        <v>629</v>
      </c>
      <c r="F411" t="s">
        <v>635</v>
      </c>
      <c r="G411" t="s">
        <v>1647</v>
      </c>
      <c r="T411">
        <v>3</v>
      </c>
      <c r="V411">
        <v>3</v>
      </c>
      <c r="W411">
        <v>6</v>
      </c>
      <c r="X411">
        <v>3</v>
      </c>
      <c r="Y411">
        <v>6</v>
      </c>
      <c r="Z411">
        <v>3</v>
      </c>
      <c r="CH411" t="str">
        <f t="shared" si="6"/>
        <v>D-0493</v>
      </c>
      <c r="CI411" s="1" t="s">
        <v>102</v>
      </c>
    </row>
    <row r="412" spans="1:87">
      <c r="A412" t="s">
        <v>3694</v>
      </c>
      <c r="B412">
        <v>162</v>
      </c>
      <c r="C412" t="s">
        <v>3498</v>
      </c>
      <c r="D412" t="s">
        <v>3494</v>
      </c>
      <c r="E412" t="s">
        <v>629</v>
      </c>
      <c r="F412" t="s">
        <v>635</v>
      </c>
      <c r="G412" t="s">
        <v>1647</v>
      </c>
      <c r="T412">
        <v>26</v>
      </c>
      <c r="V412">
        <v>40</v>
      </c>
      <c r="X412">
        <v>40</v>
      </c>
      <c r="Z412">
        <v>28</v>
      </c>
      <c r="AB412">
        <v>16</v>
      </c>
      <c r="AD412">
        <v>12</v>
      </c>
      <c r="CH412" t="str">
        <f t="shared" si="6"/>
        <v>D-0493</v>
      </c>
      <c r="CI412" s="1" t="s">
        <v>102</v>
      </c>
    </row>
    <row r="413" spans="1:87">
      <c r="A413" t="s">
        <v>3690</v>
      </c>
      <c r="B413">
        <v>24</v>
      </c>
      <c r="C413" t="s">
        <v>3498</v>
      </c>
      <c r="D413" t="s">
        <v>3494</v>
      </c>
      <c r="E413" t="s">
        <v>629</v>
      </c>
      <c r="F413" t="s">
        <v>635</v>
      </c>
      <c r="G413" t="s">
        <v>1647</v>
      </c>
      <c r="S413">
        <v>2</v>
      </c>
      <c r="T413">
        <v>4</v>
      </c>
      <c r="U413">
        <v>4</v>
      </c>
      <c r="V413">
        <v>4</v>
      </c>
      <c r="W413">
        <v>4</v>
      </c>
      <c r="X413">
        <v>4</v>
      </c>
      <c r="Y413">
        <v>2</v>
      </c>
      <c r="CH413" t="str">
        <f t="shared" si="6"/>
        <v>D-0493</v>
      </c>
      <c r="CI413" s="1" t="s">
        <v>102</v>
      </c>
    </row>
    <row r="414" spans="1:87">
      <c r="A414" t="s">
        <v>3689</v>
      </c>
      <c r="B414">
        <v>12</v>
      </c>
      <c r="C414" t="s">
        <v>3498</v>
      </c>
      <c r="D414" t="s">
        <v>3494</v>
      </c>
      <c r="E414" t="s">
        <v>629</v>
      </c>
      <c r="F414" t="s">
        <v>635</v>
      </c>
      <c r="G414" t="s">
        <v>1647</v>
      </c>
      <c r="T414">
        <v>1</v>
      </c>
      <c r="U414">
        <v>1</v>
      </c>
      <c r="V414">
        <v>1</v>
      </c>
      <c r="W414">
        <v>2</v>
      </c>
      <c r="X414">
        <v>2</v>
      </c>
      <c r="Y414">
        <v>2</v>
      </c>
      <c r="Z414">
        <v>1</v>
      </c>
      <c r="AA414">
        <v>1</v>
      </c>
      <c r="AB414">
        <v>1</v>
      </c>
      <c r="CH414" t="str">
        <f t="shared" si="6"/>
        <v>D-0493</v>
      </c>
      <c r="CI414" s="1" t="s">
        <v>102</v>
      </c>
    </row>
    <row r="415" spans="1:87">
      <c r="A415" t="s">
        <v>3679</v>
      </c>
      <c r="B415">
        <v>314</v>
      </c>
      <c r="C415" t="s">
        <v>3498</v>
      </c>
      <c r="D415" t="s">
        <v>3494</v>
      </c>
      <c r="E415" t="s">
        <v>629</v>
      </c>
      <c r="F415" t="s">
        <v>635</v>
      </c>
      <c r="G415" t="s">
        <v>1647</v>
      </c>
      <c r="N415">
        <v>6</v>
      </c>
      <c r="O415">
        <v>9</v>
      </c>
      <c r="P415">
        <v>11</v>
      </c>
      <c r="Q415">
        <v>15</v>
      </c>
      <c r="R415">
        <v>14</v>
      </c>
      <c r="S415">
        <v>15</v>
      </c>
      <c r="T415">
        <v>18</v>
      </c>
      <c r="U415">
        <v>21</v>
      </c>
      <c r="V415">
        <v>31</v>
      </c>
      <c r="W415">
        <v>38</v>
      </c>
      <c r="X415">
        <v>39</v>
      </c>
      <c r="Y415">
        <v>39</v>
      </c>
      <c r="Z415">
        <v>28</v>
      </c>
      <c r="AA415">
        <v>20</v>
      </c>
      <c r="AB415">
        <v>10</v>
      </c>
      <c r="CH415" t="str">
        <f t="shared" si="6"/>
        <v>D-0493</v>
      </c>
      <c r="CI415" s="1" t="s">
        <v>102</v>
      </c>
    </row>
    <row r="416" spans="1:87">
      <c r="A416" t="s">
        <v>3678</v>
      </c>
      <c r="B416">
        <v>89</v>
      </c>
      <c r="C416" t="s">
        <v>3498</v>
      </c>
      <c r="D416" t="s">
        <v>3494</v>
      </c>
      <c r="E416" t="s">
        <v>629</v>
      </c>
      <c r="F416" t="s">
        <v>635</v>
      </c>
      <c r="G416" t="s">
        <v>1647</v>
      </c>
      <c r="M416">
        <v>3</v>
      </c>
      <c r="N416">
        <v>4</v>
      </c>
      <c r="O416">
        <v>6</v>
      </c>
      <c r="P416">
        <v>4</v>
      </c>
      <c r="Q416">
        <v>6</v>
      </c>
      <c r="R416">
        <v>4</v>
      </c>
      <c r="S416">
        <v>4</v>
      </c>
      <c r="T416">
        <v>4</v>
      </c>
      <c r="U416">
        <v>6</v>
      </c>
      <c r="V416">
        <v>8</v>
      </c>
      <c r="W416">
        <v>10</v>
      </c>
      <c r="X416">
        <v>9</v>
      </c>
      <c r="Y416">
        <v>8</v>
      </c>
      <c r="Z416">
        <v>6</v>
      </c>
      <c r="AA416">
        <v>4</v>
      </c>
      <c r="AB416">
        <v>3</v>
      </c>
      <c r="CH416" t="str">
        <f t="shared" si="6"/>
        <v>D-0493</v>
      </c>
      <c r="CI416" s="1" t="s">
        <v>102</v>
      </c>
    </row>
    <row r="417" spans="1:87">
      <c r="A417" t="s">
        <v>3677</v>
      </c>
      <c r="B417">
        <v>511</v>
      </c>
      <c r="C417" t="s">
        <v>3498</v>
      </c>
      <c r="D417" t="s">
        <v>3494</v>
      </c>
      <c r="E417" t="s">
        <v>629</v>
      </c>
      <c r="F417" t="s">
        <v>635</v>
      </c>
      <c r="G417" t="s">
        <v>1647</v>
      </c>
      <c r="L417">
        <v>2</v>
      </c>
      <c r="M417">
        <v>14</v>
      </c>
      <c r="N417">
        <v>10</v>
      </c>
      <c r="O417">
        <v>26</v>
      </c>
      <c r="P417">
        <v>17</v>
      </c>
      <c r="Q417">
        <v>23</v>
      </c>
      <c r="R417">
        <v>17</v>
      </c>
      <c r="S417">
        <v>9</v>
      </c>
      <c r="T417">
        <v>50</v>
      </c>
      <c r="U417">
        <v>65</v>
      </c>
      <c r="V417">
        <v>36</v>
      </c>
      <c r="W417">
        <v>77</v>
      </c>
      <c r="X417">
        <v>48</v>
      </c>
      <c r="Y417">
        <v>65</v>
      </c>
      <c r="Z417">
        <v>31</v>
      </c>
      <c r="AA417">
        <v>12</v>
      </c>
      <c r="AB417">
        <v>9</v>
      </c>
      <c r="CH417" t="str">
        <f t="shared" si="6"/>
        <v>D-0493</v>
      </c>
      <c r="CI417" s="1" t="s">
        <v>102</v>
      </c>
    </row>
    <row r="418" spans="1:87">
      <c r="A418" t="s">
        <v>3697</v>
      </c>
      <c r="B418">
        <v>360</v>
      </c>
      <c r="C418" t="s">
        <v>3498</v>
      </c>
      <c r="D418" t="s">
        <v>3494</v>
      </c>
      <c r="E418" t="s">
        <v>629</v>
      </c>
      <c r="F418" t="s">
        <v>635</v>
      </c>
      <c r="G418" t="s">
        <v>1647</v>
      </c>
      <c r="M418">
        <v>20</v>
      </c>
      <c r="N418">
        <v>20</v>
      </c>
      <c r="O418">
        <v>30</v>
      </c>
      <c r="P418">
        <v>20</v>
      </c>
      <c r="Q418">
        <v>20</v>
      </c>
      <c r="R418">
        <v>10</v>
      </c>
      <c r="S418">
        <v>20</v>
      </c>
      <c r="T418">
        <v>40</v>
      </c>
      <c r="U418">
        <v>40</v>
      </c>
      <c r="V418">
        <v>40</v>
      </c>
      <c r="W418">
        <v>40</v>
      </c>
      <c r="X418">
        <v>20</v>
      </c>
      <c r="Y418">
        <v>20</v>
      </c>
      <c r="Z418">
        <v>20</v>
      </c>
      <c r="CH418" t="str">
        <f t="shared" si="6"/>
        <v>D-0493</v>
      </c>
      <c r="CI418" s="1" t="s">
        <v>102</v>
      </c>
    </row>
    <row r="419" spans="1:87">
      <c r="A419" t="s">
        <v>3683</v>
      </c>
      <c r="B419">
        <v>660</v>
      </c>
      <c r="C419" t="s">
        <v>3498</v>
      </c>
      <c r="D419" t="s">
        <v>3494</v>
      </c>
      <c r="E419" t="s">
        <v>629</v>
      </c>
      <c r="F419" t="s">
        <v>635</v>
      </c>
      <c r="G419" t="s">
        <v>1647</v>
      </c>
      <c r="L419">
        <v>12</v>
      </c>
      <c r="M419">
        <v>36</v>
      </c>
      <c r="N419">
        <v>24</v>
      </c>
      <c r="O419">
        <v>12</v>
      </c>
      <c r="P419">
        <v>48</v>
      </c>
      <c r="Q419">
        <v>48</v>
      </c>
      <c r="R419">
        <v>24</v>
      </c>
      <c r="S419">
        <v>48</v>
      </c>
      <c r="T419">
        <v>48</v>
      </c>
      <c r="U419">
        <v>60</v>
      </c>
      <c r="V419">
        <v>96</v>
      </c>
      <c r="W419">
        <v>84</v>
      </c>
      <c r="X419">
        <v>24</v>
      </c>
      <c r="Y419">
        <v>48</v>
      </c>
      <c r="Z419">
        <v>24</v>
      </c>
      <c r="AA419">
        <v>24</v>
      </c>
      <c r="CH419" t="str">
        <f t="shared" si="6"/>
        <v>D-0493</v>
      </c>
      <c r="CI419" s="1" t="s">
        <v>102</v>
      </c>
    </row>
    <row r="420" spans="1:87">
      <c r="A420" t="s">
        <v>3691</v>
      </c>
      <c r="B420">
        <v>12</v>
      </c>
      <c r="C420" t="s">
        <v>3498</v>
      </c>
      <c r="D420" t="s">
        <v>3494</v>
      </c>
      <c r="E420" t="s">
        <v>629</v>
      </c>
      <c r="F420" t="s">
        <v>635</v>
      </c>
      <c r="G420" t="s">
        <v>1647</v>
      </c>
      <c r="L420">
        <v>1</v>
      </c>
      <c r="M420">
        <v>2</v>
      </c>
      <c r="N420">
        <v>2</v>
      </c>
      <c r="O420">
        <v>2</v>
      </c>
      <c r="P420">
        <v>2</v>
      </c>
      <c r="Q420">
        <v>2</v>
      </c>
      <c r="R420">
        <v>1</v>
      </c>
      <c r="CH420" t="str">
        <f t="shared" si="6"/>
        <v>D-0493</v>
      </c>
      <c r="CI420" s="1" t="s">
        <v>102</v>
      </c>
    </row>
    <row r="421" spans="1:87">
      <c r="A421" t="s">
        <v>3688</v>
      </c>
      <c r="B421">
        <v>48</v>
      </c>
      <c r="C421" t="s">
        <v>3498</v>
      </c>
      <c r="D421" t="s">
        <v>3494</v>
      </c>
      <c r="E421" t="s">
        <v>629</v>
      </c>
      <c r="F421" t="s">
        <v>635</v>
      </c>
      <c r="G421" t="s">
        <v>1647</v>
      </c>
      <c r="V421">
        <v>5</v>
      </c>
      <c r="X421">
        <v>18</v>
      </c>
      <c r="Z421">
        <v>12</v>
      </c>
      <c r="AB421">
        <v>8</v>
      </c>
      <c r="AD421">
        <v>5</v>
      </c>
      <c r="CH421" t="str">
        <f t="shared" si="6"/>
        <v>D-0493</v>
      </c>
      <c r="CI421" s="1" t="s">
        <v>102</v>
      </c>
    </row>
    <row r="422" spans="1:87">
      <c r="A422" t="s">
        <v>3676</v>
      </c>
      <c r="B422">
        <v>273</v>
      </c>
      <c r="C422" t="s">
        <v>3498</v>
      </c>
      <c r="D422" t="s">
        <v>3494</v>
      </c>
      <c r="E422" t="s">
        <v>629</v>
      </c>
      <c r="F422" t="s">
        <v>635</v>
      </c>
      <c r="G422" t="s">
        <v>1647</v>
      </c>
      <c r="L422">
        <v>1</v>
      </c>
      <c r="M422">
        <v>9</v>
      </c>
      <c r="N422">
        <v>6</v>
      </c>
      <c r="O422">
        <v>20</v>
      </c>
      <c r="P422">
        <v>9</v>
      </c>
      <c r="Q422">
        <v>28</v>
      </c>
      <c r="R422">
        <v>28</v>
      </c>
      <c r="S422">
        <v>10</v>
      </c>
      <c r="T422">
        <v>25</v>
      </c>
      <c r="U422">
        <v>20</v>
      </c>
      <c r="V422">
        <v>7</v>
      </c>
      <c r="W422">
        <v>21</v>
      </c>
      <c r="X422">
        <v>9</v>
      </c>
      <c r="Y422">
        <v>27</v>
      </c>
      <c r="Z422">
        <v>25</v>
      </c>
      <c r="AA422">
        <v>6</v>
      </c>
      <c r="AB422">
        <v>11</v>
      </c>
      <c r="AC422">
        <v>7</v>
      </c>
      <c r="AD422">
        <v>3</v>
      </c>
      <c r="AF422">
        <v>1</v>
      </c>
      <c r="CH422" t="str">
        <f t="shared" si="6"/>
        <v>D-0493</v>
      </c>
      <c r="CI422" s="1" t="s">
        <v>102</v>
      </c>
    </row>
    <row r="423" spans="1:87">
      <c r="A423" t="s">
        <v>3585</v>
      </c>
      <c r="B423">
        <v>127</v>
      </c>
      <c r="C423" t="s">
        <v>3493</v>
      </c>
      <c r="D423" t="s">
        <v>3494</v>
      </c>
      <c r="E423" t="s">
        <v>629</v>
      </c>
      <c r="F423" t="s">
        <v>635</v>
      </c>
      <c r="G423" t="s">
        <v>1647</v>
      </c>
      <c r="M423">
        <v>2</v>
      </c>
      <c r="N423">
        <v>3</v>
      </c>
      <c r="O423">
        <v>4</v>
      </c>
      <c r="P423">
        <v>4</v>
      </c>
      <c r="Q423">
        <v>4</v>
      </c>
      <c r="R423">
        <v>3</v>
      </c>
      <c r="S423">
        <v>4</v>
      </c>
      <c r="T423">
        <v>9</v>
      </c>
      <c r="U423">
        <v>11</v>
      </c>
      <c r="V423">
        <v>16</v>
      </c>
      <c r="W423">
        <v>18</v>
      </c>
      <c r="X423">
        <v>16</v>
      </c>
      <c r="Y423">
        <v>14</v>
      </c>
      <c r="Z423">
        <v>11</v>
      </c>
      <c r="AA423">
        <v>5</v>
      </c>
      <c r="AB423">
        <v>3</v>
      </c>
      <c r="CH423" t="str">
        <f t="shared" si="6"/>
        <v>D-0493</v>
      </c>
      <c r="CI423" s="1" t="s">
        <v>102</v>
      </c>
    </row>
    <row r="424" spans="1:87">
      <c r="A424" t="s">
        <v>2679</v>
      </c>
      <c r="B424">
        <v>4845</v>
      </c>
      <c r="C424" t="s">
        <v>2680</v>
      </c>
      <c r="D424" t="s">
        <v>95</v>
      </c>
      <c r="E424" t="s">
        <v>629</v>
      </c>
      <c r="F424" t="s">
        <v>654</v>
      </c>
      <c r="G424" t="s">
        <v>655</v>
      </c>
      <c r="N424">
        <v>81</v>
      </c>
      <c r="O424">
        <v>295</v>
      </c>
      <c r="P424">
        <v>328</v>
      </c>
      <c r="Q424">
        <v>534</v>
      </c>
      <c r="R424">
        <v>407</v>
      </c>
      <c r="S424">
        <v>464</v>
      </c>
      <c r="T424">
        <v>195</v>
      </c>
      <c r="U424">
        <v>306</v>
      </c>
      <c r="V424">
        <v>281</v>
      </c>
      <c r="W424">
        <v>260</v>
      </c>
      <c r="X424">
        <v>415</v>
      </c>
      <c r="Y424">
        <v>314</v>
      </c>
      <c r="Z424">
        <v>348</v>
      </c>
      <c r="AA424">
        <v>115</v>
      </c>
      <c r="AB424">
        <v>236</v>
      </c>
      <c r="AC424">
        <v>131</v>
      </c>
      <c r="AD424">
        <v>76</v>
      </c>
      <c r="AE424">
        <v>28</v>
      </c>
      <c r="AF424">
        <v>25</v>
      </c>
      <c r="AH424">
        <v>6</v>
      </c>
      <c r="CH424" t="str">
        <f t="shared" si="6"/>
        <v>EOR-13</v>
      </c>
      <c r="CI424" s="1" t="s">
        <v>102</v>
      </c>
    </row>
    <row r="425" spans="1:87">
      <c r="A425" t="s">
        <v>2686</v>
      </c>
      <c r="B425">
        <v>48</v>
      </c>
      <c r="C425" t="s">
        <v>2680</v>
      </c>
      <c r="D425" t="s">
        <v>95</v>
      </c>
      <c r="E425" t="s">
        <v>629</v>
      </c>
      <c r="F425" t="s">
        <v>654</v>
      </c>
      <c r="G425" t="s">
        <v>655</v>
      </c>
      <c r="N425">
        <v>1</v>
      </c>
      <c r="O425">
        <v>2</v>
      </c>
      <c r="P425">
        <v>3</v>
      </c>
      <c r="Q425">
        <v>5</v>
      </c>
      <c r="R425">
        <v>4</v>
      </c>
      <c r="S425">
        <v>4</v>
      </c>
      <c r="T425">
        <v>2</v>
      </c>
      <c r="U425">
        <v>4</v>
      </c>
      <c r="V425">
        <v>2</v>
      </c>
      <c r="W425">
        <v>2</v>
      </c>
      <c r="X425">
        <v>2</v>
      </c>
      <c r="Y425">
        <v>2</v>
      </c>
      <c r="Z425">
        <v>2</v>
      </c>
      <c r="AA425">
        <v>2</v>
      </c>
      <c r="AB425">
        <v>2</v>
      </c>
      <c r="AC425">
        <v>2</v>
      </c>
      <c r="AD425">
        <v>2</v>
      </c>
      <c r="AE425">
        <v>1</v>
      </c>
      <c r="AF425">
        <v>2</v>
      </c>
      <c r="AH425">
        <v>2</v>
      </c>
      <c r="CH425" t="str">
        <f t="shared" si="6"/>
        <v>EOR-13</v>
      </c>
      <c r="CI425" s="1" t="s">
        <v>102</v>
      </c>
    </row>
    <row r="426" spans="1:87">
      <c r="A426" t="s">
        <v>2688</v>
      </c>
      <c r="B426">
        <v>24</v>
      </c>
      <c r="C426" t="s">
        <v>2685</v>
      </c>
      <c r="D426" t="s">
        <v>95</v>
      </c>
      <c r="E426" t="s">
        <v>629</v>
      </c>
      <c r="F426" t="s">
        <v>634</v>
      </c>
      <c r="G426" t="s">
        <v>655</v>
      </c>
      <c r="N426">
        <v>1</v>
      </c>
      <c r="O426">
        <v>1</v>
      </c>
      <c r="P426">
        <v>1</v>
      </c>
      <c r="Q426">
        <v>2</v>
      </c>
      <c r="R426">
        <v>2</v>
      </c>
      <c r="S426">
        <v>2</v>
      </c>
      <c r="U426">
        <v>2</v>
      </c>
      <c r="V426">
        <v>2</v>
      </c>
      <c r="W426">
        <v>2</v>
      </c>
      <c r="X426">
        <v>2</v>
      </c>
      <c r="Y426">
        <v>2</v>
      </c>
      <c r="Z426">
        <v>2</v>
      </c>
      <c r="AB426">
        <v>1</v>
      </c>
      <c r="AC426">
        <v>1</v>
      </c>
      <c r="AE426">
        <v>1</v>
      </c>
      <c r="CH426" t="str">
        <f t="shared" si="6"/>
        <v>EOR-13</v>
      </c>
      <c r="CI426" s="1" t="s">
        <v>102</v>
      </c>
    </row>
    <row r="427" spans="1:87">
      <c r="A427" t="s">
        <v>2684</v>
      </c>
      <c r="B427">
        <v>2405</v>
      </c>
      <c r="C427" t="s">
        <v>2685</v>
      </c>
      <c r="D427" t="s">
        <v>95</v>
      </c>
      <c r="E427" t="s">
        <v>629</v>
      </c>
      <c r="F427" t="s">
        <v>634</v>
      </c>
      <c r="G427" t="s">
        <v>655</v>
      </c>
      <c r="N427">
        <v>56</v>
      </c>
      <c r="O427">
        <v>142</v>
      </c>
      <c r="P427">
        <v>192</v>
      </c>
      <c r="Q427">
        <v>230</v>
      </c>
      <c r="R427">
        <v>228</v>
      </c>
      <c r="S427">
        <v>225</v>
      </c>
      <c r="U427">
        <v>126</v>
      </c>
      <c r="V427">
        <v>193</v>
      </c>
      <c r="W427">
        <v>183</v>
      </c>
      <c r="X427">
        <v>205</v>
      </c>
      <c r="Y427">
        <v>199</v>
      </c>
      <c r="Z427">
        <v>208</v>
      </c>
      <c r="AB427">
        <v>105</v>
      </c>
      <c r="AC427">
        <v>67</v>
      </c>
      <c r="AE427">
        <v>46</v>
      </c>
      <c r="CH427" t="str">
        <f t="shared" si="6"/>
        <v>EOR-13</v>
      </c>
      <c r="CI427" s="1" t="s">
        <v>102</v>
      </c>
    </row>
    <row r="428" spans="1:87">
      <c r="A428" t="s">
        <v>3471</v>
      </c>
      <c r="B428">
        <v>5219</v>
      </c>
      <c r="C428" t="s">
        <v>3472</v>
      </c>
      <c r="D428" t="s">
        <v>114</v>
      </c>
      <c r="E428" t="s">
        <v>642</v>
      </c>
      <c r="F428" t="s">
        <v>632</v>
      </c>
      <c r="G428" t="s">
        <v>2283</v>
      </c>
      <c r="Q428">
        <v>164</v>
      </c>
      <c r="R428">
        <v>315</v>
      </c>
      <c r="S428">
        <v>471</v>
      </c>
      <c r="T428">
        <v>725</v>
      </c>
      <c r="U428">
        <v>724</v>
      </c>
      <c r="V428">
        <v>875</v>
      </c>
      <c r="W428">
        <v>783</v>
      </c>
      <c r="X428">
        <v>473</v>
      </c>
      <c r="Y428">
        <v>421</v>
      </c>
      <c r="Z428">
        <v>261</v>
      </c>
      <c r="AA428">
        <v>7</v>
      </c>
      <c r="CH428" t="str">
        <f t="shared" si="6"/>
        <v>D-0002</v>
      </c>
      <c r="CI428" s="1" t="s">
        <v>102</v>
      </c>
    </row>
    <row r="429" spans="1:87">
      <c r="A429" t="s">
        <v>2584</v>
      </c>
      <c r="B429">
        <v>1535</v>
      </c>
      <c r="C429" t="s">
        <v>2585</v>
      </c>
      <c r="D429" t="s">
        <v>200</v>
      </c>
      <c r="E429" t="s">
        <v>629</v>
      </c>
      <c r="F429" t="s">
        <v>632</v>
      </c>
      <c r="G429" t="s">
        <v>2285</v>
      </c>
      <c r="Z429">
        <v>1535</v>
      </c>
      <c r="CH429" t="str">
        <f t="shared" si="6"/>
        <v>D-0212</v>
      </c>
      <c r="CI429" s="1" t="s">
        <v>102</v>
      </c>
    </row>
    <row r="430" spans="1:87">
      <c r="A430" t="s">
        <v>1358</v>
      </c>
      <c r="B430">
        <v>206</v>
      </c>
      <c r="C430" t="s">
        <v>1359</v>
      </c>
      <c r="D430" t="s">
        <v>365</v>
      </c>
      <c r="E430" t="s">
        <v>629</v>
      </c>
      <c r="F430" t="s">
        <v>706</v>
      </c>
      <c r="G430" t="s">
        <v>737</v>
      </c>
      <c r="T430">
        <v>12</v>
      </c>
      <c r="U430">
        <v>12</v>
      </c>
      <c r="V430">
        <v>12</v>
      </c>
      <c r="W430">
        <v>12</v>
      </c>
      <c r="X430">
        <v>20</v>
      </c>
      <c r="Y430">
        <v>18</v>
      </c>
      <c r="Z430">
        <v>18</v>
      </c>
      <c r="AA430">
        <v>18</v>
      </c>
      <c r="AB430">
        <v>18</v>
      </c>
      <c r="AC430">
        <v>18</v>
      </c>
      <c r="AD430">
        <v>18</v>
      </c>
      <c r="AF430">
        <v>18</v>
      </c>
      <c r="AH430">
        <v>12</v>
      </c>
      <c r="CH430" t="str">
        <f t="shared" si="6"/>
        <v>D-0524</v>
      </c>
      <c r="CI430" s="1" t="s">
        <v>102</v>
      </c>
    </row>
    <row r="431" spans="1:87">
      <c r="A431" t="s">
        <v>1083</v>
      </c>
      <c r="B431">
        <v>3494</v>
      </c>
      <c r="C431" t="s">
        <v>705</v>
      </c>
      <c r="D431" t="s">
        <v>365</v>
      </c>
      <c r="E431" t="s">
        <v>642</v>
      </c>
      <c r="F431" t="s">
        <v>706</v>
      </c>
      <c r="G431" t="s">
        <v>707</v>
      </c>
      <c r="N431">
        <v>12</v>
      </c>
      <c r="Q431">
        <v>492</v>
      </c>
      <c r="R431">
        <v>492</v>
      </c>
      <c r="S431">
        <v>504</v>
      </c>
      <c r="T431">
        <v>506</v>
      </c>
      <c r="U431">
        <v>504</v>
      </c>
      <c r="V431">
        <v>492</v>
      </c>
      <c r="W431">
        <v>492</v>
      </c>
      <c r="CH431" t="str">
        <f t="shared" si="6"/>
        <v>D-0524</v>
      </c>
      <c r="CI431" s="1" t="s">
        <v>102</v>
      </c>
    </row>
    <row r="432" spans="1:87">
      <c r="A432" t="s">
        <v>1360</v>
      </c>
      <c r="B432">
        <v>206</v>
      </c>
      <c r="C432" t="s">
        <v>1272</v>
      </c>
      <c r="D432" t="s">
        <v>365</v>
      </c>
      <c r="E432" t="s">
        <v>642</v>
      </c>
      <c r="F432" t="s">
        <v>706</v>
      </c>
      <c r="G432" t="s">
        <v>720</v>
      </c>
      <c r="O432">
        <v>12</v>
      </c>
      <c r="P432">
        <v>12</v>
      </c>
      <c r="Q432">
        <v>24</v>
      </c>
      <c r="R432">
        <v>24</v>
      </c>
      <c r="S432">
        <v>24</v>
      </c>
      <c r="T432">
        <v>26</v>
      </c>
      <c r="U432">
        <v>24</v>
      </c>
      <c r="V432">
        <v>24</v>
      </c>
      <c r="W432">
        <v>24</v>
      </c>
      <c r="Y432">
        <v>12</v>
      </c>
      <c r="CH432" t="str">
        <f t="shared" si="6"/>
        <v>D-0524</v>
      </c>
      <c r="CI432" s="1" t="s">
        <v>102</v>
      </c>
    </row>
    <row r="433" spans="1:87">
      <c r="A433" t="s">
        <v>3409</v>
      </c>
      <c r="B433">
        <v>4481</v>
      </c>
      <c r="C433" t="s">
        <v>3404</v>
      </c>
      <c r="D433" t="s">
        <v>457</v>
      </c>
      <c r="E433" t="s">
        <v>629</v>
      </c>
      <c r="F433" t="s">
        <v>672</v>
      </c>
      <c r="G433" t="s">
        <v>738</v>
      </c>
      <c r="N433">
        <v>216</v>
      </c>
      <c r="O433">
        <v>420</v>
      </c>
      <c r="P433">
        <v>384</v>
      </c>
      <c r="Q433">
        <v>852</v>
      </c>
      <c r="R433">
        <v>666</v>
      </c>
      <c r="S433">
        <v>936</v>
      </c>
      <c r="T433">
        <v>354</v>
      </c>
      <c r="U433">
        <v>384</v>
      </c>
      <c r="V433">
        <v>149</v>
      </c>
      <c r="W433">
        <v>84</v>
      </c>
      <c r="X433">
        <v>24</v>
      </c>
      <c r="Y433">
        <v>12</v>
      </c>
      <c r="CH433" t="str">
        <f t="shared" si="6"/>
        <v>JV1-0695-3</v>
      </c>
      <c r="CI433" s="1" t="s">
        <v>102</v>
      </c>
    </row>
    <row r="434" spans="1:87">
      <c r="A434" t="s">
        <v>2643</v>
      </c>
      <c r="B434">
        <v>1656</v>
      </c>
      <c r="C434" t="s">
        <v>712</v>
      </c>
      <c r="D434" t="s">
        <v>457</v>
      </c>
      <c r="E434" t="s">
        <v>629</v>
      </c>
      <c r="F434" t="s">
        <v>672</v>
      </c>
      <c r="G434" t="s">
        <v>713</v>
      </c>
      <c r="L434">
        <v>72</v>
      </c>
      <c r="M434">
        <v>72</v>
      </c>
      <c r="N434">
        <v>72</v>
      </c>
      <c r="O434">
        <v>72</v>
      </c>
      <c r="P434">
        <v>102</v>
      </c>
      <c r="Q434">
        <v>144</v>
      </c>
      <c r="R434">
        <v>150</v>
      </c>
      <c r="S434">
        <v>216</v>
      </c>
      <c r="T434">
        <v>138</v>
      </c>
      <c r="U434">
        <v>102</v>
      </c>
      <c r="V434">
        <v>96</v>
      </c>
      <c r="W434">
        <v>102</v>
      </c>
      <c r="X434">
        <v>84</v>
      </c>
      <c r="Y434">
        <v>84</v>
      </c>
      <c r="Z434">
        <v>72</v>
      </c>
      <c r="AA434">
        <v>72</v>
      </c>
      <c r="AB434">
        <v>54</v>
      </c>
      <c r="AC434">
        <v>24</v>
      </c>
      <c r="AD434">
        <v>54</v>
      </c>
      <c r="AF434">
        <v>30</v>
      </c>
      <c r="AH434">
        <v>18</v>
      </c>
      <c r="AJ434">
        <v>6</v>
      </c>
      <c r="AL434">
        <v>6</v>
      </c>
      <c r="CH434" t="str">
        <f t="shared" si="6"/>
        <v>JV1-0695-3</v>
      </c>
      <c r="CI434" s="1" t="s">
        <v>102</v>
      </c>
    </row>
    <row r="435" spans="1:87">
      <c r="A435" t="s">
        <v>1972</v>
      </c>
      <c r="B435">
        <v>276</v>
      </c>
      <c r="C435" t="s">
        <v>1746</v>
      </c>
      <c r="D435" t="s">
        <v>410</v>
      </c>
      <c r="E435" t="s">
        <v>629</v>
      </c>
      <c r="F435" t="s">
        <v>652</v>
      </c>
      <c r="G435" t="s">
        <v>1742</v>
      </c>
      <c r="M435">
        <v>12</v>
      </c>
      <c r="O435">
        <v>12</v>
      </c>
      <c r="Q435">
        <v>24</v>
      </c>
      <c r="S435">
        <v>36</v>
      </c>
      <c r="U435">
        <v>48</v>
      </c>
      <c r="W435">
        <v>60</v>
      </c>
      <c r="Y435">
        <v>48</v>
      </c>
      <c r="AA435">
        <v>24</v>
      </c>
      <c r="AC435">
        <v>12</v>
      </c>
      <c r="CH435" t="str">
        <f t="shared" si="6"/>
        <v>D-0591</v>
      </c>
      <c r="CI435" s="1" t="s">
        <v>102</v>
      </c>
    </row>
    <row r="436" spans="1:87">
      <c r="A436" t="s">
        <v>1803</v>
      </c>
      <c r="B436">
        <v>271</v>
      </c>
      <c r="C436" t="s">
        <v>1746</v>
      </c>
      <c r="D436" t="s">
        <v>410</v>
      </c>
      <c r="E436" t="s">
        <v>629</v>
      </c>
      <c r="F436" t="s">
        <v>652</v>
      </c>
      <c r="G436" t="s">
        <v>1742</v>
      </c>
      <c r="M436">
        <v>2</v>
      </c>
      <c r="N436">
        <v>10</v>
      </c>
      <c r="O436">
        <v>4</v>
      </c>
      <c r="P436">
        <v>15</v>
      </c>
      <c r="Q436">
        <v>11</v>
      </c>
      <c r="R436">
        <v>23</v>
      </c>
      <c r="S436">
        <v>23</v>
      </c>
      <c r="T436">
        <v>11</v>
      </c>
      <c r="U436">
        <v>17</v>
      </c>
      <c r="V436">
        <v>18</v>
      </c>
      <c r="W436">
        <v>10</v>
      </c>
      <c r="X436">
        <v>19</v>
      </c>
      <c r="Y436">
        <v>14</v>
      </c>
      <c r="Z436">
        <v>26</v>
      </c>
      <c r="AA436">
        <v>25</v>
      </c>
      <c r="AB436">
        <v>12</v>
      </c>
      <c r="AC436">
        <v>14</v>
      </c>
      <c r="AD436">
        <v>9</v>
      </c>
      <c r="AE436">
        <v>5</v>
      </c>
      <c r="AG436">
        <v>2</v>
      </c>
      <c r="AI436">
        <v>1</v>
      </c>
      <c r="CH436" t="str">
        <f t="shared" si="6"/>
        <v>D-0591</v>
      </c>
      <c r="CI436" s="1" t="s">
        <v>102</v>
      </c>
    </row>
    <row r="437" spans="1:87">
      <c r="A437" t="s">
        <v>1843</v>
      </c>
      <c r="B437">
        <v>134</v>
      </c>
      <c r="C437" t="s">
        <v>1746</v>
      </c>
      <c r="D437" t="s">
        <v>410</v>
      </c>
      <c r="E437" t="s">
        <v>629</v>
      </c>
      <c r="F437" t="s">
        <v>652</v>
      </c>
      <c r="G437" t="s">
        <v>1742</v>
      </c>
      <c r="Q437">
        <v>2</v>
      </c>
      <c r="S437">
        <v>4</v>
      </c>
      <c r="U437">
        <v>5</v>
      </c>
      <c r="W437">
        <v>20</v>
      </c>
      <c r="Y437">
        <v>26</v>
      </c>
      <c r="AA437">
        <v>31</v>
      </c>
      <c r="AC437">
        <v>19</v>
      </c>
      <c r="AE437">
        <v>17</v>
      </c>
      <c r="AG437">
        <v>10</v>
      </c>
      <c r="CH437" t="str">
        <f t="shared" si="6"/>
        <v>D-0591</v>
      </c>
      <c r="CI437" s="1" t="s">
        <v>102</v>
      </c>
    </row>
    <row r="438" spans="1:87">
      <c r="A438" t="s">
        <v>1844</v>
      </c>
      <c r="B438">
        <v>114</v>
      </c>
      <c r="C438" t="s">
        <v>1746</v>
      </c>
      <c r="D438" t="s">
        <v>410</v>
      </c>
      <c r="E438" t="s">
        <v>629</v>
      </c>
      <c r="F438" t="s">
        <v>652</v>
      </c>
      <c r="G438" t="s">
        <v>1742</v>
      </c>
      <c r="S438">
        <v>1</v>
      </c>
      <c r="U438">
        <v>2</v>
      </c>
      <c r="W438">
        <v>17</v>
      </c>
      <c r="Y438">
        <v>23</v>
      </c>
      <c r="AA438">
        <v>28</v>
      </c>
      <c r="AC438">
        <v>17</v>
      </c>
      <c r="AE438">
        <v>16</v>
      </c>
      <c r="AG438">
        <v>10</v>
      </c>
      <c r="CH438" t="str">
        <f t="shared" si="6"/>
        <v>D-0591</v>
      </c>
      <c r="CI438" s="1" t="s">
        <v>102</v>
      </c>
    </row>
    <row r="439" spans="1:87">
      <c r="A439" t="s">
        <v>1845</v>
      </c>
      <c r="B439">
        <v>126</v>
      </c>
      <c r="C439" t="s">
        <v>1746</v>
      </c>
      <c r="D439" t="s">
        <v>410</v>
      </c>
      <c r="E439" t="s">
        <v>629</v>
      </c>
      <c r="F439" t="s">
        <v>652</v>
      </c>
      <c r="G439" t="s">
        <v>1742</v>
      </c>
      <c r="Q439">
        <v>1</v>
      </c>
      <c r="S439">
        <v>2</v>
      </c>
      <c r="U439">
        <v>3</v>
      </c>
      <c r="W439">
        <v>19</v>
      </c>
      <c r="Y439">
        <v>25</v>
      </c>
      <c r="AA439">
        <v>30</v>
      </c>
      <c r="AC439">
        <v>19</v>
      </c>
      <c r="AE439">
        <v>17</v>
      </c>
      <c r="AG439">
        <v>10</v>
      </c>
      <c r="CH439" t="str">
        <f t="shared" si="6"/>
        <v>D-0591</v>
      </c>
      <c r="CI439" s="1" t="s">
        <v>102</v>
      </c>
    </row>
    <row r="440" spans="1:87">
      <c r="A440" t="s">
        <v>1850</v>
      </c>
      <c r="B440">
        <v>252</v>
      </c>
      <c r="C440" t="s">
        <v>1746</v>
      </c>
      <c r="D440" t="s">
        <v>410</v>
      </c>
      <c r="E440" t="s">
        <v>629</v>
      </c>
      <c r="F440" t="s">
        <v>652</v>
      </c>
      <c r="G440" t="s">
        <v>1742</v>
      </c>
      <c r="T440">
        <v>12</v>
      </c>
      <c r="U440">
        <v>24</v>
      </c>
      <c r="V440">
        <v>36</v>
      </c>
      <c r="W440">
        <v>36</v>
      </c>
      <c r="X440">
        <v>48</v>
      </c>
      <c r="Y440">
        <v>24</v>
      </c>
      <c r="Z440">
        <v>24</v>
      </c>
      <c r="AA440">
        <v>12</v>
      </c>
      <c r="AB440">
        <v>12</v>
      </c>
      <c r="AC440">
        <v>12</v>
      </c>
      <c r="AD440">
        <v>12</v>
      </c>
      <c r="CH440" t="str">
        <f t="shared" si="6"/>
        <v>D-0591</v>
      </c>
      <c r="CI440" s="1" t="s">
        <v>102</v>
      </c>
    </row>
    <row r="441" spans="1:87">
      <c r="A441" t="s">
        <v>1856</v>
      </c>
      <c r="B441">
        <v>192</v>
      </c>
      <c r="C441" t="s">
        <v>1746</v>
      </c>
      <c r="D441" t="s">
        <v>410</v>
      </c>
      <c r="E441" t="s">
        <v>629</v>
      </c>
      <c r="F441" t="s">
        <v>652</v>
      </c>
      <c r="G441" t="s">
        <v>1742</v>
      </c>
      <c r="N441">
        <v>32</v>
      </c>
      <c r="O441">
        <v>32</v>
      </c>
      <c r="P441">
        <v>32</v>
      </c>
      <c r="Q441">
        <v>32</v>
      </c>
      <c r="R441">
        <v>16</v>
      </c>
      <c r="S441">
        <v>16</v>
      </c>
      <c r="T441">
        <v>16</v>
      </c>
      <c r="U441">
        <v>16</v>
      </c>
      <c r="CH441" t="str">
        <f t="shared" si="6"/>
        <v>D-0591</v>
      </c>
      <c r="CI441" s="1" t="s">
        <v>102</v>
      </c>
    </row>
    <row r="442" spans="1:87">
      <c r="A442" t="s">
        <v>1857</v>
      </c>
      <c r="B442">
        <v>180</v>
      </c>
      <c r="C442" t="s">
        <v>1746</v>
      </c>
      <c r="D442" t="s">
        <v>410</v>
      </c>
      <c r="E442" t="s">
        <v>629</v>
      </c>
      <c r="F442" t="s">
        <v>652</v>
      </c>
      <c r="G442" t="s">
        <v>1742</v>
      </c>
      <c r="U442">
        <v>15</v>
      </c>
      <c r="V442">
        <v>30</v>
      </c>
      <c r="W442">
        <v>30</v>
      </c>
      <c r="X442">
        <v>30</v>
      </c>
      <c r="Y442">
        <v>30</v>
      </c>
      <c r="Z442">
        <v>15</v>
      </c>
      <c r="AA442">
        <v>15</v>
      </c>
      <c r="AB442">
        <v>15</v>
      </c>
      <c r="CH442" t="str">
        <f t="shared" si="6"/>
        <v>D-0591</v>
      </c>
      <c r="CI442" s="1" t="s">
        <v>102</v>
      </c>
    </row>
    <row r="443" spans="1:87">
      <c r="A443" t="s">
        <v>1861</v>
      </c>
      <c r="B443">
        <v>228</v>
      </c>
      <c r="C443" t="s">
        <v>1746</v>
      </c>
      <c r="D443" t="s">
        <v>410</v>
      </c>
      <c r="E443" t="s">
        <v>629</v>
      </c>
      <c r="F443" t="s">
        <v>652</v>
      </c>
      <c r="G443" t="s">
        <v>1742</v>
      </c>
      <c r="U443">
        <v>19</v>
      </c>
      <c r="V443">
        <v>38</v>
      </c>
      <c r="W443">
        <v>38</v>
      </c>
      <c r="X443">
        <v>38</v>
      </c>
      <c r="Y443">
        <v>38</v>
      </c>
      <c r="Z443">
        <v>19</v>
      </c>
      <c r="AA443">
        <v>19</v>
      </c>
      <c r="AB443">
        <v>19</v>
      </c>
      <c r="CH443" t="str">
        <f t="shared" si="6"/>
        <v>D-0591</v>
      </c>
      <c r="CI443" s="1" t="s">
        <v>102</v>
      </c>
    </row>
    <row r="444" spans="1:87">
      <c r="A444" t="s">
        <v>1862</v>
      </c>
      <c r="B444">
        <v>228</v>
      </c>
      <c r="C444" t="s">
        <v>1746</v>
      </c>
      <c r="D444" t="s">
        <v>410</v>
      </c>
      <c r="E444" t="s">
        <v>629</v>
      </c>
      <c r="F444" t="s">
        <v>652</v>
      </c>
      <c r="G444" t="s">
        <v>1742</v>
      </c>
      <c r="U444">
        <v>19</v>
      </c>
      <c r="V444">
        <v>38</v>
      </c>
      <c r="W444">
        <v>38</v>
      </c>
      <c r="X444">
        <v>38</v>
      </c>
      <c r="Y444">
        <v>38</v>
      </c>
      <c r="Z444">
        <v>19</v>
      </c>
      <c r="AA444">
        <v>19</v>
      </c>
      <c r="AB444">
        <v>19</v>
      </c>
      <c r="CH444" t="str">
        <f t="shared" si="6"/>
        <v>D-0591</v>
      </c>
      <c r="CI444" s="1" t="s">
        <v>102</v>
      </c>
    </row>
    <row r="445" spans="1:87">
      <c r="A445" t="s">
        <v>1866</v>
      </c>
      <c r="B445">
        <v>228</v>
      </c>
      <c r="C445" t="s">
        <v>1746</v>
      </c>
      <c r="D445" t="s">
        <v>410</v>
      </c>
      <c r="E445" t="s">
        <v>629</v>
      </c>
      <c r="F445" t="s">
        <v>652</v>
      </c>
      <c r="G445" t="s">
        <v>1742</v>
      </c>
      <c r="U445">
        <v>19</v>
      </c>
      <c r="V445">
        <v>38</v>
      </c>
      <c r="W445">
        <v>38</v>
      </c>
      <c r="X445">
        <v>38</v>
      </c>
      <c r="Y445">
        <v>38</v>
      </c>
      <c r="Z445">
        <v>19</v>
      </c>
      <c r="AA445">
        <v>19</v>
      </c>
      <c r="AB445">
        <v>19</v>
      </c>
      <c r="CH445" t="str">
        <f t="shared" si="6"/>
        <v>D-0591</v>
      </c>
      <c r="CI445" s="1" t="s">
        <v>102</v>
      </c>
    </row>
    <row r="446" spans="1:87">
      <c r="A446" t="s">
        <v>1868</v>
      </c>
      <c r="B446">
        <v>192</v>
      </c>
      <c r="C446" t="s">
        <v>1746</v>
      </c>
      <c r="D446" t="s">
        <v>410</v>
      </c>
      <c r="E446" t="s">
        <v>629</v>
      </c>
      <c r="F446" t="s">
        <v>652</v>
      </c>
      <c r="G446" t="s">
        <v>1742</v>
      </c>
      <c r="U446">
        <v>16</v>
      </c>
      <c r="V446">
        <v>32</v>
      </c>
      <c r="W446">
        <v>32</v>
      </c>
      <c r="X446">
        <v>32</v>
      </c>
      <c r="Y446">
        <v>32</v>
      </c>
      <c r="Z446">
        <v>16</v>
      </c>
      <c r="AA446">
        <v>16</v>
      </c>
      <c r="AB446">
        <v>16</v>
      </c>
      <c r="CH446" t="str">
        <f t="shared" si="6"/>
        <v>D-0591</v>
      </c>
      <c r="CI446" s="1" t="s">
        <v>102</v>
      </c>
    </row>
    <row r="447" spans="1:87">
      <c r="A447" t="s">
        <v>1889</v>
      </c>
      <c r="B447">
        <v>120</v>
      </c>
      <c r="C447" t="s">
        <v>1746</v>
      </c>
      <c r="D447" t="s">
        <v>410</v>
      </c>
      <c r="E447" t="s">
        <v>629</v>
      </c>
      <c r="F447" t="s">
        <v>652</v>
      </c>
      <c r="G447" t="s">
        <v>1742</v>
      </c>
      <c r="N447">
        <v>10</v>
      </c>
      <c r="O447">
        <v>20</v>
      </c>
      <c r="P447">
        <v>40</v>
      </c>
      <c r="Q447">
        <v>30</v>
      </c>
      <c r="S447">
        <v>10</v>
      </c>
      <c r="U447">
        <v>10</v>
      </c>
      <c r="CH447" t="str">
        <f t="shared" si="6"/>
        <v>D-0591</v>
      </c>
      <c r="CI447" s="1" t="s">
        <v>102</v>
      </c>
    </row>
    <row r="448" spans="1:87">
      <c r="A448" t="s">
        <v>1890</v>
      </c>
      <c r="B448">
        <v>34</v>
      </c>
      <c r="C448" t="s">
        <v>1746</v>
      </c>
      <c r="D448" t="s">
        <v>410</v>
      </c>
      <c r="E448" t="s">
        <v>629</v>
      </c>
      <c r="F448" t="s">
        <v>652</v>
      </c>
      <c r="G448" t="s">
        <v>1742</v>
      </c>
      <c r="W448">
        <v>6</v>
      </c>
      <c r="X448">
        <v>6</v>
      </c>
      <c r="Y448">
        <v>6</v>
      </c>
      <c r="Z448">
        <v>6</v>
      </c>
      <c r="AA448">
        <v>6</v>
      </c>
      <c r="AC448">
        <v>4</v>
      </c>
      <c r="CH448" t="str">
        <f t="shared" si="6"/>
        <v>D-0591</v>
      </c>
      <c r="CI448" s="1" t="s">
        <v>102</v>
      </c>
    </row>
    <row r="449" spans="1:87">
      <c r="A449" t="s">
        <v>3061</v>
      </c>
      <c r="B449">
        <v>224</v>
      </c>
      <c r="C449" t="s">
        <v>3062</v>
      </c>
      <c r="D449" t="s">
        <v>95</v>
      </c>
      <c r="E449" t="s">
        <v>629</v>
      </c>
      <c r="F449" t="s">
        <v>634</v>
      </c>
      <c r="G449" t="s">
        <v>655</v>
      </c>
      <c r="R449">
        <v>48</v>
      </c>
      <c r="T449">
        <v>64</v>
      </c>
      <c r="V449">
        <v>59</v>
      </c>
      <c r="X449">
        <v>40</v>
      </c>
      <c r="Z449">
        <v>13</v>
      </c>
      <c r="CH449" t="str">
        <f t="shared" si="6"/>
        <v>EOR-13</v>
      </c>
      <c r="CI449" s="1" t="s">
        <v>102</v>
      </c>
    </row>
    <row r="450" spans="1:87">
      <c r="A450" t="s">
        <v>3065</v>
      </c>
      <c r="B450">
        <v>60</v>
      </c>
      <c r="C450" t="s">
        <v>653</v>
      </c>
      <c r="D450" t="s">
        <v>360</v>
      </c>
      <c r="E450" t="s">
        <v>629</v>
      </c>
      <c r="F450" t="s">
        <v>654</v>
      </c>
      <c r="G450" t="s">
        <v>655</v>
      </c>
      <c r="S450">
        <v>7</v>
      </c>
      <c r="U450">
        <v>7</v>
      </c>
      <c r="V450">
        <v>10</v>
      </c>
      <c r="W450">
        <v>10</v>
      </c>
      <c r="X450">
        <v>8</v>
      </c>
      <c r="Y450">
        <v>7</v>
      </c>
      <c r="Z450">
        <v>7</v>
      </c>
      <c r="AC450">
        <v>2</v>
      </c>
      <c r="AE450">
        <v>2</v>
      </c>
      <c r="CH450" t="str">
        <f t="shared" ref="CH450:CH513" si="7">TRIM(IFERROR(IFERROR(MID($D450,FIND("(D-",$D450)+1,6),LEFT($D450,FIND("(",$D450)-1)),$D450))</f>
        <v>D-0522</v>
      </c>
      <c r="CI450" s="1" t="s">
        <v>102</v>
      </c>
    </row>
    <row r="451" spans="1:87">
      <c r="A451" t="s">
        <v>3067</v>
      </c>
      <c r="B451">
        <v>17</v>
      </c>
      <c r="C451" t="s">
        <v>3060</v>
      </c>
      <c r="D451" t="s">
        <v>360</v>
      </c>
      <c r="E451" t="s">
        <v>629</v>
      </c>
      <c r="F451" t="s">
        <v>654</v>
      </c>
      <c r="G451" t="s">
        <v>655</v>
      </c>
      <c r="R451">
        <v>1</v>
      </c>
      <c r="S451">
        <v>1</v>
      </c>
      <c r="T451">
        <v>1</v>
      </c>
      <c r="U451">
        <v>1</v>
      </c>
      <c r="V451">
        <v>2</v>
      </c>
      <c r="W451">
        <v>2</v>
      </c>
      <c r="X451">
        <v>2</v>
      </c>
      <c r="Y451">
        <v>1</v>
      </c>
      <c r="Z451">
        <v>1</v>
      </c>
      <c r="AA451">
        <v>1</v>
      </c>
      <c r="AB451">
        <v>1</v>
      </c>
      <c r="AC451">
        <v>1</v>
      </c>
      <c r="AD451">
        <v>1</v>
      </c>
      <c r="AE451">
        <v>1</v>
      </c>
      <c r="CH451" t="str">
        <f t="shared" si="7"/>
        <v>D-0522</v>
      </c>
      <c r="CI451" s="1" t="s">
        <v>102</v>
      </c>
    </row>
    <row r="452" spans="1:87">
      <c r="A452" t="s">
        <v>3068</v>
      </c>
      <c r="B452">
        <v>2</v>
      </c>
      <c r="C452" t="s">
        <v>3062</v>
      </c>
      <c r="D452" t="s">
        <v>95</v>
      </c>
      <c r="E452" t="s">
        <v>629</v>
      </c>
      <c r="F452" t="s">
        <v>634</v>
      </c>
      <c r="G452" t="s">
        <v>655</v>
      </c>
      <c r="R452">
        <v>1</v>
      </c>
      <c r="T452">
        <v>1</v>
      </c>
      <c r="CH452" t="str">
        <f t="shared" si="7"/>
        <v>EOR-13</v>
      </c>
      <c r="CI452" s="1" t="s">
        <v>102</v>
      </c>
    </row>
    <row r="453" spans="1:87">
      <c r="A453" t="s">
        <v>3069</v>
      </c>
      <c r="B453">
        <v>51</v>
      </c>
      <c r="C453" t="s">
        <v>3064</v>
      </c>
      <c r="D453" t="s">
        <v>95</v>
      </c>
      <c r="E453" t="s">
        <v>629</v>
      </c>
      <c r="F453" t="s">
        <v>634</v>
      </c>
      <c r="G453" t="s">
        <v>655</v>
      </c>
      <c r="N453">
        <v>1</v>
      </c>
      <c r="O453">
        <v>2</v>
      </c>
      <c r="P453">
        <v>3</v>
      </c>
      <c r="Q453">
        <v>5</v>
      </c>
      <c r="R453">
        <v>6</v>
      </c>
      <c r="S453">
        <v>7</v>
      </c>
      <c r="T453">
        <v>7</v>
      </c>
      <c r="U453">
        <v>5</v>
      </c>
      <c r="V453">
        <v>3</v>
      </c>
      <c r="W453">
        <v>3</v>
      </c>
      <c r="X453">
        <v>1</v>
      </c>
      <c r="Y453">
        <v>1</v>
      </c>
      <c r="Z453">
        <v>1</v>
      </c>
      <c r="AA453">
        <v>1</v>
      </c>
      <c r="AB453">
        <v>1</v>
      </c>
      <c r="AC453">
        <v>1</v>
      </c>
      <c r="AD453">
        <v>1</v>
      </c>
      <c r="AF453">
        <v>1</v>
      </c>
      <c r="AH453">
        <v>1</v>
      </c>
      <c r="CH453" t="str">
        <f t="shared" si="7"/>
        <v>EOR-13</v>
      </c>
      <c r="CI453" s="1" t="s">
        <v>102</v>
      </c>
    </row>
    <row r="454" spans="1:87">
      <c r="A454" t="s">
        <v>3056</v>
      </c>
      <c r="B454">
        <v>6048</v>
      </c>
      <c r="C454" t="s">
        <v>653</v>
      </c>
      <c r="D454" t="s">
        <v>360</v>
      </c>
      <c r="E454" t="s">
        <v>629</v>
      </c>
      <c r="F454" t="s">
        <v>654</v>
      </c>
      <c r="G454" t="s">
        <v>655</v>
      </c>
      <c r="S454">
        <v>324</v>
      </c>
      <c r="U454">
        <v>816</v>
      </c>
      <c r="V454">
        <v>1104</v>
      </c>
      <c r="W454">
        <v>1404</v>
      </c>
      <c r="X454">
        <v>1256</v>
      </c>
      <c r="Y454">
        <v>552</v>
      </c>
      <c r="Z454">
        <v>396</v>
      </c>
      <c r="AC454">
        <v>161</v>
      </c>
      <c r="AE454">
        <v>35</v>
      </c>
      <c r="CH454" t="str">
        <f t="shared" si="7"/>
        <v>D-0522</v>
      </c>
      <c r="CI454" s="1" t="s">
        <v>102</v>
      </c>
    </row>
    <row r="455" spans="1:87">
      <c r="A455" t="s">
        <v>3059</v>
      </c>
      <c r="B455">
        <v>1733</v>
      </c>
      <c r="C455" t="s">
        <v>3060</v>
      </c>
      <c r="D455" t="s">
        <v>360</v>
      </c>
      <c r="E455" t="s">
        <v>629</v>
      </c>
      <c r="F455" t="s">
        <v>654</v>
      </c>
      <c r="G455" t="s">
        <v>655</v>
      </c>
      <c r="R455">
        <v>37</v>
      </c>
      <c r="S455">
        <v>42</v>
      </c>
      <c r="T455">
        <v>82</v>
      </c>
      <c r="U455">
        <v>147</v>
      </c>
      <c r="V455">
        <v>239</v>
      </c>
      <c r="W455">
        <v>277</v>
      </c>
      <c r="X455">
        <v>333</v>
      </c>
      <c r="Y455">
        <v>248</v>
      </c>
      <c r="Z455">
        <v>137</v>
      </c>
      <c r="AA455">
        <v>83</v>
      </c>
      <c r="AB455">
        <v>60</v>
      </c>
      <c r="AC455">
        <v>22</v>
      </c>
      <c r="AD455">
        <v>12</v>
      </c>
      <c r="AE455">
        <v>14</v>
      </c>
      <c r="CH455" t="str">
        <f t="shared" si="7"/>
        <v>D-0522</v>
      </c>
      <c r="CI455" s="1" t="s">
        <v>102</v>
      </c>
    </row>
    <row r="456" spans="1:87">
      <c r="A456" t="s">
        <v>2810</v>
      </c>
      <c r="B456">
        <v>3482</v>
      </c>
      <c r="C456" t="s">
        <v>2811</v>
      </c>
      <c r="D456" t="s">
        <v>319</v>
      </c>
      <c r="E456" t="s">
        <v>629</v>
      </c>
      <c r="F456" t="s">
        <v>695</v>
      </c>
      <c r="G456" t="s">
        <v>2593</v>
      </c>
      <c r="R456">
        <v>12</v>
      </c>
      <c r="T456">
        <v>290</v>
      </c>
      <c r="U456">
        <v>94</v>
      </c>
      <c r="V456">
        <v>516</v>
      </c>
      <c r="W456">
        <v>213</v>
      </c>
      <c r="X456">
        <v>716</v>
      </c>
      <c r="Y456">
        <v>242</v>
      </c>
      <c r="Z456">
        <v>690</v>
      </c>
      <c r="AA456">
        <v>144</v>
      </c>
      <c r="AB456">
        <v>347</v>
      </c>
      <c r="AD456">
        <v>195</v>
      </c>
      <c r="AE456">
        <v>3</v>
      </c>
      <c r="AF456">
        <v>8</v>
      </c>
      <c r="AH456">
        <v>6</v>
      </c>
      <c r="AJ456">
        <v>6</v>
      </c>
      <c r="CH456" t="str">
        <f t="shared" si="7"/>
        <v>D-0470</v>
      </c>
      <c r="CI456" s="1" t="s">
        <v>102</v>
      </c>
    </row>
    <row r="457" spans="1:87">
      <c r="A457" t="s">
        <v>1480</v>
      </c>
      <c r="B457">
        <v>30</v>
      </c>
      <c r="C457" t="s">
        <v>1481</v>
      </c>
      <c r="D457" t="s">
        <v>1466</v>
      </c>
      <c r="E457" t="s">
        <v>642</v>
      </c>
      <c r="F457" t="s">
        <v>1467</v>
      </c>
      <c r="G457" t="s">
        <v>1482</v>
      </c>
      <c r="T457">
        <v>30</v>
      </c>
      <c r="CH457" t="str">
        <f t="shared" si="7"/>
        <v>D-0078</v>
      </c>
      <c r="CI457" s="1" t="s">
        <v>102</v>
      </c>
    </row>
    <row r="458" spans="1:87">
      <c r="A458" t="s">
        <v>1483</v>
      </c>
      <c r="B458">
        <v>30</v>
      </c>
      <c r="C458" t="s">
        <v>1481</v>
      </c>
      <c r="D458" t="s">
        <v>1466</v>
      </c>
      <c r="E458" t="s">
        <v>642</v>
      </c>
      <c r="F458" t="s">
        <v>1467</v>
      </c>
      <c r="G458" t="s">
        <v>1482</v>
      </c>
      <c r="P458">
        <v>30</v>
      </c>
      <c r="CH458" t="str">
        <f t="shared" si="7"/>
        <v>D-0078</v>
      </c>
      <c r="CI458" s="1" t="s">
        <v>102</v>
      </c>
    </row>
    <row r="459" spans="1:87">
      <c r="A459" t="s">
        <v>1484</v>
      </c>
      <c r="B459">
        <v>30</v>
      </c>
      <c r="C459" t="s">
        <v>1481</v>
      </c>
      <c r="D459" t="s">
        <v>1466</v>
      </c>
      <c r="E459" t="s">
        <v>642</v>
      </c>
      <c r="F459" t="s">
        <v>1467</v>
      </c>
      <c r="G459" t="s">
        <v>1482</v>
      </c>
      <c r="R459">
        <v>30</v>
      </c>
      <c r="CH459" t="str">
        <f t="shared" si="7"/>
        <v>D-0078</v>
      </c>
      <c r="CI459" s="1" t="s">
        <v>102</v>
      </c>
    </row>
    <row r="460" spans="1:87">
      <c r="A460" t="s">
        <v>1485</v>
      </c>
      <c r="B460">
        <v>30</v>
      </c>
      <c r="C460" t="s">
        <v>1481</v>
      </c>
      <c r="D460" t="s">
        <v>1466</v>
      </c>
      <c r="E460" t="s">
        <v>642</v>
      </c>
      <c r="F460" t="s">
        <v>1467</v>
      </c>
      <c r="G460" t="s">
        <v>1482</v>
      </c>
      <c r="S460">
        <v>30</v>
      </c>
      <c r="CH460" t="str">
        <f t="shared" si="7"/>
        <v>D-0078</v>
      </c>
      <c r="CI460" s="1" t="s">
        <v>102</v>
      </c>
    </row>
    <row r="461" spans="1:87">
      <c r="A461" t="s">
        <v>1486</v>
      </c>
      <c r="B461">
        <v>60</v>
      </c>
      <c r="C461" t="s">
        <v>1481</v>
      </c>
      <c r="D461" t="s">
        <v>1466</v>
      </c>
      <c r="E461" t="s">
        <v>642</v>
      </c>
      <c r="F461" t="s">
        <v>1467</v>
      </c>
      <c r="G461" t="s">
        <v>1482</v>
      </c>
      <c r="U461">
        <v>60</v>
      </c>
      <c r="CH461" t="str">
        <f t="shared" si="7"/>
        <v>D-0078</v>
      </c>
      <c r="CI461" s="1" t="s">
        <v>102</v>
      </c>
    </row>
    <row r="462" spans="1:87">
      <c r="A462" t="s">
        <v>1487</v>
      </c>
      <c r="B462">
        <v>30</v>
      </c>
      <c r="C462" t="s">
        <v>1481</v>
      </c>
      <c r="D462" t="s">
        <v>1466</v>
      </c>
      <c r="E462" t="s">
        <v>642</v>
      </c>
      <c r="F462" t="s">
        <v>1467</v>
      </c>
      <c r="G462" t="s">
        <v>1482</v>
      </c>
      <c r="W462">
        <v>30</v>
      </c>
      <c r="CH462" t="str">
        <f t="shared" si="7"/>
        <v>D-0078</v>
      </c>
      <c r="CI462" s="1" t="s">
        <v>102</v>
      </c>
    </row>
    <row r="463" spans="1:87">
      <c r="A463" t="s">
        <v>1488</v>
      </c>
      <c r="B463">
        <v>30</v>
      </c>
      <c r="C463" t="s">
        <v>1481</v>
      </c>
      <c r="D463" t="s">
        <v>1466</v>
      </c>
      <c r="E463" t="s">
        <v>642</v>
      </c>
      <c r="F463" t="s">
        <v>1467</v>
      </c>
      <c r="G463" t="s">
        <v>1482</v>
      </c>
      <c r="X463">
        <v>30</v>
      </c>
      <c r="CH463" t="str">
        <f t="shared" si="7"/>
        <v>D-0078</v>
      </c>
      <c r="CI463" s="1" t="s">
        <v>102</v>
      </c>
    </row>
    <row r="464" spans="1:87">
      <c r="A464" t="s">
        <v>1489</v>
      </c>
      <c r="B464">
        <v>30</v>
      </c>
      <c r="C464" t="s">
        <v>1481</v>
      </c>
      <c r="D464" t="s">
        <v>1466</v>
      </c>
      <c r="E464" t="s">
        <v>642</v>
      </c>
      <c r="F464" t="s">
        <v>1467</v>
      </c>
      <c r="G464" t="s">
        <v>1482</v>
      </c>
      <c r="Y464">
        <v>30</v>
      </c>
      <c r="CH464" t="str">
        <f t="shared" si="7"/>
        <v>D-0078</v>
      </c>
      <c r="CI464" s="1" t="s">
        <v>102</v>
      </c>
    </row>
    <row r="465" spans="1:87">
      <c r="A465" t="s">
        <v>1490</v>
      </c>
      <c r="B465">
        <v>30</v>
      </c>
      <c r="C465" t="s">
        <v>1481</v>
      </c>
      <c r="D465" t="s">
        <v>1466</v>
      </c>
      <c r="E465" t="s">
        <v>642</v>
      </c>
      <c r="F465" t="s">
        <v>1467</v>
      </c>
      <c r="G465" t="s">
        <v>1482</v>
      </c>
      <c r="Z465">
        <v>30</v>
      </c>
      <c r="CH465" t="str">
        <f t="shared" si="7"/>
        <v>D-0078</v>
      </c>
      <c r="CI465" s="1" t="s">
        <v>102</v>
      </c>
    </row>
    <row r="466" spans="1:87">
      <c r="A466" t="s">
        <v>1464</v>
      </c>
      <c r="B466">
        <v>44</v>
      </c>
      <c r="C466" t="s">
        <v>1465</v>
      </c>
      <c r="D466" t="s">
        <v>1466</v>
      </c>
      <c r="E466" t="s">
        <v>642</v>
      </c>
      <c r="F466" t="s">
        <v>1467</v>
      </c>
      <c r="G466" t="s">
        <v>1468</v>
      </c>
      <c r="U466">
        <v>44</v>
      </c>
      <c r="CH466" t="str">
        <f t="shared" si="7"/>
        <v>D-0078</v>
      </c>
      <c r="CI466" s="1" t="s">
        <v>102</v>
      </c>
    </row>
    <row r="467" spans="1:87">
      <c r="A467" t="s">
        <v>1469</v>
      </c>
      <c r="B467">
        <v>39</v>
      </c>
      <c r="C467" t="s">
        <v>1465</v>
      </c>
      <c r="D467" t="s">
        <v>1466</v>
      </c>
      <c r="E467" t="s">
        <v>642</v>
      </c>
      <c r="F467" t="s">
        <v>1467</v>
      </c>
      <c r="G467" t="s">
        <v>1468</v>
      </c>
      <c r="T467">
        <v>39</v>
      </c>
      <c r="CH467" t="str">
        <f t="shared" si="7"/>
        <v>D-0078</v>
      </c>
      <c r="CI467" s="1" t="s">
        <v>102</v>
      </c>
    </row>
    <row r="468" spans="1:87">
      <c r="A468" t="s">
        <v>1470</v>
      </c>
      <c r="B468">
        <v>4</v>
      </c>
      <c r="C468" t="s">
        <v>1465</v>
      </c>
      <c r="D468" t="s">
        <v>1466</v>
      </c>
      <c r="E468" t="s">
        <v>642</v>
      </c>
      <c r="F468" t="s">
        <v>1467</v>
      </c>
      <c r="G468" t="s">
        <v>1468</v>
      </c>
      <c r="P468">
        <v>4</v>
      </c>
      <c r="CH468" t="str">
        <f t="shared" si="7"/>
        <v>D-0078</v>
      </c>
      <c r="CI468" s="1" t="s">
        <v>102</v>
      </c>
    </row>
    <row r="469" spans="1:87">
      <c r="A469" t="s">
        <v>1471</v>
      </c>
      <c r="B469">
        <v>5</v>
      </c>
      <c r="C469" t="s">
        <v>1465</v>
      </c>
      <c r="D469" t="s">
        <v>1466</v>
      </c>
      <c r="E469" t="s">
        <v>642</v>
      </c>
      <c r="F469" t="s">
        <v>1467</v>
      </c>
      <c r="G469" t="s">
        <v>1468</v>
      </c>
      <c r="Q469">
        <v>5</v>
      </c>
      <c r="CH469" t="str">
        <f t="shared" si="7"/>
        <v>D-0078</v>
      </c>
      <c r="CI469" s="1" t="s">
        <v>102</v>
      </c>
    </row>
    <row r="470" spans="1:87">
      <c r="A470" t="s">
        <v>1472</v>
      </c>
      <c r="B470">
        <v>19</v>
      </c>
      <c r="C470" t="s">
        <v>1465</v>
      </c>
      <c r="D470" t="s">
        <v>1466</v>
      </c>
      <c r="E470" t="s">
        <v>642</v>
      </c>
      <c r="F470" t="s">
        <v>1467</v>
      </c>
      <c r="G470" t="s">
        <v>1468</v>
      </c>
      <c r="R470">
        <v>19</v>
      </c>
      <c r="CH470" t="str">
        <f t="shared" si="7"/>
        <v>D-0078</v>
      </c>
      <c r="CI470" s="1" t="s">
        <v>102</v>
      </c>
    </row>
    <row r="471" spans="1:87">
      <c r="A471" t="s">
        <v>1473</v>
      </c>
      <c r="B471">
        <v>26</v>
      </c>
      <c r="C471" t="s">
        <v>1465</v>
      </c>
      <c r="D471" t="s">
        <v>1466</v>
      </c>
      <c r="E471" t="s">
        <v>642</v>
      </c>
      <c r="F471" t="s">
        <v>1467</v>
      </c>
      <c r="G471" t="s">
        <v>1468</v>
      </c>
      <c r="S471">
        <v>26</v>
      </c>
      <c r="CH471" t="str">
        <f t="shared" si="7"/>
        <v>D-0078</v>
      </c>
      <c r="CI471" s="1" t="s">
        <v>102</v>
      </c>
    </row>
    <row r="472" spans="1:87">
      <c r="A472" t="s">
        <v>1474</v>
      </c>
      <c r="B472">
        <v>43</v>
      </c>
      <c r="C472" t="s">
        <v>1465</v>
      </c>
      <c r="D472" t="s">
        <v>1466</v>
      </c>
      <c r="E472" t="s">
        <v>642</v>
      </c>
      <c r="F472" t="s">
        <v>1467</v>
      </c>
      <c r="G472" t="s">
        <v>1468</v>
      </c>
      <c r="W472">
        <v>43</v>
      </c>
      <c r="CH472" t="str">
        <f t="shared" si="7"/>
        <v>D-0078</v>
      </c>
      <c r="CI472" s="1" t="s">
        <v>102</v>
      </c>
    </row>
    <row r="473" spans="1:87">
      <c r="A473" t="s">
        <v>1475</v>
      </c>
      <c r="B473">
        <v>24</v>
      </c>
      <c r="C473" t="s">
        <v>1465</v>
      </c>
      <c r="D473" t="s">
        <v>1466</v>
      </c>
      <c r="E473" t="s">
        <v>642</v>
      </c>
      <c r="F473" t="s">
        <v>1467</v>
      </c>
      <c r="G473" t="s">
        <v>1468</v>
      </c>
      <c r="X473">
        <v>24</v>
      </c>
      <c r="CH473" t="str">
        <f t="shared" si="7"/>
        <v>D-0078</v>
      </c>
      <c r="CI473" s="1" t="s">
        <v>102</v>
      </c>
    </row>
    <row r="474" spans="1:87">
      <c r="A474" t="s">
        <v>1476</v>
      </c>
      <c r="B474">
        <v>25</v>
      </c>
      <c r="C474" t="s">
        <v>1465</v>
      </c>
      <c r="D474" t="s">
        <v>1466</v>
      </c>
      <c r="E474" t="s">
        <v>642</v>
      </c>
      <c r="F474" t="s">
        <v>1467</v>
      </c>
      <c r="G474" t="s">
        <v>1468</v>
      </c>
      <c r="Y474">
        <v>25</v>
      </c>
      <c r="CH474" t="str">
        <f t="shared" si="7"/>
        <v>D-0078</v>
      </c>
      <c r="CI474" s="1" t="s">
        <v>102</v>
      </c>
    </row>
    <row r="475" spans="1:87">
      <c r="A475" t="s">
        <v>1477</v>
      </c>
      <c r="B475">
        <v>14</v>
      </c>
      <c r="C475" t="s">
        <v>1465</v>
      </c>
      <c r="D475" t="s">
        <v>1466</v>
      </c>
      <c r="E475" t="s">
        <v>642</v>
      </c>
      <c r="F475" t="s">
        <v>1467</v>
      </c>
      <c r="G475" t="s">
        <v>1468</v>
      </c>
      <c r="Z475">
        <v>14</v>
      </c>
      <c r="CH475" t="str">
        <f t="shared" si="7"/>
        <v>D-0078</v>
      </c>
      <c r="CI475" s="1" t="s">
        <v>102</v>
      </c>
    </row>
    <row r="476" spans="1:87">
      <c r="A476" t="s">
        <v>1478</v>
      </c>
      <c r="B476">
        <v>5</v>
      </c>
      <c r="C476" t="s">
        <v>1465</v>
      </c>
      <c r="D476" t="s">
        <v>1466</v>
      </c>
      <c r="E476" t="s">
        <v>642</v>
      </c>
      <c r="F476" t="s">
        <v>1467</v>
      </c>
      <c r="G476" t="s">
        <v>1468</v>
      </c>
      <c r="AA476">
        <v>5</v>
      </c>
      <c r="CH476" t="str">
        <f t="shared" si="7"/>
        <v>D-0078</v>
      </c>
      <c r="CI476" s="1" t="s">
        <v>102</v>
      </c>
    </row>
    <row r="477" spans="1:87">
      <c r="A477" t="s">
        <v>1479</v>
      </c>
      <c r="B477">
        <v>52</v>
      </c>
      <c r="C477" t="s">
        <v>1465</v>
      </c>
      <c r="D477" t="s">
        <v>1466</v>
      </c>
      <c r="E477" t="s">
        <v>642</v>
      </c>
      <c r="F477" t="s">
        <v>1467</v>
      </c>
      <c r="G477" t="s">
        <v>1468</v>
      </c>
      <c r="V477">
        <v>52</v>
      </c>
      <c r="CH477" t="str">
        <f t="shared" si="7"/>
        <v>D-0078</v>
      </c>
      <c r="CI477" s="1" t="s">
        <v>102</v>
      </c>
    </row>
    <row r="478" spans="1:87">
      <c r="A478" t="s">
        <v>3491</v>
      </c>
      <c r="B478">
        <v>35</v>
      </c>
      <c r="C478" t="s">
        <v>3454</v>
      </c>
      <c r="D478" t="s">
        <v>444</v>
      </c>
      <c r="E478" t="s">
        <v>629</v>
      </c>
      <c r="F478" t="s">
        <v>636</v>
      </c>
      <c r="G478" t="s">
        <v>637</v>
      </c>
      <c r="V478">
        <v>1</v>
      </c>
      <c r="W478">
        <v>1</v>
      </c>
      <c r="X478">
        <v>2</v>
      </c>
      <c r="Y478">
        <v>5</v>
      </c>
      <c r="Z478">
        <v>9</v>
      </c>
      <c r="AA478">
        <v>4</v>
      </c>
      <c r="AB478">
        <v>4</v>
      </c>
      <c r="AC478">
        <v>3</v>
      </c>
      <c r="AD478">
        <v>3</v>
      </c>
      <c r="AE478">
        <v>1</v>
      </c>
      <c r="AF478">
        <v>2</v>
      </c>
      <c r="CH478" t="str">
        <f t="shared" si="7"/>
        <v>D-0686</v>
      </c>
      <c r="CI478" s="1" t="s">
        <v>102</v>
      </c>
    </row>
    <row r="479" spans="1:87">
      <c r="A479" t="s">
        <v>1039</v>
      </c>
      <c r="B479">
        <v>6302</v>
      </c>
      <c r="C479" t="s">
        <v>1038</v>
      </c>
      <c r="D479" t="s">
        <v>365</v>
      </c>
      <c r="E479" t="s">
        <v>629</v>
      </c>
      <c r="F479" t="s">
        <v>706</v>
      </c>
      <c r="G479" t="s">
        <v>947</v>
      </c>
      <c r="V479">
        <v>480</v>
      </c>
      <c r="W479">
        <v>480</v>
      </c>
      <c r="X479">
        <v>602</v>
      </c>
      <c r="Y479">
        <v>540</v>
      </c>
      <c r="Z479">
        <v>720</v>
      </c>
      <c r="AA479">
        <v>900</v>
      </c>
      <c r="AB479">
        <v>480</v>
      </c>
      <c r="AC479">
        <v>720</v>
      </c>
      <c r="AD479">
        <v>480</v>
      </c>
      <c r="AF479">
        <v>900</v>
      </c>
      <c r="CH479" t="str">
        <f t="shared" si="7"/>
        <v>D-0524</v>
      </c>
      <c r="CI479" s="1" t="s">
        <v>102</v>
      </c>
    </row>
    <row r="480" spans="1:87">
      <c r="A480" t="s">
        <v>1897</v>
      </c>
      <c r="B480">
        <v>120</v>
      </c>
      <c r="C480" t="s">
        <v>1746</v>
      </c>
      <c r="D480" t="s">
        <v>410</v>
      </c>
      <c r="E480" t="s">
        <v>629</v>
      </c>
      <c r="F480" t="s">
        <v>652</v>
      </c>
      <c r="G480" t="s">
        <v>1742</v>
      </c>
      <c r="U480">
        <v>24</v>
      </c>
      <c r="V480">
        <v>24</v>
      </c>
      <c r="X480">
        <v>24</v>
      </c>
      <c r="Z480">
        <v>24</v>
      </c>
      <c r="AA480">
        <v>24</v>
      </c>
      <c r="CH480" t="str">
        <f t="shared" si="7"/>
        <v>D-0591</v>
      </c>
      <c r="CI480" s="1" t="s">
        <v>102</v>
      </c>
    </row>
    <row r="481" spans="1:87">
      <c r="A481" t="s">
        <v>1756</v>
      </c>
      <c r="B481">
        <v>240</v>
      </c>
      <c r="C481" t="s">
        <v>1746</v>
      </c>
      <c r="D481" t="s">
        <v>410</v>
      </c>
      <c r="E481" t="s">
        <v>629</v>
      </c>
      <c r="F481" t="s">
        <v>652</v>
      </c>
      <c r="G481" t="s">
        <v>1742</v>
      </c>
      <c r="M481">
        <v>12</v>
      </c>
      <c r="N481">
        <v>12</v>
      </c>
      <c r="O481">
        <v>12</v>
      </c>
      <c r="P481">
        <v>12</v>
      </c>
      <c r="Q481">
        <v>12</v>
      </c>
      <c r="R481">
        <v>12</v>
      </c>
      <c r="S481">
        <v>12</v>
      </c>
      <c r="T481">
        <v>12</v>
      </c>
      <c r="U481">
        <v>12</v>
      </c>
      <c r="V481">
        <v>12</v>
      </c>
      <c r="W481">
        <v>12</v>
      </c>
      <c r="X481">
        <v>12</v>
      </c>
      <c r="Y481">
        <v>12</v>
      </c>
      <c r="Z481">
        <v>12</v>
      </c>
      <c r="AA481">
        <v>12</v>
      </c>
      <c r="AB481">
        <v>12</v>
      </c>
      <c r="AC481">
        <v>12</v>
      </c>
      <c r="AD481">
        <v>12</v>
      </c>
      <c r="AE481">
        <v>12</v>
      </c>
      <c r="AG481">
        <v>12</v>
      </c>
      <c r="CH481" t="str">
        <f t="shared" si="7"/>
        <v>D-0591</v>
      </c>
      <c r="CI481" s="1" t="s">
        <v>102</v>
      </c>
    </row>
    <row r="482" spans="1:87">
      <c r="A482" t="s">
        <v>1898</v>
      </c>
      <c r="B482">
        <v>168</v>
      </c>
      <c r="C482" t="s">
        <v>1746</v>
      </c>
      <c r="D482" t="s">
        <v>410</v>
      </c>
      <c r="E482" t="s">
        <v>629</v>
      </c>
      <c r="F482" t="s">
        <v>652</v>
      </c>
      <c r="G482" t="s">
        <v>1742</v>
      </c>
      <c r="U482">
        <v>28</v>
      </c>
      <c r="V482">
        <v>28</v>
      </c>
      <c r="W482">
        <v>14</v>
      </c>
      <c r="X482">
        <v>28</v>
      </c>
      <c r="Y482">
        <v>14</v>
      </c>
      <c r="Z482">
        <v>28</v>
      </c>
      <c r="AA482">
        <v>14</v>
      </c>
      <c r="AB482">
        <v>14</v>
      </c>
      <c r="CH482" t="str">
        <f t="shared" si="7"/>
        <v>D-0591</v>
      </c>
      <c r="CI482" s="1" t="s">
        <v>102</v>
      </c>
    </row>
    <row r="483" spans="1:87">
      <c r="A483" t="s">
        <v>1902</v>
      </c>
      <c r="B483">
        <v>449</v>
      </c>
      <c r="C483" t="s">
        <v>1746</v>
      </c>
      <c r="D483" t="s">
        <v>410</v>
      </c>
      <c r="E483" t="s">
        <v>629</v>
      </c>
      <c r="F483" t="s">
        <v>652</v>
      </c>
      <c r="G483" t="s">
        <v>1742</v>
      </c>
      <c r="S483">
        <v>24</v>
      </c>
      <c r="U483">
        <v>71</v>
      </c>
      <c r="W483">
        <v>107</v>
      </c>
      <c r="Y483">
        <v>107</v>
      </c>
      <c r="AA483">
        <v>81</v>
      </c>
      <c r="AC483">
        <v>47</v>
      </c>
      <c r="AE483">
        <v>12</v>
      </c>
      <c r="CH483" t="str">
        <f t="shared" si="7"/>
        <v>D-0591</v>
      </c>
      <c r="CI483" s="1" t="s">
        <v>102</v>
      </c>
    </row>
    <row r="484" spans="1:87">
      <c r="A484" t="s">
        <v>1759</v>
      </c>
      <c r="B484">
        <v>36</v>
      </c>
      <c r="C484" t="s">
        <v>1746</v>
      </c>
      <c r="D484" t="s">
        <v>410</v>
      </c>
      <c r="E484" t="s">
        <v>629</v>
      </c>
      <c r="F484" t="s">
        <v>652</v>
      </c>
      <c r="G484" t="s">
        <v>1742</v>
      </c>
      <c r="U484">
        <v>3</v>
      </c>
      <c r="V484">
        <v>3</v>
      </c>
      <c r="X484">
        <v>6</v>
      </c>
      <c r="Y484">
        <v>6</v>
      </c>
      <c r="Z484">
        <v>9</v>
      </c>
      <c r="AA484">
        <v>6</v>
      </c>
      <c r="AC484">
        <v>3</v>
      </c>
      <c r="CH484" t="str">
        <f t="shared" si="7"/>
        <v>D-0591</v>
      </c>
      <c r="CI484" s="1" t="s">
        <v>102</v>
      </c>
    </row>
    <row r="485" spans="1:87">
      <c r="A485" t="s">
        <v>1910</v>
      </c>
      <c r="B485">
        <v>396</v>
      </c>
      <c r="C485" t="s">
        <v>1746</v>
      </c>
      <c r="D485" t="s">
        <v>410</v>
      </c>
      <c r="E485" t="s">
        <v>629</v>
      </c>
      <c r="F485" t="s">
        <v>652</v>
      </c>
      <c r="G485" t="s">
        <v>1742</v>
      </c>
      <c r="M485">
        <v>12</v>
      </c>
      <c r="N485">
        <v>12</v>
      </c>
      <c r="O485">
        <v>12</v>
      </c>
      <c r="P485">
        <v>24</v>
      </c>
      <c r="Q485">
        <v>12</v>
      </c>
      <c r="R485">
        <v>24</v>
      </c>
      <c r="S485">
        <v>24</v>
      </c>
      <c r="T485">
        <v>12</v>
      </c>
      <c r="U485">
        <v>48</v>
      </c>
      <c r="V485">
        <v>60</v>
      </c>
      <c r="W485">
        <v>24</v>
      </c>
      <c r="X485">
        <v>60</v>
      </c>
      <c r="Y485">
        <v>12</v>
      </c>
      <c r="Z485">
        <v>36</v>
      </c>
      <c r="AA485">
        <v>12</v>
      </c>
      <c r="AC485">
        <v>12</v>
      </c>
      <c r="CH485" t="str">
        <f t="shared" si="7"/>
        <v>D-0591</v>
      </c>
      <c r="CI485" s="1" t="s">
        <v>102</v>
      </c>
    </row>
    <row r="486" spans="1:87">
      <c r="A486" t="s">
        <v>1764</v>
      </c>
      <c r="B486">
        <v>390</v>
      </c>
      <c r="C486" t="s">
        <v>1746</v>
      </c>
      <c r="D486" t="s">
        <v>410</v>
      </c>
      <c r="E486" t="s">
        <v>629</v>
      </c>
      <c r="F486" t="s">
        <v>652</v>
      </c>
      <c r="G486" t="s">
        <v>1742</v>
      </c>
      <c r="W486">
        <v>65</v>
      </c>
      <c r="Y486">
        <v>65</v>
      </c>
      <c r="AA486">
        <v>65</v>
      </c>
      <c r="AB486">
        <v>65</v>
      </c>
      <c r="AC486">
        <v>65</v>
      </c>
      <c r="AE486">
        <v>65</v>
      </c>
      <c r="CH486" t="str">
        <f t="shared" si="7"/>
        <v>D-0591</v>
      </c>
      <c r="CI486" s="1" t="s">
        <v>102</v>
      </c>
    </row>
    <row r="487" spans="1:87">
      <c r="A487" t="s">
        <v>1765</v>
      </c>
      <c r="B487">
        <v>390</v>
      </c>
      <c r="C487" t="s">
        <v>1746</v>
      </c>
      <c r="D487" t="s">
        <v>410</v>
      </c>
      <c r="E487" t="s">
        <v>629</v>
      </c>
      <c r="F487" t="s">
        <v>652</v>
      </c>
      <c r="G487" t="s">
        <v>1742</v>
      </c>
      <c r="W487">
        <v>65</v>
      </c>
      <c r="Y487">
        <v>65</v>
      </c>
      <c r="AA487">
        <v>65</v>
      </c>
      <c r="AC487">
        <v>65</v>
      </c>
      <c r="AE487">
        <v>65</v>
      </c>
      <c r="AG487">
        <v>65</v>
      </c>
      <c r="CH487" t="str">
        <f t="shared" si="7"/>
        <v>D-0591</v>
      </c>
      <c r="CI487" s="1" t="s">
        <v>102</v>
      </c>
    </row>
    <row r="488" spans="1:87">
      <c r="A488" t="s">
        <v>1766</v>
      </c>
      <c r="B488">
        <v>240</v>
      </c>
      <c r="C488" t="s">
        <v>1746</v>
      </c>
      <c r="D488" t="s">
        <v>410</v>
      </c>
      <c r="E488" t="s">
        <v>629</v>
      </c>
      <c r="F488" t="s">
        <v>652</v>
      </c>
      <c r="G488" t="s">
        <v>1742</v>
      </c>
      <c r="W488">
        <v>40</v>
      </c>
      <c r="Y488">
        <v>40</v>
      </c>
      <c r="AA488">
        <v>40</v>
      </c>
      <c r="AC488">
        <v>40</v>
      </c>
      <c r="AE488">
        <v>40</v>
      </c>
      <c r="AG488">
        <v>40</v>
      </c>
      <c r="CH488" t="str">
        <f t="shared" si="7"/>
        <v>D-0591</v>
      </c>
      <c r="CI488" s="1" t="s">
        <v>102</v>
      </c>
    </row>
    <row r="489" spans="1:87">
      <c r="A489" t="s">
        <v>1770</v>
      </c>
      <c r="B489">
        <v>240</v>
      </c>
      <c r="C489" t="s">
        <v>1746</v>
      </c>
      <c r="D489" t="s">
        <v>410</v>
      </c>
      <c r="E489" t="s">
        <v>629</v>
      </c>
      <c r="F489" t="s">
        <v>652</v>
      </c>
      <c r="G489" t="s">
        <v>1742</v>
      </c>
      <c r="M489">
        <v>24</v>
      </c>
      <c r="N489">
        <v>12</v>
      </c>
      <c r="P489">
        <v>12</v>
      </c>
      <c r="T489">
        <v>12</v>
      </c>
      <c r="U489">
        <v>12</v>
      </c>
      <c r="V489">
        <v>12</v>
      </c>
      <c r="W489">
        <v>24</v>
      </c>
      <c r="X489">
        <v>12</v>
      </c>
      <c r="Y489">
        <v>24</v>
      </c>
      <c r="Z489">
        <v>12</v>
      </c>
      <c r="AA489">
        <v>24</v>
      </c>
      <c r="AB489">
        <v>12</v>
      </c>
      <c r="AC489">
        <v>12</v>
      </c>
      <c r="AD489">
        <v>12</v>
      </c>
      <c r="AE489">
        <v>12</v>
      </c>
      <c r="AG489">
        <v>12</v>
      </c>
      <c r="CH489" t="str">
        <f t="shared" si="7"/>
        <v>D-0591</v>
      </c>
      <c r="CI489" s="1" t="s">
        <v>102</v>
      </c>
    </row>
    <row r="490" spans="1:87">
      <c r="A490" t="s">
        <v>1922</v>
      </c>
      <c r="B490">
        <v>180</v>
      </c>
      <c r="C490" t="s">
        <v>1746</v>
      </c>
      <c r="D490" t="s">
        <v>410</v>
      </c>
      <c r="E490" t="s">
        <v>629</v>
      </c>
      <c r="F490" t="s">
        <v>652</v>
      </c>
      <c r="G490" t="s">
        <v>1742</v>
      </c>
      <c r="T490">
        <v>12</v>
      </c>
      <c r="U490">
        <v>12</v>
      </c>
      <c r="V490">
        <v>24</v>
      </c>
      <c r="W490">
        <v>24</v>
      </c>
      <c r="X490">
        <v>36</v>
      </c>
      <c r="Y490">
        <v>24</v>
      </c>
      <c r="Z490">
        <v>24</v>
      </c>
      <c r="AA490">
        <v>12</v>
      </c>
      <c r="AB490">
        <v>12</v>
      </c>
      <c r="CH490" t="str">
        <f t="shared" si="7"/>
        <v>D-0591</v>
      </c>
      <c r="CI490" s="1" t="s">
        <v>102</v>
      </c>
    </row>
    <row r="491" spans="1:87">
      <c r="A491" t="s">
        <v>1928</v>
      </c>
      <c r="B491">
        <v>288</v>
      </c>
      <c r="C491" t="s">
        <v>1746</v>
      </c>
      <c r="D491" t="s">
        <v>410</v>
      </c>
      <c r="E491" t="s">
        <v>629</v>
      </c>
      <c r="F491" t="s">
        <v>652</v>
      </c>
      <c r="G491" t="s">
        <v>1742</v>
      </c>
      <c r="U491">
        <v>48</v>
      </c>
      <c r="V491">
        <v>48</v>
      </c>
      <c r="X491">
        <v>48</v>
      </c>
      <c r="Z491">
        <v>48</v>
      </c>
      <c r="AA491">
        <v>48</v>
      </c>
      <c r="AC491">
        <v>48</v>
      </c>
      <c r="CH491" t="str">
        <f t="shared" si="7"/>
        <v>D-0591</v>
      </c>
      <c r="CI491" s="1" t="s">
        <v>102</v>
      </c>
    </row>
    <row r="492" spans="1:87">
      <c r="A492" t="s">
        <v>1093</v>
      </c>
      <c r="B492">
        <v>163</v>
      </c>
      <c r="C492" t="s">
        <v>978</v>
      </c>
      <c r="D492" t="s">
        <v>238</v>
      </c>
      <c r="E492" t="s">
        <v>642</v>
      </c>
      <c r="F492" t="s">
        <v>632</v>
      </c>
      <c r="G492" t="s">
        <v>670</v>
      </c>
      <c r="P492">
        <v>2</v>
      </c>
      <c r="Q492">
        <v>3</v>
      </c>
      <c r="R492">
        <v>11</v>
      </c>
      <c r="S492">
        <v>18</v>
      </c>
      <c r="T492">
        <v>26</v>
      </c>
      <c r="U492">
        <v>26</v>
      </c>
      <c r="V492">
        <v>28</v>
      </c>
      <c r="W492">
        <v>21</v>
      </c>
      <c r="X492">
        <v>15</v>
      </c>
      <c r="Y492">
        <v>6</v>
      </c>
      <c r="Z492">
        <v>3</v>
      </c>
      <c r="AA492">
        <v>2</v>
      </c>
      <c r="AB492">
        <v>2</v>
      </c>
      <c r="CH492" t="str">
        <f t="shared" si="7"/>
        <v>D-0267</v>
      </c>
      <c r="CI492" s="1" t="s">
        <v>102</v>
      </c>
    </row>
    <row r="493" spans="1:87">
      <c r="A493" t="s">
        <v>1091</v>
      </c>
      <c r="B493">
        <v>90</v>
      </c>
      <c r="C493" t="s">
        <v>978</v>
      </c>
      <c r="D493" t="s">
        <v>238</v>
      </c>
      <c r="E493" t="s">
        <v>642</v>
      </c>
      <c r="F493" t="s">
        <v>632</v>
      </c>
      <c r="G493" t="s">
        <v>670</v>
      </c>
      <c r="R493">
        <v>12</v>
      </c>
      <c r="S493">
        <v>18</v>
      </c>
      <c r="T493">
        <v>12</v>
      </c>
      <c r="U493">
        <v>18</v>
      </c>
      <c r="V493">
        <v>12</v>
      </c>
      <c r="W493">
        <v>12</v>
      </c>
      <c r="X493">
        <v>6</v>
      </c>
      <c r="CH493" t="str">
        <f t="shared" si="7"/>
        <v>D-0267</v>
      </c>
      <c r="CI493" s="1" t="s">
        <v>102</v>
      </c>
    </row>
    <row r="494" spans="1:87">
      <c r="A494" t="s">
        <v>1107</v>
      </c>
      <c r="B494">
        <v>2599</v>
      </c>
      <c r="C494" t="s">
        <v>978</v>
      </c>
      <c r="D494" t="s">
        <v>238</v>
      </c>
      <c r="E494" t="s">
        <v>642</v>
      </c>
      <c r="F494" t="s">
        <v>632</v>
      </c>
      <c r="G494" t="s">
        <v>670</v>
      </c>
      <c r="P494">
        <v>104</v>
      </c>
      <c r="Q494">
        <v>221</v>
      </c>
      <c r="R494">
        <v>280</v>
      </c>
      <c r="S494">
        <v>460</v>
      </c>
      <c r="T494">
        <v>389</v>
      </c>
      <c r="U494">
        <v>312</v>
      </c>
      <c r="V494">
        <v>262</v>
      </c>
      <c r="W494">
        <v>241</v>
      </c>
      <c r="X494">
        <v>119</v>
      </c>
      <c r="Y494">
        <v>109</v>
      </c>
      <c r="Z494">
        <v>102</v>
      </c>
      <c r="CH494" t="str">
        <f t="shared" si="7"/>
        <v>D-0267</v>
      </c>
      <c r="CI494" s="1" t="s">
        <v>102</v>
      </c>
    </row>
    <row r="495" spans="1:87">
      <c r="A495" t="s">
        <v>2059</v>
      </c>
      <c r="B495">
        <v>288</v>
      </c>
      <c r="C495" t="s">
        <v>2045</v>
      </c>
      <c r="D495" t="s">
        <v>304</v>
      </c>
      <c r="E495" t="s">
        <v>629</v>
      </c>
      <c r="F495" t="s">
        <v>2046</v>
      </c>
      <c r="G495" t="s">
        <v>2047</v>
      </c>
      <c r="N495">
        <v>24</v>
      </c>
      <c r="P495">
        <v>24</v>
      </c>
      <c r="R495">
        <v>48</v>
      </c>
      <c r="T495">
        <v>48</v>
      </c>
      <c r="V495">
        <v>48</v>
      </c>
      <c r="X495">
        <v>48</v>
      </c>
      <c r="Z495">
        <v>24</v>
      </c>
      <c r="AB495">
        <v>24</v>
      </c>
      <c r="CH495" t="str">
        <f t="shared" si="7"/>
        <v>D-0451</v>
      </c>
      <c r="CI495" s="1" t="s">
        <v>102</v>
      </c>
    </row>
    <row r="496" spans="1:87">
      <c r="A496" t="s">
        <v>2056</v>
      </c>
      <c r="B496">
        <v>873</v>
      </c>
      <c r="C496" t="s">
        <v>2045</v>
      </c>
      <c r="D496" t="s">
        <v>304</v>
      </c>
      <c r="E496" t="s">
        <v>629</v>
      </c>
      <c r="F496" t="s">
        <v>2046</v>
      </c>
      <c r="G496" t="s">
        <v>2047</v>
      </c>
      <c r="O496">
        <v>97</v>
      </c>
      <c r="Q496">
        <v>194</v>
      </c>
      <c r="S496">
        <v>97</v>
      </c>
      <c r="T496">
        <v>97</v>
      </c>
      <c r="V496">
        <v>97</v>
      </c>
      <c r="W496">
        <v>194</v>
      </c>
      <c r="Y496">
        <v>97</v>
      </c>
      <c r="CH496" t="str">
        <f t="shared" si="7"/>
        <v>D-0451</v>
      </c>
      <c r="CI496" s="1" t="s">
        <v>102</v>
      </c>
    </row>
    <row r="497" spans="1:87">
      <c r="A497" t="s">
        <v>2053</v>
      </c>
      <c r="B497">
        <v>120</v>
      </c>
      <c r="C497" t="s">
        <v>2045</v>
      </c>
      <c r="D497" t="s">
        <v>304</v>
      </c>
      <c r="E497" t="s">
        <v>629</v>
      </c>
      <c r="F497" t="s">
        <v>2046</v>
      </c>
      <c r="G497" t="s">
        <v>2047</v>
      </c>
      <c r="N497">
        <v>10</v>
      </c>
      <c r="P497">
        <v>10</v>
      </c>
      <c r="R497">
        <v>20</v>
      </c>
      <c r="T497">
        <v>20</v>
      </c>
      <c r="V497">
        <v>20</v>
      </c>
      <c r="X497">
        <v>20</v>
      </c>
      <c r="Z497">
        <v>10</v>
      </c>
      <c r="AB497">
        <v>10</v>
      </c>
      <c r="CH497" t="str">
        <f t="shared" si="7"/>
        <v>D-0451</v>
      </c>
      <c r="CI497" s="1" t="s">
        <v>683</v>
      </c>
    </row>
    <row r="498" spans="1:87">
      <c r="A498" t="s">
        <v>2054</v>
      </c>
      <c r="B498">
        <v>240</v>
      </c>
      <c r="C498" t="s">
        <v>2045</v>
      </c>
      <c r="D498" t="s">
        <v>304</v>
      </c>
      <c r="E498" t="s">
        <v>629</v>
      </c>
      <c r="F498" t="s">
        <v>2046</v>
      </c>
      <c r="G498" t="s">
        <v>2047</v>
      </c>
      <c r="N498">
        <v>12</v>
      </c>
      <c r="O498">
        <v>24</v>
      </c>
      <c r="P498">
        <v>24</v>
      </c>
      <c r="Q498">
        <v>24</v>
      </c>
      <c r="R498">
        <v>24</v>
      </c>
      <c r="S498">
        <v>12</v>
      </c>
      <c r="T498">
        <v>24</v>
      </c>
      <c r="U498">
        <v>24</v>
      </c>
      <c r="V498">
        <v>24</v>
      </c>
      <c r="W498">
        <v>24</v>
      </c>
      <c r="X498">
        <v>12</v>
      </c>
      <c r="Z498">
        <v>12</v>
      </c>
      <c r="CH498" t="str">
        <f t="shared" si="7"/>
        <v>D-0451</v>
      </c>
      <c r="CI498" s="1" t="s">
        <v>683</v>
      </c>
    </row>
    <row r="499" spans="1:87">
      <c r="A499" t="s">
        <v>2049</v>
      </c>
      <c r="B499">
        <v>660</v>
      </c>
      <c r="C499" t="s">
        <v>2045</v>
      </c>
      <c r="D499" t="s">
        <v>304</v>
      </c>
      <c r="E499" t="s">
        <v>629</v>
      </c>
      <c r="F499" t="s">
        <v>2046</v>
      </c>
      <c r="G499" t="s">
        <v>2047</v>
      </c>
      <c r="P499">
        <v>110</v>
      </c>
      <c r="Q499">
        <v>110</v>
      </c>
      <c r="R499">
        <v>110</v>
      </c>
      <c r="S499">
        <v>110</v>
      </c>
      <c r="T499">
        <v>110</v>
      </c>
      <c r="U499">
        <v>110</v>
      </c>
      <c r="CH499" t="str">
        <f t="shared" si="7"/>
        <v>D-0451</v>
      </c>
      <c r="CI499" s="1" t="s">
        <v>683</v>
      </c>
    </row>
    <row r="500" spans="1:87">
      <c r="A500" t="s">
        <v>2051</v>
      </c>
      <c r="B500">
        <v>648</v>
      </c>
      <c r="C500" t="s">
        <v>2045</v>
      </c>
      <c r="D500" t="s">
        <v>304</v>
      </c>
      <c r="E500" t="s">
        <v>629</v>
      </c>
      <c r="F500" t="s">
        <v>2046</v>
      </c>
      <c r="G500" t="s">
        <v>2047</v>
      </c>
      <c r="R500">
        <v>36</v>
      </c>
      <c r="T500">
        <v>84</v>
      </c>
      <c r="V500">
        <v>144</v>
      </c>
      <c r="X500">
        <v>168</v>
      </c>
      <c r="Z500">
        <v>120</v>
      </c>
      <c r="AB500">
        <v>96</v>
      </c>
      <c r="CH500" t="str">
        <f t="shared" si="7"/>
        <v>D-0451</v>
      </c>
      <c r="CI500" s="1" t="s">
        <v>683</v>
      </c>
    </row>
    <row r="501" spans="1:87">
      <c r="A501" t="s">
        <v>2050</v>
      </c>
      <c r="B501">
        <v>120</v>
      </c>
      <c r="C501" t="s">
        <v>2045</v>
      </c>
      <c r="D501" t="s">
        <v>304</v>
      </c>
      <c r="E501" t="s">
        <v>629</v>
      </c>
      <c r="F501" t="s">
        <v>2046</v>
      </c>
      <c r="G501" t="s">
        <v>2047</v>
      </c>
      <c r="V501">
        <v>20</v>
      </c>
      <c r="W501">
        <v>10</v>
      </c>
      <c r="X501">
        <v>20</v>
      </c>
      <c r="Y501">
        <v>20</v>
      </c>
      <c r="Z501">
        <v>20</v>
      </c>
      <c r="AA501">
        <v>10</v>
      </c>
      <c r="AB501">
        <v>10</v>
      </c>
      <c r="AD501">
        <v>10</v>
      </c>
      <c r="CH501" t="str">
        <f t="shared" si="7"/>
        <v>D-0451</v>
      </c>
      <c r="CI501" s="1" t="s">
        <v>102</v>
      </c>
    </row>
    <row r="502" spans="1:87">
      <c r="A502" t="s">
        <v>2058</v>
      </c>
      <c r="B502">
        <v>840</v>
      </c>
      <c r="C502" t="s">
        <v>2045</v>
      </c>
      <c r="D502" t="s">
        <v>304</v>
      </c>
      <c r="E502" t="s">
        <v>629</v>
      </c>
      <c r="F502" t="s">
        <v>2046</v>
      </c>
      <c r="G502" t="s">
        <v>2047</v>
      </c>
      <c r="N502">
        <v>36</v>
      </c>
      <c r="O502">
        <v>24</v>
      </c>
      <c r="P502">
        <v>72</v>
      </c>
      <c r="Q502">
        <v>24</v>
      </c>
      <c r="R502">
        <v>60</v>
      </c>
      <c r="S502">
        <v>24</v>
      </c>
      <c r="T502">
        <v>96</v>
      </c>
      <c r="U502">
        <v>72</v>
      </c>
      <c r="V502">
        <v>108</v>
      </c>
      <c r="W502">
        <v>108</v>
      </c>
      <c r="X502">
        <v>108</v>
      </c>
      <c r="Y502">
        <v>48</v>
      </c>
      <c r="Z502">
        <v>36</v>
      </c>
      <c r="AB502">
        <v>24</v>
      </c>
      <c r="CH502" t="str">
        <f t="shared" si="7"/>
        <v>D-0451</v>
      </c>
      <c r="CI502" s="1" t="s">
        <v>102</v>
      </c>
    </row>
    <row r="503" spans="1:87">
      <c r="A503" t="s">
        <v>2055</v>
      </c>
      <c r="B503">
        <v>456</v>
      </c>
      <c r="C503" t="s">
        <v>2045</v>
      </c>
      <c r="D503" t="s">
        <v>304</v>
      </c>
      <c r="E503" t="s">
        <v>629</v>
      </c>
      <c r="F503" t="s">
        <v>2046</v>
      </c>
      <c r="G503" t="s">
        <v>2047</v>
      </c>
      <c r="O503">
        <v>12</v>
      </c>
      <c r="Q503">
        <v>24</v>
      </c>
      <c r="T503">
        <v>24</v>
      </c>
      <c r="V503">
        <v>96</v>
      </c>
      <c r="X503">
        <v>120</v>
      </c>
      <c r="Z503">
        <v>108</v>
      </c>
      <c r="AB503">
        <v>48</v>
      </c>
      <c r="AD503">
        <v>24</v>
      </c>
      <c r="CH503" t="str">
        <f t="shared" si="7"/>
        <v>D-0451</v>
      </c>
      <c r="CI503" s="1" t="s">
        <v>102</v>
      </c>
    </row>
    <row r="504" spans="1:87">
      <c r="A504" t="s">
        <v>2052</v>
      </c>
      <c r="B504">
        <v>120</v>
      </c>
      <c r="C504" t="s">
        <v>2045</v>
      </c>
      <c r="D504" t="s">
        <v>304</v>
      </c>
      <c r="E504" t="s">
        <v>629</v>
      </c>
      <c r="F504" t="s">
        <v>2046</v>
      </c>
      <c r="G504" t="s">
        <v>2047</v>
      </c>
      <c r="L504">
        <v>12</v>
      </c>
      <c r="N504">
        <v>12</v>
      </c>
      <c r="O504">
        <v>12</v>
      </c>
      <c r="P504">
        <v>12</v>
      </c>
      <c r="Q504">
        <v>12</v>
      </c>
      <c r="R504">
        <v>12</v>
      </c>
      <c r="S504">
        <v>12</v>
      </c>
      <c r="T504">
        <v>12</v>
      </c>
      <c r="U504">
        <v>12</v>
      </c>
      <c r="V504">
        <v>12</v>
      </c>
      <c r="CH504" t="str">
        <f t="shared" si="7"/>
        <v>D-0451</v>
      </c>
      <c r="CI504" s="1" t="s">
        <v>102</v>
      </c>
    </row>
    <row r="505" spans="1:87">
      <c r="A505" t="s">
        <v>2057</v>
      </c>
      <c r="B505">
        <v>180</v>
      </c>
      <c r="C505" t="s">
        <v>2045</v>
      </c>
      <c r="D505" t="s">
        <v>304</v>
      </c>
      <c r="E505" t="s">
        <v>629</v>
      </c>
      <c r="F505" t="s">
        <v>2046</v>
      </c>
      <c r="G505" t="s">
        <v>2047</v>
      </c>
      <c r="Q505">
        <v>24</v>
      </c>
      <c r="S505">
        <v>24</v>
      </c>
      <c r="T505">
        <v>24</v>
      </c>
      <c r="V505">
        <v>24</v>
      </c>
      <c r="W505">
        <v>36</v>
      </c>
      <c r="Y505">
        <v>36</v>
      </c>
      <c r="Z505">
        <v>12</v>
      </c>
      <c r="CH505" t="str">
        <f t="shared" si="7"/>
        <v>D-0451</v>
      </c>
      <c r="CI505" s="1" t="s">
        <v>102</v>
      </c>
    </row>
    <row r="506" spans="1:87">
      <c r="A506" t="s">
        <v>2048</v>
      </c>
      <c r="B506">
        <v>120</v>
      </c>
      <c r="C506" t="s">
        <v>2045</v>
      </c>
      <c r="D506" t="s">
        <v>304</v>
      </c>
      <c r="E506" t="s">
        <v>629</v>
      </c>
      <c r="F506" t="s">
        <v>2046</v>
      </c>
      <c r="G506" t="s">
        <v>2047</v>
      </c>
      <c r="S506">
        <v>12</v>
      </c>
      <c r="T506">
        <v>12</v>
      </c>
      <c r="V506">
        <v>12</v>
      </c>
      <c r="W506">
        <v>24</v>
      </c>
      <c r="X506">
        <v>12</v>
      </c>
      <c r="Y506">
        <v>24</v>
      </c>
      <c r="Z506">
        <v>12</v>
      </c>
      <c r="AB506">
        <v>12</v>
      </c>
      <c r="CH506" t="str">
        <f t="shared" si="7"/>
        <v>D-0451</v>
      </c>
      <c r="CI506" s="1" t="s">
        <v>102</v>
      </c>
    </row>
    <row r="507" spans="1:87">
      <c r="A507" t="s">
        <v>2044</v>
      </c>
      <c r="B507">
        <v>156</v>
      </c>
      <c r="C507" t="s">
        <v>2045</v>
      </c>
      <c r="D507" t="s">
        <v>304</v>
      </c>
      <c r="E507" t="s">
        <v>629</v>
      </c>
      <c r="F507" t="s">
        <v>2046</v>
      </c>
      <c r="G507" t="s">
        <v>2047</v>
      </c>
      <c r="T507">
        <v>12</v>
      </c>
      <c r="V507">
        <v>12</v>
      </c>
      <c r="W507">
        <v>36</v>
      </c>
      <c r="X507">
        <v>12</v>
      </c>
      <c r="Y507">
        <v>36</v>
      </c>
      <c r="Z507">
        <v>24</v>
      </c>
      <c r="AB507">
        <v>24</v>
      </c>
      <c r="CH507" t="str">
        <f t="shared" si="7"/>
        <v>D-0451</v>
      </c>
      <c r="CI507" s="1" t="s">
        <v>102</v>
      </c>
    </row>
    <row r="508" spans="1:87">
      <c r="A508" t="s">
        <v>3372</v>
      </c>
      <c r="B508">
        <v>3681</v>
      </c>
      <c r="C508" t="s">
        <v>735</v>
      </c>
      <c r="D508" t="s">
        <v>336</v>
      </c>
      <c r="E508" t="s">
        <v>629</v>
      </c>
      <c r="F508" t="s">
        <v>630</v>
      </c>
      <c r="G508" t="s">
        <v>2283</v>
      </c>
      <c r="R508">
        <v>10</v>
      </c>
      <c r="S508">
        <v>20</v>
      </c>
      <c r="T508">
        <v>157</v>
      </c>
      <c r="U508">
        <v>242</v>
      </c>
      <c r="V508">
        <v>472</v>
      </c>
      <c r="W508">
        <v>562</v>
      </c>
      <c r="X508">
        <v>684</v>
      </c>
      <c r="Y508">
        <v>620</v>
      </c>
      <c r="Z508">
        <v>446</v>
      </c>
      <c r="AA508">
        <v>239</v>
      </c>
      <c r="AB508">
        <v>142</v>
      </c>
      <c r="AC508">
        <v>25</v>
      </c>
      <c r="AD508">
        <v>59</v>
      </c>
      <c r="AE508">
        <v>1</v>
      </c>
      <c r="AF508">
        <v>2</v>
      </c>
      <c r="CH508" t="str">
        <f t="shared" si="7"/>
        <v>D-0489</v>
      </c>
      <c r="CI508" s="1" t="s">
        <v>102</v>
      </c>
    </row>
    <row r="509" spans="1:87">
      <c r="A509" t="s">
        <v>2914</v>
      </c>
      <c r="B509">
        <v>4559</v>
      </c>
      <c r="C509" t="s">
        <v>1166</v>
      </c>
      <c r="D509" t="s">
        <v>457</v>
      </c>
      <c r="E509" t="s">
        <v>629</v>
      </c>
      <c r="F509" t="s">
        <v>672</v>
      </c>
      <c r="G509" t="s">
        <v>673</v>
      </c>
      <c r="N509">
        <v>90</v>
      </c>
      <c r="O509">
        <v>150</v>
      </c>
      <c r="P509">
        <v>198</v>
      </c>
      <c r="Q509">
        <v>336</v>
      </c>
      <c r="R509">
        <v>384</v>
      </c>
      <c r="S509">
        <v>438</v>
      </c>
      <c r="T509">
        <v>336</v>
      </c>
      <c r="U509">
        <v>300</v>
      </c>
      <c r="V509">
        <v>216</v>
      </c>
      <c r="W509">
        <v>258</v>
      </c>
      <c r="X509">
        <v>269</v>
      </c>
      <c r="Y509">
        <v>282</v>
      </c>
      <c r="Z509">
        <v>300</v>
      </c>
      <c r="AA509">
        <v>294</v>
      </c>
      <c r="AB509">
        <v>246</v>
      </c>
      <c r="AC509">
        <v>150</v>
      </c>
      <c r="AD509">
        <v>168</v>
      </c>
      <c r="AF509">
        <v>96</v>
      </c>
      <c r="AH509">
        <v>36</v>
      </c>
      <c r="AJ509">
        <v>6</v>
      </c>
      <c r="AN509">
        <v>6</v>
      </c>
      <c r="CH509" t="str">
        <f t="shared" si="7"/>
        <v>JV1-0695-3</v>
      </c>
      <c r="CI509" s="1" t="s">
        <v>102</v>
      </c>
    </row>
    <row r="510" spans="1:87">
      <c r="A510" t="s">
        <v>1222</v>
      </c>
      <c r="B510">
        <v>707</v>
      </c>
      <c r="C510" t="s">
        <v>1166</v>
      </c>
      <c r="D510" t="s">
        <v>457</v>
      </c>
      <c r="E510" t="s">
        <v>629</v>
      </c>
      <c r="F510" t="s">
        <v>672</v>
      </c>
      <c r="G510" t="s">
        <v>673</v>
      </c>
      <c r="U510">
        <v>59</v>
      </c>
      <c r="W510">
        <v>132</v>
      </c>
      <c r="Y510">
        <v>192</v>
      </c>
      <c r="AA510">
        <v>162</v>
      </c>
      <c r="AC510">
        <v>132</v>
      </c>
      <c r="AF510">
        <v>30</v>
      </c>
      <c r="CH510" t="str">
        <f t="shared" si="7"/>
        <v>JV1-0695-3</v>
      </c>
      <c r="CI510" s="1" t="s">
        <v>102</v>
      </c>
    </row>
    <row r="511" spans="1:87">
      <c r="A511" t="s">
        <v>1223</v>
      </c>
      <c r="B511">
        <v>149</v>
      </c>
      <c r="C511" t="s">
        <v>1166</v>
      </c>
      <c r="D511" t="s">
        <v>457</v>
      </c>
      <c r="E511" t="s">
        <v>629</v>
      </c>
      <c r="F511" t="s">
        <v>672</v>
      </c>
      <c r="G511" t="s">
        <v>673</v>
      </c>
      <c r="O511">
        <v>12</v>
      </c>
      <c r="P511">
        <v>12</v>
      </c>
      <c r="Q511">
        <v>24</v>
      </c>
      <c r="R511">
        <v>24</v>
      </c>
      <c r="S511">
        <v>24</v>
      </c>
      <c r="T511">
        <v>24</v>
      </c>
      <c r="U511">
        <v>17</v>
      </c>
      <c r="V511">
        <v>12</v>
      </c>
      <c r="CH511" t="str">
        <f t="shared" si="7"/>
        <v>JV1-0695-3</v>
      </c>
      <c r="CI511" s="1" t="s">
        <v>102</v>
      </c>
    </row>
    <row r="512" spans="1:87">
      <c r="A512" t="s">
        <v>2824</v>
      </c>
      <c r="B512">
        <v>1691</v>
      </c>
      <c r="C512" t="s">
        <v>1165</v>
      </c>
      <c r="D512" t="s">
        <v>457</v>
      </c>
      <c r="E512" t="s">
        <v>629</v>
      </c>
      <c r="F512" t="s">
        <v>672</v>
      </c>
      <c r="G512" t="s">
        <v>673</v>
      </c>
      <c r="N512">
        <v>36</v>
      </c>
      <c r="O512">
        <v>48</v>
      </c>
      <c r="P512">
        <v>72</v>
      </c>
      <c r="Q512">
        <v>114</v>
      </c>
      <c r="R512">
        <v>120</v>
      </c>
      <c r="S512">
        <v>120</v>
      </c>
      <c r="T512">
        <v>96</v>
      </c>
      <c r="U512">
        <v>96</v>
      </c>
      <c r="V512">
        <v>125</v>
      </c>
      <c r="W512">
        <v>132</v>
      </c>
      <c r="X512">
        <v>96</v>
      </c>
      <c r="Y512">
        <v>192</v>
      </c>
      <c r="Z512">
        <v>132</v>
      </c>
      <c r="AA512">
        <v>72</v>
      </c>
      <c r="AB512">
        <v>84</v>
      </c>
      <c r="AC512">
        <v>48</v>
      </c>
      <c r="AD512">
        <v>48</v>
      </c>
      <c r="AF512">
        <v>36</v>
      </c>
      <c r="AH512">
        <v>12</v>
      </c>
      <c r="AJ512">
        <v>12</v>
      </c>
      <c r="CH512" t="str">
        <f t="shared" si="7"/>
        <v>JV1-0695-3</v>
      </c>
      <c r="CI512" s="1" t="s">
        <v>102</v>
      </c>
    </row>
    <row r="513" spans="1:87">
      <c r="A513" t="s">
        <v>2825</v>
      </c>
      <c r="B513">
        <v>1187</v>
      </c>
      <c r="C513" t="s">
        <v>1166</v>
      </c>
      <c r="D513" t="s">
        <v>457</v>
      </c>
      <c r="E513" t="s">
        <v>629</v>
      </c>
      <c r="F513" t="s">
        <v>672</v>
      </c>
      <c r="G513" t="s">
        <v>673</v>
      </c>
      <c r="N513">
        <v>18</v>
      </c>
      <c r="O513">
        <v>54</v>
      </c>
      <c r="P513">
        <v>54</v>
      </c>
      <c r="Q513">
        <v>132</v>
      </c>
      <c r="R513">
        <v>102</v>
      </c>
      <c r="S513">
        <v>192</v>
      </c>
      <c r="T513">
        <v>114</v>
      </c>
      <c r="U513">
        <v>144</v>
      </c>
      <c r="V513">
        <v>101</v>
      </c>
      <c r="W513">
        <v>66</v>
      </c>
      <c r="X513">
        <v>72</v>
      </c>
      <c r="Z513">
        <v>48</v>
      </c>
      <c r="AB513">
        <v>48</v>
      </c>
      <c r="AD513">
        <v>18</v>
      </c>
      <c r="AF513">
        <v>18</v>
      </c>
      <c r="AH513">
        <v>6</v>
      </c>
      <c r="CH513" t="str">
        <f t="shared" si="7"/>
        <v>JV1-0695-3</v>
      </c>
      <c r="CI513" s="1" t="s">
        <v>102</v>
      </c>
    </row>
    <row r="514" spans="1:87">
      <c r="A514" t="s">
        <v>2826</v>
      </c>
      <c r="B514">
        <v>1025</v>
      </c>
      <c r="C514" t="s">
        <v>1166</v>
      </c>
      <c r="D514" t="s">
        <v>457</v>
      </c>
      <c r="E514" t="s">
        <v>629</v>
      </c>
      <c r="F514" t="s">
        <v>672</v>
      </c>
      <c r="G514" t="s">
        <v>673</v>
      </c>
      <c r="N514">
        <v>18</v>
      </c>
      <c r="O514">
        <v>42</v>
      </c>
      <c r="P514">
        <v>42</v>
      </c>
      <c r="Q514">
        <v>108</v>
      </c>
      <c r="R514">
        <v>78</v>
      </c>
      <c r="S514">
        <v>150</v>
      </c>
      <c r="T514">
        <v>84</v>
      </c>
      <c r="U514">
        <v>114</v>
      </c>
      <c r="V514">
        <v>89</v>
      </c>
      <c r="W514">
        <v>60</v>
      </c>
      <c r="X514">
        <v>78</v>
      </c>
      <c r="Y514">
        <v>6</v>
      </c>
      <c r="Z514">
        <v>54</v>
      </c>
      <c r="AB514">
        <v>54</v>
      </c>
      <c r="AD514">
        <v>24</v>
      </c>
      <c r="AF514">
        <v>18</v>
      </c>
      <c r="AH514">
        <v>6</v>
      </c>
      <c r="CH514" t="str">
        <f t="shared" ref="CH514:CH577" si="8">TRIM(IFERROR(IFERROR(MID($D514,FIND("(D-",$D514)+1,6),LEFT($D514,FIND("(",$D514)-1)),$D514))</f>
        <v>JV1-0695-3</v>
      </c>
      <c r="CI514" s="1" t="s">
        <v>102</v>
      </c>
    </row>
    <row r="515" spans="1:87">
      <c r="A515" t="s">
        <v>2831</v>
      </c>
      <c r="B515">
        <v>407</v>
      </c>
      <c r="C515" t="s">
        <v>1166</v>
      </c>
      <c r="D515" t="s">
        <v>457</v>
      </c>
      <c r="E515" t="s">
        <v>629</v>
      </c>
      <c r="F515" t="s">
        <v>672</v>
      </c>
      <c r="G515" t="s">
        <v>673</v>
      </c>
      <c r="N515">
        <v>6</v>
      </c>
      <c r="O515">
        <v>36</v>
      </c>
      <c r="Q515">
        <v>54</v>
      </c>
      <c r="S515">
        <v>54</v>
      </c>
      <c r="T515">
        <v>18</v>
      </c>
      <c r="U515">
        <v>36</v>
      </c>
      <c r="V515">
        <v>47</v>
      </c>
      <c r="W515">
        <v>54</v>
      </c>
      <c r="X515">
        <v>6</v>
      </c>
      <c r="Y515">
        <v>48</v>
      </c>
      <c r="Z515">
        <v>24</v>
      </c>
      <c r="AB515">
        <v>24</v>
      </c>
      <c r="CH515" t="str">
        <f t="shared" si="8"/>
        <v>JV1-0695-3</v>
      </c>
      <c r="CI515" s="1" t="s">
        <v>102</v>
      </c>
    </row>
    <row r="516" spans="1:87">
      <c r="A516" t="s">
        <v>2917</v>
      </c>
      <c r="B516">
        <v>185</v>
      </c>
      <c r="C516" t="s">
        <v>1165</v>
      </c>
      <c r="D516" t="s">
        <v>457</v>
      </c>
      <c r="E516" t="s">
        <v>629</v>
      </c>
      <c r="F516" t="s">
        <v>672</v>
      </c>
      <c r="G516" t="s">
        <v>673</v>
      </c>
      <c r="N516">
        <v>6</v>
      </c>
      <c r="O516">
        <v>6</v>
      </c>
      <c r="P516">
        <v>12</v>
      </c>
      <c r="Q516">
        <v>12</v>
      </c>
      <c r="R516">
        <v>12</v>
      </c>
      <c r="S516">
        <v>18</v>
      </c>
      <c r="T516">
        <v>12</v>
      </c>
      <c r="U516">
        <v>12</v>
      </c>
      <c r="V516">
        <v>12</v>
      </c>
      <c r="W516">
        <v>6</v>
      </c>
      <c r="X516">
        <v>17</v>
      </c>
      <c r="Y516">
        <v>12</v>
      </c>
      <c r="Z516">
        <v>12</v>
      </c>
      <c r="AA516">
        <v>12</v>
      </c>
      <c r="AB516">
        <v>6</v>
      </c>
      <c r="AC516">
        <v>6</v>
      </c>
      <c r="AD516">
        <v>6</v>
      </c>
      <c r="AJ516">
        <v>6</v>
      </c>
      <c r="CH516" t="str">
        <f t="shared" si="8"/>
        <v>JV1-0695-3</v>
      </c>
      <c r="CI516" s="1" t="s">
        <v>102</v>
      </c>
    </row>
    <row r="517" spans="1:87">
      <c r="A517" t="s">
        <v>2828</v>
      </c>
      <c r="B517">
        <v>2333</v>
      </c>
      <c r="C517" t="s">
        <v>1166</v>
      </c>
      <c r="D517" t="s">
        <v>457</v>
      </c>
      <c r="E517" t="s">
        <v>629</v>
      </c>
      <c r="F517" t="s">
        <v>672</v>
      </c>
      <c r="G517" t="s">
        <v>673</v>
      </c>
      <c r="O517">
        <v>180</v>
      </c>
      <c r="P517">
        <v>150</v>
      </c>
      <c r="Q517">
        <v>342</v>
      </c>
      <c r="R517">
        <v>210</v>
      </c>
      <c r="S517">
        <v>390</v>
      </c>
      <c r="T517">
        <v>192</v>
      </c>
      <c r="U517">
        <v>252</v>
      </c>
      <c r="V517">
        <v>131</v>
      </c>
      <c r="W517">
        <v>108</v>
      </c>
      <c r="X517">
        <v>48</v>
      </c>
      <c r="Y517">
        <v>24</v>
      </c>
      <c r="Z517">
        <v>24</v>
      </c>
      <c r="AB517">
        <v>126</v>
      </c>
      <c r="AD517">
        <v>72</v>
      </c>
      <c r="AF517">
        <v>48</v>
      </c>
      <c r="AH517">
        <v>36</v>
      </c>
      <c r="CH517" t="str">
        <f t="shared" si="8"/>
        <v>JV1-0695-3</v>
      </c>
      <c r="CI517" s="1" t="s">
        <v>102</v>
      </c>
    </row>
    <row r="518" spans="1:87">
      <c r="A518" t="s">
        <v>2829</v>
      </c>
      <c r="B518">
        <v>2057</v>
      </c>
      <c r="C518" t="s">
        <v>1166</v>
      </c>
      <c r="D518" t="s">
        <v>457</v>
      </c>
      <c r="E518" t="s">
        <v>629</v>
      </c>
      <c r="F518" t="s">
        <v>672</v>
      </c>
      <c r="G518" t="s">
        <v>673</v>
      </c>
      <c r="N518">
        <v>6</v>
      </c>
      <c r="O518">
        <v>204</v>
      </c>
      <c r="P518">
        <v>144</v>
      </c>
      <c r="Q518">
        <v>330</v>
      </c>
      <c r="R518">
        <v>210</v>
      </c>
      <c r="S518">
        <v>432</v>
      </c>
      <c r="T518">
        <v>138</v>
      </c>
      <c r="U518">
        <v>288</v>
      </c>
      <c r="V518">
        <v>101</v>
      </c>
      <c r="W518">
        <v>150</v>
      </c>
      <c r="X518">
        <v>24</v>
      </c>
      <c r="Y518">
        <v>30</v>
      </c>
      <c r="CH518" t="str">
        <f t="shared" si="8"/>
        <v>JV1-0695-3</v>
      </c>
      <c r="CI518" s="1" t="s">
        <v>102</v>
      </c>
    </row>
    <row r="519" spans="1:87">
      <c r="A519" t="s">
        <v>2915</v>
      </c>
      <c r="B519">
        <v>1571</v>
      </c>
      <c r="C519" t="s">
        <v>1165</v>
      </c>
      <c r="D519" t="s">
        <v>457</v>
      </c>
      <c r="E519" t="s">
        <v>629</v>
      </c>
      <c r="F519" t="s">
        <v>672</v>
      </c>
      <c r="G519" t="s">
        <v>673</v>
      </c>
      <c r="N519">
        <v>36</v>
      </c>
      <c r="O519">
        <v>54</v>
      </c>
      <c r="P519">
        <v>84</v>
      </c>
      <c r="Q519">
        <v>114</v>
      </c>
      <c r="R519">
        <v>120</v>
      </c>
      <c r="S519">
        <v>132</v>
      </c>
      <c r="T519">
        <v>102</v>
      </c>
      <c r="U519">
        <v>96</v>
      </c>
      <c r="V519">
        <v>90</v>
      </c>
      <c r="W519">
        <v>90</v>
      </c>
      <c r="X519">
        <v>95</v>
      </c>
      <c r="Y519">
        <v>96</v>
      </c>
      <c r="Z519">
        <v>96</v>
      </c>
      <c r="AA519">
        <v>96</v>
      </c>
      <c r="AB519">
        <v>84</v>
      </c>
      <c r="AC519">
        <v>60</v>
      </c>
      <c r="AD519">
        <v>66</v>
      </c>
      <c r="AF519">
        <v>36</v>
      </c>
      <c r="AH519">
        <v>18</v>
      </c>
      <c r="AJ519">
        <v>6</v>
      </c>
      <c r="CH519" t="str">
        <f t="shared" si="8"/>
        <v>JV1-0695-3</v>
      </c>
      <c r="CI519" s="1" t="s">
        <v>102</v>
      </c>
    </row>
    <row r="520" spans="1:87">
      <c r="A520" t="s">
        <v>2916</v>
      </c>
      <c r="B520">
        <v>1109</v>
      </c>
      <c r="C520" t="s">
        <v>1166</v>
      </c>
      <c r="D520" t="s">
        <v>457</v>
      </c>
      <c r="E520" t="s">
        <v>629</v>
      </c>
      <c r="F520" t="s">
        <v>672</v>
      </c>
      <c r="G520" t="s">
        <v>673</v>
      </c>
      <c r="N520">
        <v>36</v>
      </c>
      <c r="O520">
        <v>54</v>
      </c>
      <c r="P520">
        <v>66</v>
      </c>
      <c r="Q520">
        <v>96</v>
      </c>
      <c r="R520">
        <v>96</v>
      </c>
      <c r="S520">
        <v>132</v>
      </c>
      <c r="T520">
        <v>78</v>
      </c>
      <c r="U520">
        <v>66</v>
      </c>
      <c r="V520">
        <v>54</v>
      </c>
      <c r="W520">
        <v>54</v>
      </c>
      <c r="X520">
        <v>59</v>
      </c>
      <c r="Y520">
        <v>66</v>
      </c>
      <c r="Z520">
        <v>66</v>
      </c>
      <c r="AA520">
        <v>78</v>
      </c>
      <c r="AB520">
        <v>48</v>
      </c>
      <c r="AC520">
        <v>24</v>
      </c>
      <c r="AD520">
        <v>18</v>
      </c>
      <c r="AF520">
        <v>6</v>
      </c>
      <c r="AH520">
        <v>6</v>
      </c>
      <c r="AJ520">
        <v>6</v>
      </c>
      <c r="CH520" t="str">
        <f t="shared" si="8"/>
        <v>JV1-0695-3</v>
      </c>
      <c r="CI520" s="1" t="s">
        <v>102</v>
      </c>
    </row>
    <row r="521" spans="1:87">
      <c r="A521" t="s">
        <v>5130</v>
      </c>
      <c r="B521">
        <v>204</v>
      </c>
      <c r="C521" t="s">
        <v>1192</v>
      </c>
      <c r="D521" t="s">
        <v>195</v>
      </c>
      <c r="E521" t="s">
        <v>642</v>
      </c>
      <c r="F521" t="s">
        <v>630</v>
      </c>
      <c r="G521" t="s">
        <v>3474</v>
      </c>
      <c r="V521">
        <v>50</v>
      </c>
      <c r="W521">
        <v>87</v>
      </c>
      <c r="Y521">
        <v>67</v>
      </c>
      <c r="CH521" t="str">
        <f t="shared" si="8"/>
        <v>D-0189</v>
      </c>
      <c r="CI521" s="1" t="s">
        <v>102</v>
      </c>
    </row>
    <row r="522" spans="1:87">
      <c r="A522" t="s">
        <v>5140</v>
      </c>
      <c r="B522">
        <v>4287</v>
      </c>
      <c r="C522" t="s">
        <v>1451</v>
      </c>
      <c r="D522" t="s">
        <v>237</v>
      </c>
      <c r="E522" t="s">
        <v>629</v>
      </c>
      <c r="F522" t="s">
        <v>632</v>
      </c>
      <c r="G522" t="s">
        <v>2593</v>
      </c>
      <c r="T522">
        <v>100</v>
      </c>
      <c r="U522">
        <v>120</v>
      </c>
      <c r="V522">
        <v>400</v>
      </c>
      <c r="W522">
        <v>500</v>
      </c>
      <c r="X522">
        <v>707</v>
      </c>
      <c r="Y522">
        <v>600</v>
      </c>
      <c r="Z522">
        <v>600</v>
      </c>
      <c r="AA522">
        <v>400</v>
      </c>
      <c r="AB522">
        <v>400</v>
      </c>
      <c r="AC522">
        <v>260</v>
      </c>
      <c r="AD522">
        <v>200</v>
      </c>
      <c r="CH522" t="str">
        <f t="shared" si="8"/>
        <v>D-0267</v>
      </c>
      <c r="CI522" s="1" t="s">
        <v>102</v>
      </c>
    </row>
    <row r="523" spans="1:87">
      <c r="A523" t="s">
        <v>2581</v>
      </c>
      <c r="B523">
        <v>317</v>
      </c>
      <c r="C523" t="s">
        <v>1109</v>
      </c>
      <c r="D523" t="s">
        <v>223</v>
      </c>
      <c r="E523" t="s">
        <v>629</v>
      </c>
      <c r="F523" t="s">
        <v>693</v>
      </c>
      <c r="G523" t="s">
        <v>2469</v>
      </c>
      <c r="T523">
        <v>6</v>
      </c>
      <c r="V523">
        <v>48</v>
      </c>
      <c r="X523">
        <v>95</v>
      </c>
      <c r="Z523">
        <v>90</v>
      </c>
      <c r="AB523">
        <v>54</v>
      </c>
      <c r="AD523">
        <v>24</v>
      </c>
      <c r="CH523" t="str">
        <f t="shared" si="8"/>
        <v>D-0263</v>
      </c>
      <c r="CI523" s="1" t="s">
        <v>102</v>
      </c>
    </row>
    <row r="524" spans="1:87">
      <c r="A524" t="s">
        <v>2467</v>
      </c>
      <c r="B524">
        <v>25</v>
      </c>
      <c r="C524" t="s">
        <v>2468</v>
      </c>
      <c r="D524" t="s">
        <v>237</v>
      </c>
      <c r="E524" t="s">
        <v>629</v>
      </c>
      <c r="F524" t="s">
        <v>632</v>
      </c>
      <c r="G524" t="s">
        <v>2469</v>
      </c>
      <c r="T524">
        <v>1</v>
      </c>
      <c r="U524">
        <v>1</v>
      </c>
      <c r="V524">
        <v>2</v>
      </c>
      <c r="W524">
        <v>2</v>
      </c>
      <c r="X524">
        <v>3</v>
      </c>
      <c r="Y524">
        <v>2</v>
      </c>
      <c r="Z524">
        <v>4</v>
      </c>
      <c r="AA524">
        <v>3</v>
      </c>
      <c r="AB524">
        <v>2</v>
      </c>
      <c r="AC524">
        <v>1</v>
      </c>
      <c r="AD524">
        <v>2</v>
      </c>
      <c r="AF524">
        <v>2</v>
      </c>
      <c r="CH524" t="str">
        <f t="shared" si="8"/>
        <v>D-0267</v>
      </c>
      <c r="CI524" s="1" t="s">
        <v>102</v>
      </c>
    </row>
    <row r="525" spans="1:87">
      <c r="A525" t="s">
        <v>2637</v>
      </c>
      <c r="B525">
        <v>3246</v>
      </c>
      <c r="C525" t="s">
        <v>701</v>
      </c>
      <c r="D525" t="s">
        <v>457</v>
      </c>
      <c r="E525" t="s">
        <v>629</v>
      </c>
      <c r="F525" t="s">
        <v>672</v>
      </c>
      <c r="G525" t="s">
        <v>688</v>
      </c>
      <c r="N525">
        <v>60</v>
      </c>
      <c r="O525">
        <v>108</v>
      </c>
      <c r="P525">
        <v>222</v>
      </c>
      <c r="Q525">
        <v>252</v>
      </c>
      <c r="R525">
        <v>348</v>
      </c>
      <c r="S525">
        <v>504</v>
      </c>
      <c r="T525">
        <v>192</v>
      </c>
      <c r="U525">
        <v>174</v>
      </c>
      <c r="V525">
        <v>192</v>
      </c>
      <c r="W525">
        <v>156</v>
      </c>
      <c r="X525">
        <v>150</v>
      </c>
      <c r="Y525">
        <v>90</v>
      </c>
      <c r="Z525">
        <v>198</v>
      </c>
      <c r="AA525">
        <v>102</v>
      </c>
      <c r="AB525">
        <v>126</v>
      </c>
      <c r="AC525">
        <v>66</v>
      </c>
      <c r="AD525">
        <v>72</v>
      </c>
      <c r="AE525">
        <v>42</v>
      </c>
      <c r="AF525">
        <v>114</v>
      </c>
      <c r="AG525">
        <v>12</v>
      </c>
      <c r="AH525">
        <v>24</v>
      </c>
      <c r="AJ525">
        <v>6</v>
      </c>
      <c r="AL525">
        <v>36</v>
      </c>
      <c r="CH525" t="str">
        <f t="shared" si="8"/>
        <v>JV1-0695-3</v>
      </c>
      <c r="CI525" s="1" t="s">
        <v>102</v>
      </c>
    </row>
    <row r="526" spans="1:87">
      <c r="A526" t="s">
        <v>2639</v>
      </c>
      <c r="B526">
        <v>1794</v>
      </c>
      <c r="C526" t="s">
        <v>701</v>
      </c>
      <c r="D526" t="s">
        <v>457</v>
      </c>
      <c r="E526" t="s">
        <v>629</v>
      </c>
      <c r="F526" t="s">
        <v>672</v>
      </c>
      <c r="G526" t="s">
        <v>688</v>
      </c>
      <c r="O526">
        <v>24</v>
      </c>
      <c r="P526">
        <v>138</v>
      </c>
      <c r="Q526">
        <v>156</v>
      </c>
      <c r="R526">
        <v>216</v>
      </c>
      <c r="S526">
        <v>366</v>
      </c>
      <c r="T526">
        <v>42</v>
      </c>
      <c r="U526">
        <v>120</v>
      </c>
      <c r="V526">
        <v>102</v>
      </c>
      <c r="W526">
        <v>18</v>
      </c>
      <c r="X526">
        <v>24</v>
      </c>
      <c r="Y526">
        <v>48</v>
      </c>
      <c r="Z526">
        <v>108</v>
      </c>
      <c r="AA526">
        <v>96</v>
      </c>
      <c r="AB526">
        <v>78</v>
      </c>
      <c r="AC526">
        <v>30</v>
      </c>
      <c r="AE526">
        <v>30</v>
      </c>
      <c r="AF526">
        <v>108</v>
      </c>
      <c r="AG526">
        <v>6</v>
      </c>
      <c r="AH526">
        <v>6</v>
      </c>
      <c r="AJ526">
        <v>42</v>
      </c>
      <c r="AL526">
        <v>36</v>
      </c>
      <c r="CH526" t="str">
        <f t="shared" si="8"/>
        <v>JV1-0695-3</v>
      </c>
      <c r="CI526" s="1" t="s">
        <v>102</v>
      </c>
    </row>
    <row r="527" spans="1:87">
      <c r="A527" t="s">
        <v>2644</v>
      </c>
      <c r="B527">
        <v>557</v>
      </c>
      <c r="C527" t="s">
        <v>701</v>
      </c>
      <c r="D527" t="s">
        <v>457</v>
      </c>
      <c r="E527" t="s">
        <v>629</v>
      </c>
      <c r="F527" t="s">
        <v>672</v>
      </c>
      <c r="G527" t="s">
        <v>688</v>
      </c>
      <c r="N527">
        <v>6</v>
      </c>
      <c r="O527">
        <v>12</v>
      </c>
      <c r="P527">
        <v>24</v>
      </c>
      <c r="Q527">
        <v>48</v>
      </c>
      <c r="R527">
        <v>54</v>
      </c>
      <c r="S527">
        <v>96</v>
      </c>
      <c r="T527">
        <v>84</v>
      </c>
      <c r="U527">
        <v>18</v>
      </c>
      <c r="V527">
        <v>6</v>
      </c>
      <c r="W527">
        <v>12</v>
      </c>
      <c r="X527">
        <v>41</v>
      </c>
      <c r="AA527">
        <v>12</v>
      </c>
      <c r="AB527">
        <v>78</v>
      </c>
      <c r="AC527">
        <v>30</v>
      </c>
      <c r="AD527">
        <v>18</v>
      </c>
      <c r="AF527">
        <v>12</v>
      </c>
      <c r="AH527">
        <v>6</v>
      </c>
      <c r="CH527" t="str">
        <f t="shared" si="8"/>
        <v>JV1-0695-3</v>
      </c>
      <c r="CI527" s="1" t="s">
        <v>102</v>
      </c>
    </row>
    <row r="528" spans="1:87">
      <c r="A528" t="s">
        <v>2843</v>
      </c>
      <c r="B528">
        <v>209</v>
      </c>
      <c r="C528" t="s">
        <v>1167</v>
      </c>
      <c r="D528" t="s">
        <v>457</v>
      </c>
      <c r="E528" t="s">
        <v>629</v>
      </c>
      <c r="F528" t="s">
        <v>672</v>
      </c>
      <c r="G528" t="s">
        <v>686</v>
      </c>
      <c r="O528">
        <v>6</v>
      </c>
      <c r="P528">
        <v>12</v>
      </c>
      <c r="Q528">
        <v>18</v>
      </c>
      <c r="R528">
        <v>18</v>
      </c>
      <c r="S528">
        <v>24</v>
      </c>
      <c r="T528">
        <v>18</v>
      </c>
      <c r="U528">
        <v>18</v>
      </c>
      <c r="V528">
        <v>17</v>
      </c>
      <c r="W528">
        <v>12</v>
      </c>
      <c r="X528">
        <v>12</v>
      </c>
      <c r="Y528">
        <v>12</v>
      </c>
      <c r="Z528">
        <v>12</v>
      </c>
      <c r="AA528">
        <v>6</v>
      </c>
      <c r="AB528">
        <v>12</v>
      </c>
      <c r="AD528">
        <v>6</v>
      </c>
      <c r="AF528">
        <v>6</v>
      </c>
      <c r="CH528" t="str">
        <f t="shared" si="8"/>
        <v>JV1-0695-3</v>
      </c>
      <c r="CI528" s="1" t="s">
        <v>102</v>
      </c>
    </row>
    <row r="529" spans="1:87">
      <c r="A529" t="s">
        <v>2610</v>
      </c>
      <c r="B529">
        <v>1380</v>
      </c>
      <c r="C529" t="s">
        <v>687</v>
      </c>
      <c r="D529" t="s">
        <v>457</v>
      </c>
      <c r="E529" t="s">
        <v>629</v>
      </c>
      <c r="F529" t="s">
        <v>672</v>
      </c>
      <c r="G529" t="s">
        <v>688</v>
      </c>
      <c r="N529">
        <v>30</v>
      </c>
      <c r="O529">
        <v>84</v>
      </c>
      <c r="P529">
        <v>66</v>
      </c>
      <c r="Q529">
        <v>156</v>
      </c>
      <c r="R529">
        <v>114</v>
      </c>
      <c r="S529">
        <v>162</v>
      </c>
      <c r="T529">
        <v>114</v>
      </c>
      <c r="U529">
        <v>126</v>
      </c>
      <c r="V529">
        <v>90</v>
      </c>
      <c r="W529">
        <v>90</v>
      </c>
      <c r="X529">
        <v>66</v>
      </c>
      <c r="Y529">
        <v>84</v>
      </c>
      <c r="Z529">
        <v>66</v>
      </c>
      <c r="AA529">
        <v>30</v>
      </c>
      <c r="AB529">
        <v>36</v>
      </c>
      <c r="AC529">
        <v>24</v>
      </c>
      <c r="AD529">
        <v>24</v>
      </c>
      <c r="AF529">
        <v>12</v>
      </c>
      <c r="AH529">
        <v>6</v>
      </c>
      <c r="CH529" t="str">
        <f t="shared" si="8"/>
        <v>JV1-0695-3</v>
      </c>
      <c r="CI529" s="1" t="s">
        <v>102</v>
      </c>
    </row>
    <row r="530" spans="1:87">
      <c r="A530" t="s">
        <v>2615</v>
      </c>
      <c r="B530">
        <v>2238</v>
      </c>
      <c r="C530" t="s">
        <v>687</v>
      </c>
      <c r="D530" t="s">
        <v>457</v>
      </c>
      <c r="E530" t="s">
        <v>629</v>
      </c>
      <c r="F530" t="s">
        <v>672</v>
      </c>
      <c r="G530" t="s">
        <v>688</v>
      </c>
      <c r="N530">
        <v>138</v>
      </c>
      <c r="O530">
        <v>216</v>
      </c>
      <c r="P530">
        <v>210</v>
      </c>
      <c r="Q530">
        <v>414</v>
      </c>
      <c r="R530">
        <v>270</v>
      </c>
      <c r="S530">
        <v>354</v>
      </c>
      <c r="T530">
        <v>294</v>
      </c>
      <c r="U530">
        <v>186</v>
      </c>
      <c r="V530">
        <v>108</v>
      </c>
      <c r="W530">
        <v>18</v>
      </c>
      <c r="X530">
        <v>12</v>
      </c>
      <c r="Y530">
        <v>6</v>
      </c>
      <c r="Z530">
        <v>6</v>
      </c>
      <c r="AA530">
        <v>6</v>
      </c>
      <c r="CH530" t="str">
        <f t="shared" si="8"/>
        <v>JV1-0695-3</v>
      </c>
      <c r="CI530" s="1" t="s">
        <v>102</v>
      </c>
    </row>
    <row r="531" spans="1:87">
      <c r="A531" t="s">
        <v>1040</v>
      </c>
      <c r="B531">
        <v>6362</v>
      </c>
      <c r="C531" t="s">
        <v>1038</v>
      </c>
      <c r="D531" t="s">
        <v>365</v>
      </c>
      <c r="E531" t="s">
        <v>629</v>
      </c>
      <c r="F531" t="s">
        <v>706</v>
      </c>
      <c r="G531" t="s">
        <v>947</v>
      </c>
      <c r="V531">
        <v>360</v>
      </c>
      <c r="W531">
        <v>480</v>
      </c>
      <c r="X531">
        <v>542</v>
      </c>
      <c r="Y531">
        <v>660</v>
      </c>
      <c r="Z531">
        <v>720</v>
      </c>
      <c r="AA531">
        <v>900</v>
      </c>
      <c r="AB531">
        <v>900</v>
      </c>
      <c r="AC531">
        <v>480</v>
      </c>
      <c r="AD531">
        <v>720</v>
      </c>
      <c r="AF531">
        <v>600</v>
      </c>
      <c r="CH531" t="str">
        <f t="shared" si="8"/>
        <v>D-0524</v>
      </c>
      <c r="CI531" s="1" t="s">
        <v>102</v>
      </c>
    </row>
    <row r="532" spans="1:87">
      <c r="A532" t="s">
        <v>1549</v>
      </c>
      <c r="B532">
        <v>120</v>
      </c>
      <c r="C532" t="s">
        <v>1542</v>
      </c>
      <c r="D532" t="s">
        <v>261</v>
      </c>
      <c r="E532" t="s">
        <v>629</v>
      </c>
      <c r="F532" t="s">
        <v>635</v>
      </c>
      <c r="G532" t="s">
        <v>1516</v>
      </c>
      <c r="U532">
        <v>12</v>
      </c>
      <c r="W532">
        <v>12</v>
      </c>
      <c r="X532">
        <v>12</v>
      </c>
      <c r="Y532">
        <v>24</v>
      </c>
      <c r="Z532">
        <v>24</v>
      </c>
      <c r="AA532">
        <v>12</v>
      </c>
      <c r="AB532">
        <v>12</v>
      </c>
      <c r="AC532">
        <v>12</v>
      </c>
      <c r="CH532" t="str">
        <f t="shared" si="8"/>
        <v>D-0310</v>
      </c>
      <c r="CI532" s="1" t="s">
        <v>102</v>
      </c>
    </row>
    <row r="533" spans="1:87">
      <c r="A533" t="s">
        <v>1541</v>
      </c>
      <c r="B533">
        <v>1680</v>
      </c>
      <c r="C533" t="s">
        <v>1542</v>
      </c>
      <c r="D533" t="s">
        <v>261</v>
      </c>
      <c r="E533" t="s">
        <v>629</v>
      </c>
      <c r="F533" t="s">
        <v>635</v>
      </c>
      <c r="G533" t="s">
        <v>1516</v>
      </c>
      <c r="L533">
        <v>12</v>
      </c>
      <c r="M533">
        <v>24</v>
      </c>
      <c r="N533">
        <v>12</v>
      </c>
      <c r="O533">
        <v>48</v>
      </c>
      <c r="P533">
        <v>24</v>
      </c>
      <c r="Q533">
        <v>96</v>
      </c>
      <c r="R533">
        <v>120</v>
      </c>
      <c r="S533">
        <v>36</v>
      </c>
      <c r="T533">
        <v>180</v>
      </c>
      <c r="U533">
        <v>168</v>
      </c>
      <c r="V533">
        <v>84</v>
      </c>
      <c r="W533">
        <v>204</v>
      </c>
      <c r="X533">
        <v>96</v>
      </c>
      <c r="Y533">
        <v>204</v>
      </c>
      <c r="Z533">
        <v>156</v>
      </c>
      <c r="AA533">
        <v>36</v>
      </c>
      <c r="AB533">
        <v>96</v>
      </c>
      <c r="AC533">
        <v>36</v>
      </c>
      <c r="AD533">
        <v>36</v>
      </c>
      <c r="AF533">
        <v>12</v>
      </c>
      <c r="CH533" t="str">
        <f t="shared" si="8"/>
        <v>D-0310</v>
      </c>
      <c r="CI533" s="1" t="s">
        <v>102</v>
      </c>
    </row>
    <row r="534" spans="1:87">
      <c r="A534" t="s">
        <v>2096</v>
      </c>
      <c r="B534">
        <v>1584</v>
      </c>
      <c r="C534" t="s">
        <v>2097</v>
      </c>
      <c r="D534" t="s">
        <v>410</v>
      </c>
      <c r="E534" t="s">
        <v>629</v>
      </c>
      <c r="F534" t="s">
        <v>652</v>
      </c>
      <c r="G534" t="s">
        <v>2098</v>
      </c>
      <c r="N534">
        <v>48</v>
      </c>
      <c r="O534">
        <v>84</v>
      </c>
      <c r="P534">
        <v>276</v>
      </c>
      <c r="Q534">
        <v>216</v>
      </c>
      <c r="R534">
        <v>324</v>
      </c>
      <c r="S534">
        <v>360</v>
      </c>
      <c r="T534">
        <v>180</v>
      </c>
      <c r="U534">
        <v>96</v>
      </c>
      <c r="CH534" t="str">
        <f t="shared" si="8"/>
        <v>D-0591</v>
      </c>
      <c r="CI534" s="1" t="s">
        <v>102</v>
      </c>
    </row>
    <row r="535" spans="1:87">
      <c r="A535" t="s">
        <v>1640</v>
      </c>
      <c r="B535">
        <v>9002</v>
      </c>
      <c r="C535" t="s">
        <v>975</v>
      </c>
      <c r="D535" t="s">
        <v>365</v>
      </c>
      <c r="E535" t="s">
        <v>642</v>
      </c>
      <c r="F535" t="s">
        <v>706</v>
      </c>
      <c r="G535" t="s">
        <v>737</v>
      </c>
      <c r="M535">
        <v>72</v>
      </c>
      <c r="N535">
        <v>12</v>
      </c>
      <c r="O535">
        <v>876</v>
      </c>
      <c r="P535">
        <v>876</v>
      </c>
      <c r="Q535">
        <v>876</v>
      </c>
      <c r="R535">
        <v>888</v>
      </c>
      <c r="S535">
        <v>900</v>
      </c>
      <c r="T535">
        <v>902</v>
      </c>
      <c r="U535">
        <v>900</v>
      </c>
      <c r="V535">
        <v>876</v>
      </c>
      <c r="W535">
        <v>876</v>
      </c>
      <c r="X535">
        <v>48</v>
      </c>
      <c r="Y535">
        <v>792</v>
      </c>
      <c r="AA535">
        <v>108</v>
      </c>
      <c r="CH535" t="str">
        <f t="shared" si="8"/>
        <v>D-0524</v>
      </c>
      <c r="CI535" s="1" t="s">
        <v>102</v>
      </c>
    </row>
    <row r="536" spans="1:87">
      <c r="A536" t="s">
        <v>4275</v>
      </c>
      <c r="B536">
        <v>2248</v>
      </c>
      <c r="C536" t="s">
        <v>3472</v>
      </c>
      <c r="D536" t="s">
        <v>114</v>
      </c>
      <c r="E536" t="s">
        <v>642</v>
      </c>
      <c r="F536" t="s">
        <v>632</v>
      </c>
      <c r="G536" t="s">
        <v>2283</v>
      </c>
      <c r="Q536">
        <v>71</v>
      </c>
      <c r="R536">
        <v>136</v>
      </c>
      <c r="S536">
        <v>203</v>
      </c>
      <c r="T536">
        <v>311</v>
      </c>
      <c r="U536">
        <v>311</v>
      </c>
      <c r="V536">
        <v>376</v>
      </c>
      <c r="W536">
        <v>336</v>
      </c>
      <c r="X536">
        <v>205</v>
      </c>
      <c r="Y536">
        <v>181</v>
      </c>
      <c r="Z536">
        <v>113</v>
      </c>
      <c r="AA536">
        <v>5</v>
      </c>
      <c r="CH536" t="str">
        <f t="shared" si="8"/>
        <v>D-0002</v>
      </c>
      <c r="CI536" s="1" t="s">
        <v>102</v>
      </c>
    </row>
    <row r="537" spans="1:87">
      <c r="A537" t="s">
        <v>3535</v>
      </c>
      <c r="B537">
        <v>2031</v>
      </c>
      <c r="C537" t="s">
        <v>977</v>
      </c>
      <c r="D537" t="s">
        <v>238</v>
      </c>
      <c r="E537" t="s">
        <v>629</v>
      </c>
      <c r="F537" t="s">
        <v>632</v>
      </c>
      <c r="G537" t="s">
        <v>2693</v>
      </c>
      <c r="V537">
        <v>150</v>
      </c>
      <c r="W537">
        <v>144</v>
      </c>
      <c r="X537">
        <v>219</v>
      </c>
      <c r="Y537">
        <v>234</v>
      </c>
      <c r="Z537">
        <v>192</v>
      </c>
      <c r="AA537">
        <v>264</v>
      </c>
      <c r="AB537">
        <v>270</v>
      </c>
      <c r="AC537">
        <v>162</v>
      </c>
      <c r="AD537">
        <v>204</v>
      </c>
      <c r="AF537">
        <v>192</v>
      </c>
      <c r="CH537" t="str">
        <f t="shared" si="8"/>
        <v>D-0267</v>
      </c>
      <c r="CI537" s="1" t="s">
        <v>102</v>
      </c>
    </row>
    <row r="538" spans="1:87">
      <c r="A538" t="s">
        <v>3537</v>
      </c>
      <c r="B538">
        <v>3789</v>
      </c>
      <c r="C538" t="s">
        <v>977</v>
      </c>
      <c r="D538" t="s">
        <v>238</v>
      </c>
      <c r="E538" t="s">
        <v>629</v>
      </c>
      <c r="F538" t="s">
        <v>632</v>
      </c>
      <c r="G538" t="s">
        <v>2693</v>
      </c>
      <c r="V538">
        <v>318</v>
      </c>
      <c r="W538">
        <v>348</v>
      </c>
      <c r="X538">
        <v>459</v>
      </c>
      <c r="Y538">
        <v>474</v>
      </c>
      <c r="Z538">
        <v>486</v>
      </c>
      <c r="AA538">
        <v>474</v>
      </c>
      <c r="AB538">
        <v>396</v>
      </c>
      <c r="AC538">
        <v>258</v>
      </c>
      <c r="AD538">
        <v>312</v>
      </c>
      <c r="AF538">
        <v>264</v>
      </c>
      <c r="CH538" t="str">
        <f t="shared" si="8"/>
        <v>D-0267</v>
      </c>
      <c r="CI538" s="1" t="s">
        <v>102</v>
      </c>
    </row>
    <row r="539" spans="1:87">
      <c r="A539" t="s">
        <v>2101</v>
      </c>
      <c r="B539">
        <v>1728</v>
      </c>
      <c r="C539" t="s">
        <v>2099</v>
      </c>
      <c r="D539" t="s">
        <v>410</v>
      </c>
      <c r="E539" t="s">
        <v>629</v>
      </c>
      <c r="F539" t="s">
        <v>652</v>
      </c>
      <c r="G539" t="s">
        <v>1736</v>
      </c>
      <c r="L539">
        <v>132</v>
      </c>
      <c r="M539">
        <v>132</v>
      </c>
      <c r="N539">
        <v>132</v>
      </c>
      <c r="O539">
        <v>132</v>
      </c>
      <c r="P539">
        <v>372</v>
      </c>
      <c r="Q539">
        <v>192</v>
      </c>
      <c r="R539">
        <v>552</v>
      </c>
      <c r="S539">
        <v>204</v>
      </c>
      <c r="T539">
        <v>36</v>
      </c>
      <c r="U539">
        <v>24</v>
      </c>
      <c r="CH539" t="str">
        <f t="shared" si="8"/>
        <v>D-0591</v>
      </c>
      <c r="CI539" s="1" t="s">
        <v>102</v>
      </c>
    </row>
    <row r="540" spans="1:87">
      <c r="A540" t="s">
        <v>967</v>
      </c>
      <c r="B540">
        <v>509</v>
      </c>
      <c r="C540" t="s">
        <v>964</v>
      </c>
      <c r="D540" t="s">
        <v>173</v>
      </c>
      <c r="E540" t="s">
        <v>629</v>
      </c>
      <c r="F540" t="s">
        <v>938</v>
      </c>
      <c r="G540" t="s">
        <v>965</v>
      </c>
      <c r="R540">
        <v>6</v>
      </c>
      <c r="S540">
        <v>36</v>
      </c>
      <c r="T540">
        <v>47</v>
      </c>
      <c r="U540">
        <v>60</v>
      </c>
      <c r="V540">
        <v>84</v>
      </c>
      <c r="W540">
        <v>78</v>
      </c>
      <c r="X540">
        <v>84</v>
      </c>
      <c r="Y540">
        <v>48</v>
      </c>
      <c r="Z540">
        <v>30</v>
      </c>
      <c r="AA540">
        <v>30</v>
      </c>
      <c r="AB540">
        <v>6</v>
      </c>
      <c r="CH540" t="str">
        <f t="shared" si="8"/>
        <v>D-0146</v>
      </c>
      <c r="CI540" s="1" t="s">
        <v>102</v>
      </c>
    </row>
    <row r="541" spans="1:87">
      <c r="A541" t="s">
        <v>970</v>
      </c>
      <c r="B541">
        <v>84</v>
      </c>
      <c r="C541" t="s">
        <v>964</v>
      </c>
      <c r="D541" t="s">
        <v>173</v>
      </c>
      <c r="E541" t="s">
        <v>629</v>
      </c>
      <c r="F541" t="s">
        <v>938</v>
      </c>
      <c r="G541" t="s">
        <v>965</v>
      </c>
      <c r="S541">
        <v>12</v>
      </c>
      <c r="T541">
        <v>12</v>
      </c>
      <c r="U541">
        <v>18</v>
      </c>
      <c r="V541">
        <v>18</v>
      </c>
      <c r="W541">
        <v>12</v>
      </c>
      <c r="X541">
        <v>12</v>
      </c>
      <c r="CH541" t="str">
        <f t="shared" si="8"/>
        <v>D-0146</v>
      </c>
      <c r="CI541" s="1" t="s">
        <v>102</v>
      </c>
    </row>
    <row r="542" spans="1:87">
      <c r="A542" t="s">
        <v>971</v>
      </c>
      <c r="B542">
        <v>163</v>
      </c>
      <c r="C542" t="s">
        <v>964</v>
      </c>
      <c r="D542" t="s">
        <v>173</v>
      </c>
      <c r="E542" t="s">
        <v>629</v>
      </c>
      <c r="F542" t="s">
        <v>938</v>
      </c>
      <c r="G542" t="s">
        <v>965</v>
      </c>
      <c r="T542">
        <v>7</v>
      </c>
      <c r="U542">
        <v>18</v>
      </c>
      <c r="V542">
        <v>24</v>
      </c>
      <c r="W542">
        <v>24</v>
      </c>
      <c r="X542">
        <v>24</v>
      </c>
      <c r="Y542">
        <v>24</v>
      </c>
      <c r="Z542">
        <v>24</v>
      </c>
      <c r="AA542">
        <v>18</v>
      </c>
      <c r="CH542" t="str">
        <f t="shared" si="8"/>
        <v>D-0146</v>
      </c>
      <c r="CI542" s="1" t="s">
        <v>102</v>
      </c>
    </row>
    <row r="543" spans="1:87">
      <c r="A543" t="s">
        <v>972</v>
      </c>
      <c r="B543">
        <v>60</v>
      </c>
      <c r="C543" t="s">
        <v>964</v>
      </c>
      <c r="D543" t="s">
        <v>173</v>
      </c>
      <c r="E543" t="s">
        <v>629</v>
      </c>
      <c r="F543" t="s">
        <v>938</v>
      </c>
      <c r="G543" t="s">
        <v>965</v>
      </c>
      <c r="U543">
        <v>6</v>
      </c>
      <c r="V543">
        <v>6</v>
      </c>
      <c r="W543">
        <v>12</v>
      </c>
      <c r="X543">
        <v>12</v>
      </c>
      <c r="Y543">
        <v>12</v>
      </c>
      <c r="Z543">
        <v>6</v>
      </c>
      <c r="AA543">
        <v>6</v>
      </c>
      <c r="CH543" t="str">
        <f t="shared" si="8"/>
        <v>D-0146</v>
      </c>
      <c r="CI543" s="1" t="s">
        <v>102</v>
      </c>
    </row>
    <row r="544" spans="1:87">
      <c r="A544" t="s">
        <v>4300</v>
      </c>
      <c r="B544">
        <v>1585</v>
      </c>
      <c r="C544" t="s">
        <v>735</v>
      </c>
      <c r="D544" t="s">
        <v>336</v>
      </c>
      <c r="E544" t="s">
        <v>629</v>
      </c>
      <c r="F544" t="s">
        <v>630</v>
      </c>
      <c r="G544" t="s">
        <v>2283</v>
      </c>
      <c r="R544">
        <v>8</v>
      </c>
      <c r="S544">
        <v>70</v>
      </c>
      <c r="T544">
        <v>63</v>
      </c>
      <c r="U544">
        <v>69</v>
      </c>
      <c r="V544">
        <v>132</v>
      </c>
      <c r="W544">
        <v>186</v>
      </c>
      <c r="X544">
        <v>231</v>
      </c>
      <c r="Y544">
        <v>264</v>
      </c>
      <c r="Z544">
        <v>228</v>
      </c>
      <c r="AA544">
        <v>145</v>
      </c>
      <c r="AB544">
        <v>113</v>
      </c>
      <c r="AC544">
        <v>18</v>
      </c>
      <c r="AD544">
        <v>48</v>
      </c>
      <c r="AE544">
        <v>7</v>
      </c>
      <c r="AF544">
        <v>3</v>
      </c>
      <c r="CH544" t="str">
        <f t="shared" si="8"/>
        <v>D-0489</v>
      </c>
      <c r="CI544" s="1" t="s">
        <v>102</v>
      </c>
    </row>
    <row r="545" spans="1:87">
      <c r="A545" t="s">
        <v>3182</v>
      </c>
      <c r="B545">
        <v>4</v>
      </c>
      <c r="C545" t="s">
        <v>1382</v>
      </c>
      <c r="D545" t="s">
        <v>540</v>
      </c>
      <c r="E545" t="s">
        <v>676</v>
      </c>
      <c r="F545" t="s">
        <v>1383</v>
      </c>
      <c r="X545">
        <v>4</v>
      </c>
      <c r="CH545" t="str">
        <f t="shared" si="8"/>
        <v>D-0345</v>
      </c>
      <c r="CI545" s="1" t="s">
        <v>102</v>
      </c>
    </row>
    <row r="546" spans="1:87">
      <c r="A546" t="s">
        <v>3183</v>
      </c>
      <c r="B546">
        <v>4</v>
      </c>
      <c r="C546" t="s">
        <v>1382</v>
      </c>
      <c r="D546" t="s">
        <v>540</v>
      </c>
      <c r="E546" t="s">
        <v>676</v>
      </c>
      <c r="F546" t="s">
        <v>1383</v>
      </c>
      <c r="X546">
        <v>4</v>
      </c>
      <c r="CH546" t="str">
        <f t="shared" si="8"/>
        <v>D-0345</v>
      </c>
      <c r="CI546" s="1" t="s">
        <v>102</v>
      </c>
    </row>
    <row r="547" spans="1:87">
      <c r="A547" t="s">
        <v>5137</v>
      </c>
      <c r="B547">
        <v>6007</v>
      </c>
      <c r="C547" t="s">
        <v>4712</v>
      </c>
      <c r="D547" t="s">
        <v>260</v>
      </c>
      <c r="E547" t="s">
        <v>642</v>
      </c>
      <c r="F547" t="s">
        <v>690</v>
      </c>
      <c r="G547" t="s">
        <v>2283</v>
      </c>
      <c r="P547">
        <v>60</v>
      </c>
      <c r="Q547">
        <v>300</v>
      </c>
      <c r="R547">
        <v>720</v>
      </c>
      <c r="S547">
        <v>1080</v>
      </c>
      <c r="T547">
        <v>1327</v>
      </c>
      <c r="U547">
        <v>960</v>
      </c>
      <c r="V547">
        <v>960</v>
      </c>
      <c r="W547">
        <v>360</v>
      </c>
      <c r="X547">
        <v>240</v>
      </c>
      <c r="CH547" t="str">
        <f t="shared" si="8"/>
        <v>D-0292</v>
      </c>
      <c r="CI547" s="1" t="s">
        <v>102</v>
      </c>
    </row>
    <row r="548" spans="1:87">
      <c r="A548" t="s">
        <v>5099</v>
      </c>
      <c r="B548">
        <v>119</v>
      </c>
      <c r="C548" t="s">
        <v>5100</v>
      </c>
      <c r="D548" t="s">
        <v>217</v>
      </c>
      <c r="E548" t="s">
        <v>642</v>
      </c>
      <c r="F548" t="s">
        <v>644</v>
      </c>
      <c r="G548" t="s">
        <v>2283</v>
      </c>
      <c r="U548">
        <v>48</v>
      </c>
      <c r="V548">
        <v>28</v>
      </c>
      <c r="X548">
        <v>43</v>
      </c>
      <c r="CH548" t="str">
        <f t="shared" si="8"/>
        <v>D-0260</v>
      </c>
      <c r="CI548" s="1" t="s">
        <v>102</v>
      </c>
    </row>
    <row r="549" spans="1:87">
      <c r="A549" t="s">
        <v>3125</v>
      </c>
      <c r="B549">
        <v>9</v>
      </c>
      <c r="C549" t="s">
        <v>1123</v>
      </c>
      <c r="D549" t="s">
        <v>291</v>
      </c>
      <c r="E549" t="s">
        <v>642</v>
      </c>
      <c r="F549" t="s">
        <v>661</v>
      </c>
      <c r="G549" t="s">
        <v>3124</v>
      </c>
      <c r="AB549">
        <v>9</v>
      </c>
      <c r="CH549" t="str">
        <f t="shared" si="8"/>
        <v>D-0419</v>
      </c>
      <c r="CI549" s="1" t="s">
        <v>102</v>
      </c>
    </row>
    <row r="550" spans="1:87">
      <c r="A550" t="s">
        <v>3126</v>
      </c>
      <c r="B550">
        <v>6</v>
      </c>
      <c r="C550" t="s">
        <v>1123</v>
      </c>
      <c r="D550" t="s">
        <v>291</v>
      </c>
      <c r="E550" t="s">
        <v>642</v>
      </c>
      <c r="F550" t="s">
        <v>661</v>
      </c>
      <c r="G550" t="s">
        <v>3124</v>
      </c>
      <c r="AD550">
        <v>6</v>
      </c>
      <c r="CH550" t="str">
        <f t="shared" si="8"/>
        <v>D-0419</v>
      </c>
      <c r="CI550" s="1" t="s">
        <v>102</v>
      </c>
    </row>
    <row r="551" spans="1:87">
      <c r="A551" t="s">
        <v>3127</v>
      </c>
      <c r="B551">
        <v>120</v>
      </c>
      <c r="C551" t="s">
        <v>1123</v>
      </c>
      <c r="D551" t="s">
        <v>291</v>
      </c>
      <c r="E551" t="s">
        <v>642</v>
      </c>
      <c r="F551" t="s">
        <v>661</v>
      </c>
      <c r="G551" t="s">
        <v>3124</v>
      </c>
      <c r="Y551">
        <v>120</v>
      </c>
      <c r="CH551" t="str">
        <f t="shared" si="8"/>
        <v>D-0419</v>
      </c>
      <c r="CI551" s="1" t="s">
        <v>102</v>
      </c>
    </row>
    <row r="552" spans="1:87">
      <c r="A552" t="s">
        <v>3129</v>
      </c>
      <c r="B552">
        <v>223</v>
      </c>
      <c r="C552" t="s">
        <v>1123</v>
      </c>
      <c r="D552" t="s">
        <v>291</v>
      </c>
      <c r="E552" t="s">
        <v>642</v>
      </c>
      <c r="F552" t="s">
        <v>661</v>
      </c>
      <c r="G552" t="s">
        <v>3124</v>
      </c>
      <c r="W552">
        <v>223</v>
      </c>
      <c r="CH552" t="str">
        <f t="shared" si="8"/>
        <v>D-0419</v>
      </c>
      <c r="CI552" s="1" t="s">
        <v>102</v>
      </c>
    </row>
    <row r="553" spans="1:87">
      <c r="A553" t="s">
        <v>3130</v>
      </c>
      <c r="B553">
        <v>422</v>
      </c>
      <c r="C553" t="s">
        <v>1123</v>
      </c>
      <c r="D553" t="s">
        <v>291</v>
      </c>
      <c r="E553" t="s">
        <v>642</v>
      </c>
      <c r="F553" t="s">
        <v>661</v>
      </c>
      <c r="G553" t="s">
        <v>3124</v>
      </c>
      <c r="V553">
        <v>422</v>
      </c>
      <c r="CH553" t="str">
        <f t="shared" si="8"/>
        <v>D-0419</v>
      </c>
      <c r="CI553" s="1" t="s">
        <v>102</v>
      </c>
    </row>
    <row r="554" spans="1:87">
      <c r="A554" t="s">
        <v>3136</v>
      </c>
      <c r="B554">
        <v>14</v>
      </c>
      <c r="C554" t="s">
        <v>1123</v>
      </c>
      <c r="D554" t="s">
        <v>291</v>
      </c>
      <c r="E554" t="s">
        <v>642</v>
      </c>
      <c r="F554" t="s">
        <v>661</v>
      </c>
      <c r="G554" t="s">
        <v>3124</v>
      </c>
      <c r="P554">
        <v>14</v>
      </c>
      <c r="CH554" t="str">
        <f t="shared" si="8"/>
        <v>D-0419</v>
      </c>
      <c r="CI554" s="1" t="s">
        <v>102</v>
      </c>
    </row>
    <row r="555" spans="1:87">
      <c r="A555" t="s">
        <v>3131</v>
      </c>
      <c r="B555">
        <v>285</v>
      </c>
      <c r="C555" t="s">
        <v>1123</v>
      </c>
      <c r="D555" t="s">
        <v>291</v>
      </c>
      <c r="E555" t="s">
        <v>642</v>
      </c>
      <c r="F555" t="s">
        <v>661</v>
      </c>
      <c r="G555" t="s">
        <v>3124</v>
      </c>
      <c r="U555">
        <v>285</v>
      </c>
      <c r="CH555" t="str">
        <f t="shared" si="8"/>
        <v>D-0419</v>
      </c>
      <c r="CI555" s="1" t="s">
        <v>102</v>
      </c>
    </row>
    <row r="556" spans="1:87">
      <c r="A556" t="s">
        <v>3132</v>
      </c>
      <c r="B556">
        <v>393</v>
      </c>
      <c r="C556" t="s">
        <v>1123</v>
      </c>
      <c r="D556" t="s">
        <v>291</v>
      </c>
      <c r="E556" t="s">
        <v>642</v>
      </c>
      <c r="F556" t="s">
        <v>661</v>
      </c>
      <c r="G556" t="s">
        <v>3124</v>
      </c>
      <c r="T556">
        <v>393</v>
      </c>
      <c r="CH556" t="str">
        <f t="shared" si="8"/>
        <v>D-0419</v>
      </c>
      <c r="CI556" s="1" t="s">
        <v>102</v>
      </c>
    </row>
    <row r="557" spans="1:87">
      <c r="A557" t="s">
        <v>3123</v>
      </c>
      <c r="B557">
        <v>42</v>
      </c>
      <c r="C557" t="s">
        <v>1123</v>
      </c>
      <c r="D557" t="s">
        <v>291</v>
      </c>
      <c r="E557" t="s">
        <v>642</v>
      </c>
      <c r="F557" t="s">
        <v>661</v>
      </c>
      <c r="G557" t="s">
        <v>3124</v>
      </c>
      <c r="Z557">
        <v>42</v>
      </c>
      <c r="CH557" t="str">
        <f t="shared" si="8"/>
        <v>D-0419</v>
      </c>
      <c r="CI557" s="1" t="s">
        <v>102</v>
      </c>
    </row>
    <row r="558" spans="1:87">
      <c r="A558" t="s">
        <v>5135</v>
      </c>
      <c r="B558">
        <v>84</v>
      </c>
      <c r="C558" t="s">
        <v>5136</v>
      </c>
      <c r="D558" t="s">
        <v>222</v>
      </c>
      <c r="E558" t="s">
        <v>629</v>
      </c>
      <c r="F558" t="s">
        <v>690</v>
      </c>
      <c r="G558" t="s">
        <v>2593</v>
      </c>
      <c r="R558">
        <v>6</v>
      </c>
      <c r="AD558">
        <v>66</v>
      </c>
      <c r="AF558">
        <v>12</v>
      </c>
      <c r="CH558" t="str">
        <f t="shared" si="8"/>
        <v>D-0262</v>
      </c>
      <c r="CI558" s="1" t="s">
        <v>102</v>
      </c>
    </row>
    <row r="559" spans="1:87">
      <c r="A559" t="s">
        <v>1762</v>
      </c>
      <c r="B559">
        <v>192</v>
      </c>
      <c r="C559" t="s">
        <v>1746</v>
      </c>
      <c r="D559" t="s">
        <v>410</v>
      </c>
      <c r="E559" t="s">
        <v>629</v>
      </c>
      <c r="F559" t="s">
        <v>652</v>
      </c>
      <c r="G559" t="s">
        <v>1742</v>
      </c>
      <c r="W559">
        <v>12</v>
      </c>
      <c r="X559">
        <v>12</v>
      </c>
      <c r="Y559">
        <v>36</v>
      </c>
      <c r="Z559">
        <v>24</v>
      </c>
      <c r="AA559">
        <v>36</v>
      </c>
      <c r="AB559">
        <v>24</v>
      </c>
      <c r="AC559">
        <v>24</v>
      </c>
      <c r="AE559">
        <v>12</v>
      </c>
      <c r="AG559">
        <v>12</v>
      </c>
      <c r="CH559" t="str">
        <f t="shared" si="8"/>
        <v>D-0591</v>
      </c>
      <c r="CI559" s="1" t="s">
        <v>102</v>
      </c>
    </row>
    <row r="560" spans="1:87">
      <c r="A560" t="s">
        <v>1872</v>
      </c>
      <c r="B560">
        <v>192</v>
      </c>
      <c r="C560" t="s">
        <v>1746</v>
      </c>
      <c r="D560" t="s">
        <v>410</v>
      </c>
      <c r="E560" t="s">
        <v>629</v>
      </c>
      <c r="F560" t="s">
        <v>652</v>
      </c>
      <c r="G560" t="s">
        <v>1742</v>
      </c>
      <c r="W560">
        <v>24</v>
      </c>
      <c r="X560">
        <v>24</v>
      </c>
      <c r="Y560">
        <v>24</v>
      </c>
      <c r="Z560">
        <v>48</v>
      </c>
      <c r="AA560">
        <v>24</v>
      </c>
      <c r="AB560">
        <v>24</v>
      </c>
      <c r="AC560">
        <v>12</v>
      </c>
      <c r="AD560">
        <v>12</v>
      </c>
      <c r="CH560" t="str">
        <f t="shared" si="8"/>
        <v>D-0591</v>
      </c>
      <c r="CI560" s="1" t="s">
        <v>102</v>
      </c>
    </row>
    <row r="561" spans="1:87">
      <c r="A561" t="s">
        <v>1786</v>
      </c>
      <c r="B561">
        <v>120</v>
      </c>
      <c r="C561" t="s">
        <v>1746</v>
      </c>
      <c r="D561" t="s">
        <v>410</v>
      </c>
      <c r="E561" t="s">
        <v>629</v>
      </c>
      <c r="F561" t="s">
        <v>652</v>
      </c>
      <c r="G561" t="s">
        <v>1742</v>
      </c>
      <c r="M561">
        <v>3</v>
      </c>
      <c r="N561">
        <v>4</v>
      </c>
      <c r="O561">
        <v>5</v>
      </c>
      <c r="P561">
        <v>10</v>
      </c>
      <c r="Q561">
        <v>8</v>
      </c>
      <c r="R561">
        <v>12</v>
      </c>
      <c r="S561">
        <v>8</v>
      </c>
      <c r="T561">
        <v>7</v>
      </c>
      <c r="U561">
        <v>7</v>
      </c>
      <c r="V561">
        <v>7</v>
      </c>
      <c r="W561">
        <v>6</v>
      </c>
      <c r="X561">
        <v>10</v>
      </c>
      <c r="Y561">
        <v>8</v>
      </c>
      <c r="Z561">
        <v>9</v>
      </c>
      <c r="AA561">
        <v>6</v>
      </c>
      <c r="AB561">
        <v>4</v>
      </c>
      <c r="AC561">
        <v>3</v>
      </c>
      <c r="AD561">
        <v>2</v>
      </c>
      <c r="AE561">
        <v>1</v>
      </c>
      <c r="CH561" t="str">
        <f t="shared" si="8"/>
        <v>D-0591</v>
      </c>
      <c r="CI561" s="1" t="s">
        <v>102</v>
      </c>
    </row>
    <row r="562" spans="1:87">
      <c r="A562" t="s">
        <v>2229</v>
      </c>
      <c r="B562">
        <v>34</v>
      </c>
      <c r="C562" t="s">
        <v>1746</v>
      </c>
      <c r="D562" t="s">
        <v>410</v>
      </c>
      <c r="E562" t="s">
        <v>629</v>
      </c>
      <c r="F562" t="s">
        <v>652</v>
      </c>
      <c r="G562" t="s">
        <v>1742</v>
      </c>
      <c r="V562">
        <v>17</v>
      </c>
      <c r="X562">
        <v>17</v>
      </c>
      <c r="CH562" t="str">
        <f t="shared" si="8"/>
        <v>D-0591</v>
      </c>
      <c r="CI562" s="1" t="s">
        <v>102</v>
      </c>
    </row>
    <row r="563" spans="1:87">
      <c r="A563" t="s">
        <v>1853</v>
      </c>
      <c r="B563">
        <v>132</v>
      </c>
      <c r="C563" t="s">
        <v>1746</v>
      </c>
      <c r="D563" t="s">
        <v>410</v>
      </c>
      <c r="E563" t="s">
        <v>629</v>
      </c>
      <c r="F563" t="s">
        <v>652</v>
      </c>
      <c r="G563" t="s">
        <v>1742</v>
      </c>
      <c r="T563">
        <v>12</v>
      </c>
      <c r="U563">
        <v>12</v>
      </c>
      <c r="V563">
        <v>12</v>
      </c>
      <c r="W563">
        <v>12</v>
      </c>
      <c r="X563">
        <v>12</v>
      </c>
      <c r="Y563">
        <v>12</v>
      </c>
      <c r="Z563">
        <v>12</v>
      </c>
      <c r="AA563">
        <v>12</v>
      </c>
      <c r="AB563">
        <v>12</v>
      </c>
      <c r="AC563">
        <v>12</v>
      </c>
      <c r="AD563">
        <v>12</v>
      </c>
      <c r="CH563" t="str">
        <f t="shared" si="8"/>
        <v>D-0591</v>
      </c>
      <c r="CI563" s="1" t="s">
        <v>102</v>
      </c>
    </row>
    <row r="564" spans="1:87">
      <c r="A564" t="s">
        <v>1854</v>
      </c>
      <c r="B564">
        <v>144</v>
      </c>
      <c r="C564" t="s">
        <v>1746</v>
      </c>
      <c r="D564" t="s">
        <v>410</v>
      </c>
      <c r="E564" t="s">
        <v>629</v>
      </c>
      <c r="F564" t="s">
        <v>652</v>
      </c>
      <c r="G564" t="s">
        <v>1742</v>
      </c>
      <c r="O564">
        <v>12</v>
      </c>
      <c r="Q564">
        <v>12</v>
      </c>
      <c r="R564">
        <v>12</v>
      </c>
      <c r="S564">
        <v>12</v>
      </c>
      <c r="T564">
        <v>12</v>
      </c>
      <c r="U564">
        <v>12</v>
      </c>
      <c r="V564">
        <v>12</v>
      </c>
      <c r="W564">
        <v>12</v>
      </c>
      <c r="X564">
        <v>12</v>
      </c>
      <c r="Y564">
        <v>12</v>
      </c>
      <c r="Z564">
        <v>12</v>
      </c>
      <c r="AA564">
        <v>12</v>
      </c>
      <c r="CH564" t="str">
        <f t="shared" si="8"/>
        <v>D-0591</v>
      </c>
      <c r="CI564" s="1" t="s">
        <v>102</v>
      </c>
    </row>
    <row r="565" spans="1:87">
      <c r="A565" t="s">
        <v>1855</v>
      </c>
      <c r="B565">
        <v>96</v>
      </c>
      <c r="C565" t="s">
        <v>1746</v>
      </c>
      <c r="D565" t="s">
        <v>410</v>
      </c>
      <c r="E565" t="s">
        <v>629</v>
      </c>
      <c r="F565" t="s">
        <v>652</v>
      </c>
      <c r="G565" t="s">
        <v>1742</v>
      </c>
      <c r="T565">
        <v>12</v>
      </c>
      <c r="U565">
        <v>12</v>
      </c>
      <c r="V565">
        <v>12</v>
      </c>
      <c r="W565">
        <v>12</v>
      </c>
      <c r="X565">
        <v>12</v>
      </c>
      <c r="Y565">
        <v>12</v>
      </c>
      <c r="Z565">
        <v>12</v>
      </c>
      <c r="AA565">
        <v>12</v>
      </c>
      <c r="CH565" t="str">
        <f t="shared" si="8"/>
        <v>D-0591</v>
      </c>
      <c r="CI565" s="1" t="s">
        <v>102</v>
      </c>
    </row>
    <row r="566" spans="1:87">
      <c r="A566" t="s">
        <v>1873</v>
      </c>
      <c r="B566">
        <v>278</v>
      </c>
      <c r="C566" t="s">
        <v>1746</v>
      </c>
      <c r="D566" t="s">
        <v>410</v>
      </c>
      <c r="E566" t="s">
        <v>629</v>
      </c>
      <c r="F566" t="s">
        <v>652</v>
      </c>
      <c r="G566" t="s">
        <v>1742</v>
      </c>
      <c r="U566">
        <v>2</v>
      </c>
      <c r="V566">
        <v>6</v>
      </c>
      <c r="W566">
        <v>30</v>
      </c>
      <c r="X566">
        <v>42</v>
      </c>
      <c r="Y566">
        <v>37</v>
      </c>
      <c r="Z566">
        <v>72</v>
      </c>
      <c r="AA566">
        <v>31</v>
      </c>
      <c r="AB566">
        <v>29</v>
      </c>
      <c r="AC566">
        <v>14</v>
      </c>
      <c r="AD566">
        <v>9</v>
      </c>
      <c r="AE566">
        <v>6</v>
      </c>
      <c r="CH566" t="str">
        <f t="shared" si="8"/>
        <v>D-0591</v>
      </c>
      <c r="CI566" s="1" t="s">
        <v>102</v>
      </c>
    </row>
    <row r="567" spans="1:87">
      <c r="A567" t="s">
        <v>1875</v>
      </c>
      <c r="B567">
        <v>225</v>
      </c>
      <c r="C567" t="s">
        <v>1746</v>
      </c>
      <c r="D567" t="s">
        <v>410</v>
      </c>
      <c r="E567" t="s">
        <v>629</v>
      </c>
      <c r="F567" t="s">
        <v>652</v>
      </c>
      <c r="G567" t="s">
        <v>1742</v>
      </c>
      <c r="V567">
        <v>25</v>
      </c>
      <c r="X567">
        <v>50</v>
      </c>
      <c r="Y567">
        <v>25</v>
      </c>
      <c r="Z567">
        <v>50</v>
      </c>
      <c r="AA567">
        <v>25</v>
      </c>
      <c r="AC567">
        <v>25</v>
      </c>
      <c r="AD567">
        <v>25</v>
      </c>
      <c r="CH567" t="str">
        <f t="shared" si="8"/>
        <v>D-0591</v>
      </c>
      <c r="CI567" s="1" t="s">
        <v>102</v>
      </c>
    </row>
    <row r="568" spans="1:87">
      <c r="A568" t="s">
        <v>1878</v>
      </c>
      <c r="B568">
        <v>225</v>
      </c>
      <c r="C568" t="s">
        <v>1746</v>
      </c>
      <c r="D568" t="s">
        <v>410</v>
      </c>
      <c r="E568" t="s">
        <v>629</v>
      </c>
      <c r="F568" t="s">
        <v>652</v>
      </c>
      <c r="G568" t="s">
        <v>1742</v>
      </c>
      <c r="V568">
        <v>25</v>
      </c>
      <c r="X568">
        <v>50</v>
      </c>
      <c r="Y568">
        <v>25</v>
      </c>
      <c r="Z568">
        <v>50</v>
      </c>
      <c r="AA568">
        <v>25</v>
      </c>
      <c r="AC568">
        <v>25</v>
      </c>
      <c r="AD568">
        <v>25</v>
      </c>
      <c r="CH568" t="str">
        <f t="shared" si="8"/>
        <v>D-0591</v>
      </c>
      <c r="CI568" s="1" t="s">
        <v>102</v>
      </c>
    </row>
    <row r="569" spans="1:87">
      <c r="A569" t="s">
        <v>1884</v>
      </c>
      <c r="B569">
        <v>45</v>
      </c>
      <c r="C569" t="s">
        <v>1746</v>
      </c>
      <c r="D569" t="s">
        <v>410</v>
      </c>
      <c r="E569" t="s">
        <v>629</v>
      </c>
      <c r="F569" t="s">
        <v>652</v>
      </c>
      <c r="G569" t="s">
        <v>1742</v>
      </c>
      <c r="V569">
        <v>5</v>
      </c>
      <c r="X569">
        <v>10</v>
      </c>
      <c r="Y569">
        <v>5</v>
      </c>
      <c r="Z569">
        <v>10</v>
      </c>
      <c r="AA569">
        <v>5</v>
      </c>
      <c r="AC569">
        <v>5</v>
      </c>
      <c r="AD569">
        <v>5</v>
      </c>
      <c r="CH569" t="str">
        <f t="shared" si="8"/>
        <v>D-0591</v>
      </c>
      <c r="CI569" s="1" t="s">
        <v>102</v>
      </c>
    </row>
    <row r="570" spans="1:87">
      <c r="A570" t="s">
        <v>1886</v>
      </c>
      <c r="B570">
        <v>264</v>
      </c>
      <c r="C570" t="s">
        <v>1746</v>
      </c>
      <c r="D570" t="s">
        <v>410</v>
      </c>
      <c r="E570" t="s">
        <v>629</v>
      </c>
      <c r="F570" t="s">
        <v>652</v>
      </c>
      <c r="G570" t="s">
        <v>1742</v>
      </c>
      <c r="U570">
        <v>44</v>
      </c>
      <c r="W570">
        <v>66</v>
      </c>
      <c r="Y570">
        <v>66</v>
      </c>
      <c r="AA570">
        <v>44</v>
      </c>
      <c r="AC570">
        <v>22</v>
      </c>
      <c r="AE570">
        <v>22</v>
      </c>
      <c r="CH570" t="str">
        <f t="shared" si="8"/>
        <v>D-0591</v>
      </c>
      <c r="CI570" s="1" t="s">
        <v>102</v>
      </c>
    </row>
    <row r="571" spans="1:87">
      <c r="A571" t="s">
        <v>2586</v>
      </c>
      <c r="B571">
        <v>14020</v>
      </c>
      <c r="C571" t="s">
        <v>2585</v>
      </c>
      <c r="D571" t="s">
        <v>200</v>
      </c>
      <c r="E571" t="s">
        <v>629</v>
      </c>
      <c r="F571" t="s">
        <v>632</v>
      </c>
      <c r="G571" t="s">
        <v>2285</v>
      </c>
      <c r="R571">
        <v>18</v>
      </c>
      <c r="S571">
        <v>24</v>
      </c>
      <c r="T571">
        <v>210</v>
      </c>
      <c r="U571">
        <v>330</v>
      </c>
      <c r="V571">
        <v>858</v>
      </c>
      <c r="W571">
        <v>996</v>
      </c>
      <c r="X571">
        <v>1286</v>
      </c>
      <c r="Y571">
        <v>1382</v>
      </c>
      <c r="Z571">
        <v>42</v>
      </c>
      <c r="AA571">
        <v>2012</v>
      </c>
      <c r="AB571">
        <v>1754</v>
      </c>
      <c r="AC571">
        <v>1080</v>
      </c>
      <c r="AD571">
        <v>1616</v>
      </c>
      <c r="AF571">
        <v>1542</v>
      </c>
      <c r="AH571">
        <v>732</v>
      </c>
      <c r="AJ571">
        <v>138</v>
      </c>
      <c r="CH571" t="str">
        <f t="shared" si="8"/>
        <v>D-0212</v>
      </c>
      <c r="CI571" s="1" t="s">
        <v>102</v>
      </c>
    </row>
    <row r="572" spans="1:87">
      <c r="A572" t="s">
        <v>2587</v>
      </c>
      <c r="B572">
        <v>271</v>
      </c>
      <c r="C572" t="s">
        <v>2585</v>
      </c>
      <c r="D572" t="s">
        <v>200</v>
      </c>
      <c r="E572" t="s">
        <v>629</v>
      </c>
      <c r="F572" t="s">
        <v>632</v>
      </c>
      <c r="G572" t="s">
        <v>2285</v>
      </c>
      <c r="U572">
        <v>12</v>
      </c>
      <c r="V572">
        <v>24</v>
      </c>
      <c r="W572">
        <v>24</v>
      </c>
      <c r="X572">
        <v>43</v>
      </c>
      <c r="Y572">
        <v>30</v>
      </c>
      <c r="AA572">
        <v>36</v>
      </c>
      <c r="AB572">
        <v>36</v>
      </c>
      <c r="AC572">
        <v>24</v>
      </c>
      <c r="AD572">
        <v>24</v>
      </c>
      <c r="AF572">
        <v>18</v>
      </c>
      <c r="CH572" t="str">
        <f t="shared" si="8"/>
        <v>D-0212</v>
      </c>
      <c r="CI572" s="1" t="s">
        <v>102</v>
      </c>
    </row>
    <row r="573" spans="1:87">
      <c r="A573" t="s">
        <v>1899</v>
      </c>
      <c r="B573">
        <v>238</v>
      </c>
      <c r="C573" t="s">
        <v>1746</v>
      </c>
      <c r="D573" t="s">
        <v>410</v>
      </c>
      <c r="E573" t="s">
        <v>629</v>
      </c>
      <c r="F573" t="s">
        <v>652</v>
      </c>
      <c r="G573" t="s">
        <v>1742</v>
      </c>
      <c r="Q573">
        <v>12</v>
      </c>
      <c r="S573">
        <v>24</v>
      </c>
      <c r="U573">
        <v>38</v>
      </c>
      <c r="W573">
        <v>62</v>
      </c>
      <c r="Y573">
        <v>62</v>
      </c>
      <c r="AA573">
        <v>26</v>
      </c>
      <c r="AC573">
        <v>14</v>
      </c>
      <c r="CH573" t="str">
        <f t="shared" si="8"/>
        <v>D-0591</v>
      </c>
      <c r="CI573" s="1" t="s">
        <v>102</v>
      </c>
    </row>
    <row r="574" spans="1:87">
      <c r="A574" t="s">
        <v>3063</v>
      </c>
      <c r="B574">
        <v>5199</v>
      </c>
      <c r="C574" t="s">
        <v>3064</v>
      </c>
      <c r="D574" t="s">
        <v>95</v>
      </c>
      <c r="E574" t="s">
        <v>629</v>
      </c>
      <c r="F574" t="s">
        <v>634</v>
      </c>
      <c r="G574" t="s">
        <v>655</v>
      </c>
      <c r="N574">
        <v>66</v>
      </c>
      <c r="O574">
        <v>377</v>
      </c>
      <c r="P574">
        <v>425</v>
      </c>
      <c r="Q574">
        <v>661</v>
      </c>
      <c r="R574">
        <v>698</v>
      </c>
      <c r="S574">
        <v>747</v>
      </c>
      <c r="T574">
        <v>703</v>
      </c>
      <c r="U574">
        <v>560</v>
      </c>
      <c r="V574">
        <v>383</v>
      </c>
      <c r="W574">
        <v>345</v>
      </c>
      <c r="X574">
        <v>101</v>
      </c>
      <c r="Y574">
        <v>73</v>
      </c>
      <c r="Z574">
        <v>27</v>
      </c>
      <c r="AA574">
        <v>14</v>
      </c>
      <c r="AB574">
        <v>11</v>
      </c>
      <c r="AC574">
        <v>1</v>
      </c>
      <c r="AD574">
        <v>5</v>
      </c>
      <c r="AF574">
        <v>1</v>
      </c>
      <c r="AH574">
        <v>1</v>
      </c>
      <c r="CH574" t="str">
        <f t="shared" si="8"/>
        <v>EOR-13</v>
      </c>
      <c r="CI574" s="1" t="s">
        <v>102</v>
      </c>
    </row>
    <row r="575" spans="1:87">
      <c r="A575" t="s">
        <v>2619</v>
      </c>
      <c r="B575">
        <v>257</v>
      </c>
      <c r="C575" t="s">
        <v>687</v>
      </c>
      <c r="D575" t="s">
        <v>457</v>
      </c>
      <c r="E575" t="s">
        <v>629</v>
      </c>
      <c r="F575" t="s">
        <v>672</v>
      </c>
      <c r="G575" t="s">
        <v>688</v>
      </c>
      <c r="O575">
        <v>24</v>
      </c>
      <c r="P575">
        <v>18</v>
      </c>
      <c r="Q575">
        <v>42</v>
      </c>
      <c r="R575">
        <v>30</v>
      </c>
      <c r="S575">
        <v>48</v>
      </c>
      <c r="T575">
        <v>24</v>
      </c>
      <c r="U575">
        <v>30</v>
      </c>
      <c r="V575">
        <v>12</v>
      </c>
      <c r="W575">
        <v>18</v>
      </c>
      <c r="X575">
        <v>11</v>
      </c>
      <c r="CH575" t="str">
        <f t="shared" si="8"/>
        <v>JV1-0695-3</v>
      </c>
      <c r="CI575" s="1" t="s">
        <v>102</v>
      </c>
    </row>
    <row r="576" spans="1:87">
      <c r="A576" t="s">
        <v>2627</v>
      </c>
      <c r="B576">
        <v>1422</v>
      </c>
      <c r="C576" t="s">
        <v>687</v>
      </c>
      <c r="D576" t="s">
        <v>457</v>
      </c>
      <c r="E576" t="s">
        <v>629</v>
      </c>
      <c r="F576" t="s">
        <v>672</v>
      </c>
      <c r="G576" t="s">
        <v>688</v>
      </c>
      <c r="N576">
        <v>36</v>
      </c>
      <c r="O576">
        <v>72</v>
      </c>
      <c r="P576">
        <v>66</v>
      </c>
      <c r="Q576">
        <v>156</v>
      </c>
      <c r="R576">
        <v>120</v>
      </c>
      <c r="S576">
        <v>174</v>
      </c>
      <c r="T576">
        <v>114</v>
      </c>
      <c r="U576">
        <v>114</v>
      </c>
      <c r="V576">
        <v>90</v>
      </c>
      <c r="W576">
        <v>96</v>
      </c>
      <c r="X576">
        <v>60</v>
      </c>
      <c r="Y576">
        <v>102</v>
      </c>
      <c r="Z576">
        <v>78</v>
      </c>
      <c r="AA576">
        <v>36</v>
      </c>
      <c r="AB576">
        <v>42</v>
      </c>
      <c r="AC576">
        <v>24</v>
      </c>
      <c r="AD576">
        <v>24</v>
      </c>
      <c r="AF576">
        <v>18</v>
      </c>
      <c r="CH576" t="str">
        <f t="shared" si="8"/>
        <v>JV1-0695-3</v>
      </c>
      <c r="CI576" s="1" t="s">
        <v>102</v>
      </c>
    </row>
    <row r="577" spans="1:87">
      <c r="A577" t="s">
        <v>3198</v>
      </c>
      <c r="B577">
        <v>203</v>
      </c>
      <c r="C577" t="s">
        <v>1031</v>
      </c>
      <c r="D577" t="s">
        <v>457</v>
      </c>
      <c r="E577" t="s">
        <v>629</v>
      </c>
      <c r="F577" t="s">
        <v>672</v>
      </c>
      <c r="G577" t="s">
        <v>1005</v>
      </c>
      <c r="O577">
        <v>12</v>
      </c>
      <c r="Q577">
        <v>24</v>
      </c>
      <c r="R577">
        <v>6</v>
      </c>
      <c r="S577">
        <v>36</v>
      </c>
      <c r="U577">
        <v>35</v>
      </c>
      <c r="W577">
        <v>12</v>
      </c>
      <c r="X577">
        <v>18</v>
      </c>
      <c r="Z577">
        <v>18</v>
      </c>
      <c r="AB577">
        <v>18</v>
      </c>
      <c r="AD577">
        <v>12</v>
      </c>
      <c r="AF577">
        <v>6</v>
      </c>
      <c r="AH577">
        <v>6</v>
      </c>
      <c r="CH577" t="str">
        <f t="shared" si="8"/>
        <v>JV1-0695-3</v>
      </c>
      <c r="CI577" s="1" t="s">
        <v>102</v>
      </c>
    </row>
    <row r="578" spans="1:87">
      <c r="A578" t="s">
        <v>3205</v>
      </c>
      <c r="B578">
        <v>1920</v>
      </c>
      <c r="C578" t="s">
        <v>1031</v>
      </c>
      <c r="D578" t="s">
        <v>457</v>
      </c>
      <c r="E578" t="s">
        <v>629</v>
      </c>
      <c r="F578" t="s">
        <v>672</v>
      </c>
      <c r="G578" t="s">
        <v>1005</v>
      </c>
      <c r="O578">
        <v>210</v>
      </c>
      <c r="P578">
        <v>132</v>
      </c>
      <c r="Q578">
        <v>408</v>
      </c>
      <c r="R578">
        <v>210</v>
      </c>
      <c r="S578">
        <v>516</v>
      </c>
      <c r="U578">
        <v>312</v>
      </c>
      <c r="W578">
        <v>132</v>
      </c>
      <c r="CH578" t="str">
        <f t="shared" ref="CH578:CH641" si="9">TRIM(IFERROR(IFERROR(MID($D578,FIND("(D-",$D578)+1,6),LEFT($D578,FIND("(",$D578)-1)),$D578))</f>
        <v>JV1-0695-3</v>
      </c>
      <c r="CI578" s="1" t="s">
        <v>102</v>
      </c>
    </row>
    <row r="579" spans="1:87">
      <c r="A579" t="s">
        <v>3406</v>
      </c>
      <c r="B579">
        <v>1157</v>
      </c>
      <c r="C579" t="s">
        <v>3404</v>
      </c>
      <c r="D579" t="s">
        <v>457</v>
      </c>
      <c r="E579" t="s">
        <v>629</v>
      </c>
      <c r="F579" t="s">
        <v>672</v>
      </c>
      <c r="G579" t="s">
        <v>738</v>
      </c>
      <c r="N579">
        <v>36</v>
      </c>
      <c r="O579">
        <v>108</v>
      </c>
      <c r="P579">
        <v>60</v>
      </c>
      <c r="Q579">
        <v>240</v>
      </c>
      <c r="R579">
        <v>120</v>
      </c>
      <c r="S579">
        <v>312</v>
      </c>
      <c r="T579">
        <v>72</v>
      </c>
      <c r="U579">
        <v>144</v>
      </c>
      <c r="V579">
        <v>41</v>
      </c>
      <c r="W579">
        <v>18</v>
      </c>
      <c r="Y579">
        <v>6</v>
      </c>
      <c r="CH579" t="str">
        <f t="shared" si="9"/>
        <v>JV1-0695-3</v>
      </c>
      <c r="CI579" s="1" t="s">
        <v>102</v>
      </c>
    </row>
    <row r="580" spans="1:87">
      <c r="A580" t="s">
        <v>3403</v>
      </c>
      <c r="B580">
        <v>257</v>
      </c>
      <c r="C580" t="s">
        <v>3404</v>
      </c>
      <c r="D580" t="s">
        <v>457</v>
      </c>
      <c r="E580" t="s">
        <v>629</v>
      </c>
      <c r="F580" t="s">
        <v>672</v>
      </c>
      <c r="G580" t="s">
        <v>738</v>
      </c>
      <c r="N580">
        <v>21</v>
      </c>
      <c r="O580">
        <v>21</v>
      </c>
      <c r="P580">
        <v>42</v>
      </c>
      <c r="Q580">
        <v>42</v>
      </c>
      <c r="R580">
        <v>42</v>
      </c>
      <c r="S580">
        <v>42</v>
      </c>
      <c r="T580">
        <v>21</v>
      </c>
      <c r="U580">
        <v>26</v>
      </c>
      <c r="CH580" t="str">
        <f t="shared" si="9"/>
        <v>JV1-0695-3</v>
      </c>
      <c r="CI580" s="1" t="s">
        <v>102</v>
      </c>
    </row>
    <row r="581" spans="1:87">
      <c r="A581" t="s">
        <v>3405</v>
      </c>
      <c r="B581">
        <v>2669</v>
      </c>
      <c r="C581" t="s">
        <v>3404</v>
      </c>
      <c r="D581" t="s">
        <v>457</v>
      </c>
      <c r="E581" t="s">
        <v>629</v>
      </c>
      <c r="F581" t="s">
        <v>672</v>
      </c>
      <c r="G581" t="s">
        <v>738</v>
      </c>
      <c r="N581">
        <v>72</v>
      </c>
      <c r="O581">
        <v>252</v>
      </c>
      <c r="P581">
        <v>144</v>
      </c>
      <c r="Q581">
        <v>552</v>
      </c>
      <c r="R581">
        <v>276</v>
      </c>
      <c r="S581">
        <v>720</v>
      </c>
      <c r="T581">
        <v>168</v>
      </c>
      <c r="U581">
        <v>324</v>
      </c>
      <c r="V581">
        <v>71</v>
      </c>
      <c r="W581">
        <v>72</v>
      </c>
      <c r="X581">
        <v>12</v>
      </c>
      <c r="Y581">
        <v>6</v>
      </c>
      <c r="CH581" t="str">
        <f t="shared" si="9"/>
        <v>JV1-0695-3</v>
      </c>
      <c r="CI581" s="1" t="s">
        <v>102</v>
      </c>
    </row>
    <row r="582" spans="1:87">
      <c r="A582" t="s">
        <v>3407</v>
      </c>
      <c r="B582">
        <v>257</v>
      </c>
      <c r="C582" t="s">
        <v>3404</v>
      </c>
      <c r="D582" t="s">
        <v>457</v>
      </c>
      <c r="E582" t="s">
        <v>629</v>
      </c>
      <c r="F582" t="s">
        <v>672</v>
      </c>
      <c r="G582" t="s">
        <v>738</v>
      </c>
      <c r="N582">
        <v>12</v>
      </c>
      <c r="O582">
        <v>24</v>
      </c>
      <c r="P582">
        <v>12</v>
      </c>
      <c r="Q582">
        <v>48</v>
      </c>
      <c r="R582">
        <v>24</v>
      </c>
      <c r="S582">
        <v>72</v>
      </c>
      <c r="T582">
        <v>12</v>
      </c>
      <c r="U582">
        <v>24</v>
      </c>
      <c r="V582">
        <v>17</v>
      </c>
      <c r="W582">
        <v>12</v>
      </c>
      <c r="CH582" t="str">
        <f t="shared" si="9"/>
        <v>JV1-0695-3</v>
      </c>
      <c r="CI582" s="1" t="s">
        <v>102</v>
      </c>
    </row>
    <row r="583" spans="1:87">
      <c r="A583" t="s">
        <v>3408</v>
      </c>
      <c r="B583">
        <v>257</v>
      </c>
      <c r="C583" t="s">
        <v>3404</v>
      </c>
      <c r="D583" t="s">
        <v>457</v>
      </c>
      <c r="E583" t="s">
        <v>629</v>
      </c>
      <c r="F583" t="s">
        <v>672</v>
      </c>
      <c r="G583" t="s">
        <v>738</v>
      </c>
      <c r="N583">
        <v>12</v>
      </c>
      <c r="O583">
        <v>24</v>
      </c>
      <c r="P583">
        <v>12</v>
      </c>
      <c r="Q583">
        <v>48</v>
      </c>
      <c r="R583">
        <v>24</v>
      </c>
      <c r="S583">
        <v>72</v>
      </c>
      <c r="T583">
        <v>12</v>
      </c>
      <c r="U583">
        <v>24</v>
      </c>
      <c r="V583">
        <v>17</v>
      </c>
      <c r="W583">
        <v>12</v>
      </c>
      <c r="CH583" t="str">
        <f t="shared" si="9"/>
        <v>JV1-0695-3</v>
      </c>
      <c r="CI583" s="1" t="s">
        <v>102</v>
      </c>
    </row>
    <row r="584" spans="1:87">
      <c r="A584" t="s">
        <v>3213</v>
      </c>
      <c r="B584">
        <v>1008</v>
      </c>
      <c r="C584" t="s">
        <v>685</v>
      </c>
      <c r="D584" t="s">
        <v>457</v>
      </c>
      <c r="E584" t="s">
        <v>629</v>
      </c>
      <c r="F584" t="s">
        <v>672</v>
      </c>
      <c r="G584" t="s">
        <v>686</v>
      </c>
      <c r="N584">
        <v>12</v>
      </c>
      <c r="O584">
        <v>30</v>
      </c>
      <c r="P584">
        <v>42</v>
      </c>
      <c r="Q584">
        <v>78</v>
      </c>
      <c r="R584">
        <v>84</v>
      </c>
      <c r="S584">
        <v>96</v>
      </c>
      <c r="T584">
        <v>66</v>
      </c>
      <c r="U584">
        <v>54</v>
      </c>
      <c r="V584">
        <v>48</v>
      </c>
      <c r="W584">
        <v>60</v>
      </c>
      <c r="X584">
        <v>78</v>
      </c>
      <c r="Y584">
        <v>96</v>
      </c>
      <c r="Z584">
        <v>72</v>
      </c>
      <c r="AA584">
        <v>42</v>
      </c>
      <c r="AB584">
        <v>42</v>
      </c>
      <c r="AC584">
        <v>48</v>
      </c>
      <c r="AD584">
        <v>24</v>
      </c>
      <c r="AE584">
        <v>18</v>
      </c>
      <c r="AF584">
        <v>18</v>
      </c>
      <c r="CH584" t="str">
        <f t="shared" si="9"/>
        <v>JV1-0695-3</v>
      </c>
      <c r="CI584" s="1" t="s">
        <v>102</v>
      </c>
    </row>
    <row r="585" spans="1:87">
      <c r="A585" t="s">
        <v>3214</v>
      </c>
      <c r="B585">
        <v>2874</v>
      </c>
      <c r="C585" t="s">
        <v>685</v>
      </c>
      <c r="D585" t="s">
        <v>457</v>
      </c>
      <c r="E585" t="s">
        <v>629</v>
      </c>
      <c r="F585" t="s">
        <v>672</v>
      </c>
      <c r="G585" t="s">
        <v>686</v>
      </c>
      <c r="N585">
        <v>132</v>
      </c>
      <c r="O585">
        <v>222</v>
      </c>
      <c r="P585">
        <v>216</v>
      </c>
      <c r="Q585">
        <v>438</v>
      </c>
      <c r="R585">
        <v>306</v>
      </c>
      <c r="S585">
        <v>372</v>
      </c>
      <c r="T585">
        <v>264</v>
      </c>
      <c r="U585">
        <v>126</v>
      </c>
      <c r="V585">
        <v>144</v>
      </c>
      <c r="W585">
        <v>114</v>
      </c>
      <c r="X585">
        <v>84</v>
      </c>
      <c r="Y585">
        <v>120</v>
      </c>
      <c r="Z585">
        <v>102</v>
      </c>
      <c r="AA585">
        <v>60</v>
      </c>
      <c r="AB585">
        <v>72</v>
      </c>
      <c r="AC585">
        <v>36</v>
      </c>
      <c r="AD585">
        <v>36</v>
      </c>
      <c r="AF585">
        <v>18</v>
      </c>
      <c r="AH585">
        <v>6</v>
      </c>
      <c r="AJ585">
        <v>6</v>
      </c>
      <c r="CH585" t="str">
        <f t="shared" si="9"/>
        <v>JV1-0695-3</v>
      </c>
      <c r="CI585" s="1" t="s">
        <v>102</v>
      </c>
    </row>
    <row r="586" spans="1:87">
      <c r="A586" t="s">
        <v>3218</v>
      </c>
      <c r="B586">
        <v>173</v>
      </c>
      <c r="C586" t="s">
        <v>685</v>
      </c>
      <c r="D586" t="s">
        <v>457</v>
      </c>
      <c r="E586" t="s">
        <v>629</v>
      </c>
      <c r="F586" t="s">
        <v>672</v>
      </c>
      <c r="G586" t="s">
        <v>686</v>
      </c>
      <c r="N586">
        <v>6</v>
      </c>
      <c r="O586">
        <v>12</v>
      </c>
      <c r="P586">
        <v>12</v>
      </c>
      <c r="Q586">
        <v>18</v>
      </c>
      <c r="R586">
        <v>24</v>
      </c>
      <c r="S586">
        <v>24</v>
      </c>
      <c r="T586">
        <v>18</v>
      </c>
      <c r="U586">
        <v>17</v>
      </c>
      <c r="V586">
        <v>6</v>
      </c>
      <c r="X586">
        <v>6</v>
      </c>
      <c r="Y586">
        <v>6</v>
      </c>
      <c r="Z586">
        <v>6</v>
      </c>
      <c r="AA586">
        <v>6</v>
      </c>
      <c r="AB586">
        <v>6</v>
      </c>
      <c r="AD586">
        <v>6</v>
      </c>
      <c r="CH586" t="str">
        <f t="shared" si="9"/>
        <v>JV1-0695-3</v>
      </c>
      <c r="CI586" s="1" t="s">
        <v>102</v>
      </c>
    </row>
    <row r="587" spans="1:87">
      <c r="A587" t="s">
        <v>3219</v>
      </c>
      <c r="B587">
        <v>786</v>
      </c>
      <c r="C587" t="s">
        <v>685</v>
      </c>
      <c r="D587" t="s">
        <v>457</v>
      </c>
      <c r="E587" t="s">
        <v>629</v>
      </c>
      <c r="F587" t="s">
        <v>672</v>
      </c>
      <c r="G587" t="s">
        <v>686</v>
      </c>
      <c r="N587">
        <v>36</v>
      </c>
      <c r="O587">
        <v>54</v>
      </c>
      <c r="P587">
        <v>54</v>
      </c>
      <c r="Q587">
        <v>66</v>
      </c>
      <c r="R587">
        <v>66</v>
      </c>
      <c r="S587">
        <v>72</v>
      </c>
      <c r="T587">
        <v>54</v>
      </c>
      <c r="U587">
        <v>60</v>
      </c>
      <c r="V587">
        <v>48</v>
      </c>
      <c r="W587">
        <v>42</v>
      </c>
      <c r="X587">
        <v>42</v>
      </c>
      <c r="Y587">
        <v>54</v>
      </c>
      <c r="Z587">
        <v>48</v>
      </c>
      <c r="AA587">
        <v>30</v>
      </c>
      <c r="AB587">
        <v>24</v>
      </c>
      <c r="AC587">
        <v>12</v>
      </c>
      <c r="AD587">
        <v>12</v>
      </c>
      <c r="AF587">
        <v>6</v>
      </c>
      <c r="AH587">
        <v>6</v>
      </c>
      <c r="CH587" t="str">
        <f t="shared" si="9"/>
        <v>JV1-0695-3</v>
      </c>
      <c r="CI587" s="1" t="s">
        <v>102</v>
      </c>
    </row>
    <row r="588" spans="1:87">
      <c r="A588" t="s">
        <v>3220</v>
      </c>
      <c r="B588">
        <v>257</v>
      </c>
      <c r="C588" t="s">
        <v>685</v>
      </c>
      <c r="D588" t="s">
        <v>457</v>
      </c>
      <c r="E588" t="s">
        <v>629</v>
      </c>
      <c r="F588" t="s">
        <v>672</v>
      </c>
      <c r="G588" t="s">
        <v>686</v>
      </c>
      <c r="U588">
        <v>35</v>
      </c>
      <c r="V588">
        <v>12</v>
      </c>
      <c r="W588">
        <v>48</v>
      </c>
      <c r="X588">
        <v>12</v>
      </c>
      <c r="Y588">
        <v>48</v>
      </c>
      <c r="Z588">
        <v>12</v>
      </c>
      <c r="AA588">
        <v>48</v>
      </c>
      <c r="AB588">
        <v>12</v>
      </c>
      <c r="AC588">
        <v>30</v>
      </c>
      <c r="CH588" t="str">
        <f t="shared" si="9"/>
        <v>JV1-0695-3</v>
      </c>
      <c r="CI588" s="1" t="s">
        <v>102</v>
      </c>
    </row>
    <row r="589" spans="1:87">
      <c r="A589" t="s">
        <v>3221</v>
      </c>
      <c r="B589">
        <v>1320</v>
      </c>
      <c r="C589" t="s">
        <v>685</v>
      </c>
      <c r="D589" t="s">
        <v>457</v>
      </c>
      <c r="E589" t="s">
        <v>629</v>
      </c>
      <c r="F589" t="s">
        <v>672</v>
      </c>
      <c r="G589" t="s">
        <v>686</v>
      </c>
      <c r="N589">
        <v>66</v>
      </c>
      <c r="O589">
        <v>90</v>
      </c>
      <c r="P589">
        <v>102</v>
      </c>
      <c r="Q589">
        <v>192</v>
      </c>
      <c r="R589">
        <v>180</v>
      </c>
      <c r="S589">
        <v>180</v>
      </c>
      <c r="T589">
        <v>126</v>
      </c>
      <c r="U589">
        <v>96</v>
      </c>
      <c r="V589">
        <v>66</v>
      </c>
      <c r="W589">
        <v>42</v>
      </c>
      <c r="X589">
        <v>42</v>
      </c>
      <c r="Y589">
        <v>42</v>
      </c>
      <c r="Z589">
        <v>24</v>
      </c>
      <c r="AA589">
        <v>18</v>
      </c>
      <c r="AB589">
        <v>18</v>
      </c>
      <c r="AC589">
        <v>18</v>
      </c>
      <c r="AD589">
        <v>18</v>
      </c>
      <c r="CH589" t="str">
        <f t="shared" si="9"/>
        <v>JV1-0695-3</v>
      </c>
      <c r="CI589" s="1" t="s">
        <v>102</v>
      </c>
    </row>
    <row r="590" spans="1:87">
      <c r="A590" t="s">
        <v>3222</v>
      </c>
      <c r="B590">
        <v>269</v>
      </c>
      <c r="C590" t="s">
        <v>685</v>
      </c>
      <c r="D590" t="s">
        <v>457</v>
      </c>
      <c r="E590" t="s">
        <v>629</v>
      </c>
      <c r="F590" t="s">
        <v>672</v>
      </c>
      <c r="G590" t="s">
        <v>686</v>
      </c>
      <c r="N590">
        <v>12</v>
      </c>
      <c r="O590">
        <v>18</v>
      </c>
      <c r="P590">
        <v>24</v>
      </c>
      <c r="Q590">
        <v>42</v>
      </c>
      <c r="R590">
        <v>42</v>
      </c>
      <c r="S590">
        <v>42</v>
      </c>
      <c r="T590">
        <v>30</v>
      </c>
      <c r="U590">
        <v>23</v>
      </c>
      <c r="V590">
        <v>12</v>
      </c>
      <c r="W590">
        <v>6</v>
      </c>
      <c r="X590">
        <v>6</v>
      </c>
      <c r="Y590">
        <v>6</v>
      </c>
      <c r="Z590">
        <v>6</v>
      </c>
      <c r="CH590" t="str">
        <f t="shared" si="9"/>
        <v>JV1-0695-3</v>
      </c>
      <c r="CI590" s="1" t="s">
        <v>102</v>
      </c>
    </row>
    <row r="591" spans="1:87">
      <c r="A591" t="s">
        <v>3226</v>
      </c>
      <c r="B591">
        <v>281</v>
      </c>
      <c r="C591" t="s">
        <v>685</v>
      </c>
      <c r="D591" t="s">
        <v>457</v>
      </c>
      <c r="E591" t="s">
        <v>629</v>
      </c>
      <c r="F591" t="s">
        <v>672</v>
      </c>
      <c r="G591" t="s">
        <v>686</v>
      </c>
      <c r="N591">
        <v>12</v>
      </c>
      <c r="O591">
        <v>24</v>
      </c>
      <c r="Q591">
        <v>84</v>
      </c>
      <c r="S591">
        <v>84</v>
      </c>
      <c r="U591">
        <v>65</v>
      </c>
      <c r="W591">
        <v>12</v>
      </c>
      <c r="CH591" t="str">
        <f t="shared" si="9"/>
        <v>JV1-0695-3</v>
      </c>
      <c r="CI591" s="1" t="s">
        <v>102</v>
      </c>
    </row>
    <row r="592" spans="1:87">
      <c r="A592" t="s">
        <v>5133</v>
      </c>
      <c r="B592">
        <v>257</v>
      </c>
      <c r="C592" t="s">
        <v>3774</v>
      </c>
      <c r="D592" t="s">
        <v>457</v>
      </c>
      <c r="E592" t="s">
        <v>629</v>
      </c>
      <c r="F592" t="s">
        <v>672</v>
      </c>
      <c r="G592" t="s">
        <v>686</v>
      </c>
      <c r="N592">
        <v>21</v>
      </c>
      <c r="O592">
        <v>21</v>
      </c>
      <c r="P592">
        <v>42</v>
      </c>
      <c r="Q592">
        <v>42</v>
      </c>
      <c r="R592">
        <v>42</v>
      </c>
      <c r="S592">
        <v>42</v>
      </c>
      <c r="T592">
        <v>21</v>
      </c>
      <c r="U592">
        <v>26</v>
      </c>
      <c r="CH592" t="str">
        <f t="shared" si="9"/>
        <v>JV1-0695-3</v>
      </c>
      <c r="CI592" s="1" t="s">
        <v>102</v>
      </c>
    </row>
    <row r="593" spans="1:87">
      <c r="A593" t="s">
        <v>1849</v>
      </c>
      <c r="B593">
        <v>84</v>
      </c>
      <c r="C593" t="s">
        <v>1746</v>
      </c>
      <c r="D593" t="s">
        <v>410</v>
      </c>
      <c r="E593" t="s">
        <v>629</v>
      </c>
      <c r="F593" t="s">
        <v>652</v>
      </c>
      <c r="G593" t="s">
        <v>1742</v>
      </c>
      <c r="O593">
        <v>12</v>
      </c>
      <c r="Q593">
        <v>12</v>
      </c>
      <c r="R593">
        <v>12</v>
      </c>
      <c r="S593">
        <v>12</v>
      </c>
      <c r="T593">
        <v>12</v>
      </c>
      <c r="V593">
        <v>12</v>
      </c>
      <c r="X593">
        <v>12</v>
      </c>
      <c r="CH593" t="str">
        <f t="shared" si="9"/>
        <v>D-0591</v>
      </c>
      <c r="CI593" s="1" t="s">
        <v>102</v>
      </c>
    </row>
    <row r="594" spans="1:87">
      <c r="A594" t="s">
        <v>1984</v>
      </c>
      <c r="B594">
        <v>32</v>
      </c>
      <c r="C594" t="s">
        <v>1746</v>
      </c>
      <c r="D594" t="s">
        <v>410</v>
      </c>
      <c r="E594" t="s">
        <v>629</v>
      </c>
      <c r="F594" t="s">
        <v>652</v>
      </c>
      <c r="G594" t="s">
        <v>1742</v>
      </c>
      <c r="U594">
        <v>4</v>
      </c>
      <c r="W594">
        <v>8</v>
      </c>
      <c r="Y594">
        <v>8</v>
      </c>
      <c r="AA594">
        <v>8</v>
      </c>
      <c r="AC594">
        <v>4</v>
      </c>
      <c r="CH594" t="str">
        <f t="shared" si="9"/>
        <v>D-0591</v>
      </c>
      <c r="CI594" s="1" t="s">
        <v>102</v>
      </c>
    </row>
    <row r="595" spans="1:87">
      <c r="A595" t="s">
        <v>5147</v>
      </c>
      <c r="B595">
        <v>2</v>
      </c>
      <c r="C595" t="s">
        <v>5144</v>
      </c>
      <c r="D595" t="s">
        <v>5145</v>
      </c>
      <c r="E595" t="s">
        <v>642</v>
      </c>
      <c r="F595" t="s">
        <v>5146</v>
      </c>
      <c r="G595" t="s">
        <v>2593</v>
      </c>
      <c r="AF595">
        <v>2</v>
      </c>
      <c r="CH595" t="str">
        <f t="shared" si="9"/>
        <v>D-0514</v>
      </c>
      <c r="CI595" s="1" t="s">
        <v>102</v>
      </c>
    </row>
    <row r="596" spans="1:87">
      <c r="A596" t="s">
        <v>2599</v>
      </c>
      <c r="B596">
        <v>1250</v>
      </c>
      <c r="C596" t="s">
        <v>2600</v>
      </c>
      <c r="D596" t="s">
        <v>213</v>
      </c>
      <c r="E596" t="s">
        <v>629</v>
      </c>
      <c r="F596" t="s">
        <v>643</v>
      </c>
      <c r="G596" t="s">
        <v>2283</v>
      </c>
      <c r="R596">
        <v>18</v>
      </c>
      <c r="S596">
        <v>18</v>
      </c>
      <c r="T596">
        <v>62</v>
      </c>
      <c r="U596">
        <v>60</v>
      </c>
      <c r="V596">
        <v>204</v>
      </c>
      <c r="W596">
        <v>156</v>
      </c>
      <c r="X596">
        <v>294</v>
      </c>
      <c r="Y596">
        <v>174</v>
      </c>
      <c r="Z596">
        <v>126</v>
      </c>
      <c r="AA596">
        <v>60</v>
      </c>
      <c r="AB596">
        <v>78</v>
      </c>
      <c r="CH596" t="str">
        <f t="shared" si="9"/>
        <v>D-0257</v>
      </c>
      <c r="CI596" s="1" t="s">
        <v>102</v>
      </c>
    </row>
    <row r="597" spans="1:87">
      <c r="A597" t="s">
        <v>2601</v>
      </c>
      <c r="B597">
        <v>362</v>
      </c>
      <c r="C597" t="s">
        <v>2600</v>
      </c>
      <c r="D597" t="s">
        <v>213</v>
      </c>
      <c r="E597" t="s">
        <v>629</v>
      </c>
      <c r="F597" t="s">
        <v>643</v>
      </c>
      <c r="G597" t="s">
        <v>2283</v>
      </c>
      <c r="V597">
        <v>36</v>
      </c>
      <c r="X597">
        <v>110</v>
      </c>
      <c r="Z597">
        <v>108</v>
      </c>
      <c r="AB597">
        <v>72</v>
      </c>
      <c r="AD597">
        <v>36</v>
      </c>
      <c r="CH597" t="str">
        <f t="shared" si="9"/>
        <v>D-0257</v>
      </c>
      <c r="CI597" s="1" t="s">
        <v>102</v>
      </c>
    </row>
    <row r="598" spans="1:87">
      <c r="A598" t="s">
        <v>2602</v>
      </c>
      <c r="B598">
        <v>78</v>
      </c>
      <c r="C598" t="s">
        <v>2600</v>
      </c>
      <c r="D598" t="s">
        <v>213</v>
      </c>
      <c r="E598" t="s">
        <v>629</v>
      </c>
      <c r="F598" t="s">
        <v>643</v>
      </c>
      <c r="G598" t="s">
        <v>2283</v>
      </c>
      <c r="V598">
        <v>6</v>
      </c>
      <c r="X598">
        <v>24</v>
      </c>
      <c r="Z598">
        <v>24</v>
      </c>
      <c r="AB598">
        <v>18</v>
      </c>
      <c r="AD598">
        <v>6</v>
      </c>
      <c r="CH598" t="str">
        <f t="shared" si="9"/>
        <v>D-0257</v>
      </c>
      <c r="CI598" s="1" t="s">
        <v>102</v>
      </c>
    </row>
    <row r="599" spans="1:87">
      <c r="A599" t="s">
        <v>2603</v>
      </c>
      <c r="B599">
        <v>656</v>
      </c>
      <c r="C599" t="s">
        <v>2600</v>
      </c>
      <c r="D599" t="s">
        <v>213</v>
      </c>
      <c r="E599" t="s">
        <v>629</v>
      </c>
      <c r="F599" t="s">
        <v>643</v>
      </c>
      <c r="G599" t="s">
        <v>2283</v>
      </c>
      <c r="T599">
        <v>20</v>
      </c>
      <c r="U599">
        <v>66</v>
      </c>
      <c r="V599">
        <v>90</v>
      </c>
      <c r="W599">
        <v>96</v>
      </c>
      <c r="X599">
        <v>132</v>
      </c>
      <c r="Y599">
        <v>102</v>
      </c>
      <c r="Z599">
        <v>78</v>
      </c>
      <c r="AA599">
        <v>24</v>
      </c>
      <c r="AB599">
        <v>30</v>
      </c>
      <c r="AC599">
        <v>6</v>
      </c>
      <c r="AD599">
        <v>12</v>
      </c>
      <c r="CH599" t="str">
        <f t="shared" si="9"/>
        <v>D-0257</v>
      </c>
      <c r="CI599" s="1" t="s">
        <v>102</v>
      </c>
    </row>
    <row r="600" spans="1:87">
      <c r="A600" t="s">
        <v>2604</v>
      </c>
      <c r="B600">
        <v>386</v>
      </c>
      <c r="C600" t="s">
        <v>2600</v>
      </c>
      <c r="D600" t="s">
        <v>213</v>
      </c>
      <c r="E600" t="s">
        <v>629</v>
      </c>
      <c r="F600" t="s">
        <v>643</v>
      </c>
      <c r="G600" t="s">
        <v>2283</v>
      </c>
      <c r="S600">
        <v>12</v>
      </c>
      <c r="T600">
        <v>20</v>
      </c>
      <c r="U600">
        <v>18</v>
      </c>
      <c r="V600">
        <v>27</v>
      </c>
      <c r="W600">
        <v>48</v>
      </c>
      <c r="X600">
        <v>60</v>
      </c>
      <c r="Y600">
        <v>57</v>
      </c>
      <c r="Z600">
        <v>48</v>
      </c>
      <c r="AA600">
        <v>42</v>
      </c>
      <c r="AB600">
        <v>30</v>
      </c>
      <c r="AC600">
        <v>12</v>
      </c>
      <c r="AD600">
        <v>12</v>
      </c>
      <c r="CH600" t="str">
        <f t="shared" si="9"/>
        <v>D-0257</v>
      </c>
      <c r="CI600" s="1" t="s">
        <v>102</v>
      </c>
    </row>
    <row r="601" spans="1:87">
      <c r="A601" t="s">
        <v>1327</v>
      </c>
      <c r="B601">
        <v>3179</v>
      </c>
      <c r="C601" t="s">
        <v>1328</v>
      </c>
      <c r="D601" t="s">
        <v>352</v>
      </c>
      <c r="E601" t="s">
        <v>642</v>
      </c>
      <c r="F601" t="s">
        <v>645</v>
      </c>
      <c r="G601" t="s">
        <v>1329</v>
      </c>
      <c r="P601">
        <v>49</v>
      </c>
      <c r="Q601">
        <v>103</v>
      </c>
      <c r="R601">
        <v>395</v>
      </c>
      <c r="S601">
        <v>443</v>
      </c>
      <c r="T601">
        <v>677</v>
      </c>
      <c r="U601">
        <v>471</v>
      </c>
      <c r="V601">
        <v>526</v>
      </c>
      <c r="W601">
        <v>138</v>
      </c>
      <c r="X601">
        <v>182</v>
      </c>
      <c r="Y601">
        <v>62</v>
      </c>
      <c r="Z601">
        <v>99</v>
      </c>
      <c r="AA601">
        <v>10</v>
      </c>
      <c r="AB601">
        <v>21</v>
      </c>
      <c r="AC601">
        <v>1</v>
      </c>
      <c r="AD601">
        <v>2</v>
      </c>
      <c r="CH601" t="str">
        <f t="shared" si="9"/>
        <v>D-0515</v>
      </c>
      <c r="CI601" s="1" t="s">
        <v>102</v>
      </c>
    </row>
    <row r="602" spans="1:87">
      <c r="A602" t="s">
        <v>2380</v>
      </c>
      <c r="B602">
        <v>647</v>
      </c>
      <c r="C602" t="s">
        <v>1328</v>
      </c>
      <c r="D602" t="s">
        <v>352</v>
      </c>
      <c r="E602" t="s">
        <v>642</v>
      </c>
      <c r="F602" t="s">
        <v>645</v>
      </c>
      <c r="G602" t="s">
        <v>1329</v>
      </c>
      <c r="U602">
        <v>139</v>
      </c>
      <c r="W602">
        <v>263</v>
      </c>
      <c r="X602">
        <v>55</v>
      </c>
      <c r="Y602">
        <v>89</v>
      </c>
      <c r="Z602">
        <v>12</v>
      </c>
      <c r="AA602">
        <v>42</v>
      </c>
      <c r="AB602">
        <v>17</v>
      </c>
      <c r="AC602">
        <v>16</v>
      </c>
      <c r="AD602">
        <v>14</v>
      </c>
      <c r="CH602" t="str">
        <f t="shared" si="9"/>
        <v>D-0515</v>
      </c>
      <c r="CI602" s="1" t="s">
        <v>102</v>
      </c>
    </row>
    <row r="603" spans="1:87">
      <c r="A603" t="s">
        <v>1086</v>
      </c>
      <c r="B603">
        <v>152</v>
      </c>
      <c r="C603" t="s">
        <v>948</v>
      </c>
      <c r="D603" t="s">
        <v>365</v>
      </c>
      <c r="E603" t="s">
        <v>642</v>
      </c>
      <c r="F603" t="s">
        <v>706</v>
      </c>
      <c r="G603" t="s">
        <v>949</v>
      </c>
      <c r="Q603">
        <v>12</v>
      </c>
      <c r="S603">
        <v>54</v>
      </c>
      <c r="T603">
        <v>68</v>
      </c>
      <c r="V603">
        <v>18</v>
      </c>
      <c r="CH603" t="str">
        <f t="shared" si="9"/>
        <v>D-0524</v>
      </c>
      <c r="CI603" s="1" t="s">
        <v>102</v>
      </c>
    </row>
    <row r="604" spans="1:87">
      <c r="A604" t="s">
        <v>1087</v>
      </c>
      <c r="B604">
        <v>110</v>
      </c>
      <c r="C604" t="s">
        <v>948</v>
      </c>
      <c r="D604" t="s">
        <v>365</v>
      </c>
      <c r="E604" t="s">
        <v>642</v>
      </c>
      <c r="F604" t="s">
        <v>706</v>
      </c>
      <c r="G604" t="s">
        <v>949</v>
      </c>
      <c r="O604">
        <v>12</v>
      </c>
      <c r="Q604">
        <v>18</v>
      </c>
      <c r="S604">
        <v>36</v>
      </c>
      <c r="U604">
        <v>32</v>
      </c>
      <c r="W604">
        <v>12</v>
      </c>
      <c r="CH604" t="str">
        <f t="shared" si="9"/>
        <v>D-0524</v>
      </c>
      <c r="CI604" s="1" t="s">
        <v>102</v>
      </c>
    </row>
    <row r="605" spans="1:87">
      <c r="A605" t="s">
        <v>5138</v>
      </c>
      <c r="B605">
        <v>8067</v>
      </c>
      <c r="C605" t="s">
        <v>1028</v>
      </c>
      <c r="D605" t="s">
        <v>217</v>
      </c>
      <c r="E605" t="s">
        <v>629</v>
      </c>
      <c r="F605" t="s">
        <v>690</v>
      </c>
      <c r="G605" t="s">
        <v>2593</v>
      </c>
      <c r="T605">
        <v>120</v>
      </c>
      <c r="U605">
        <v>260</v>
      </c>
      <c r="V605">
        <v>800</v>
      </c>
      <c r="W605">
        <v>800</v>
      </c>
      <c r="X605">
        <v>1007</v>
      </c>
      <c r="Y605">
        <v>1000</v>
      </c>
      <c r="Z605">
        <v>1000</v>
      </c>
      <c r="AA605">
        <v>900</v>
      </c>
      <c r="AB605">
        <v>800</v>
      </c>
      <c r="AC605">
        <v>600</v>
      </c>
      <c r="AD605">
        <v>500</v>
      </c>
      <c r="AE605">
        <v>80</v>
      </c>
      <c r="AF605">
        <v>200</v>
      </c>
      <c r="CH605" t="str">
        <f t="shared" si="9"/>
        <v>D-0260</v>
      </c>
      <c r="CI605" s="1" t="s">
        <v>102</v>
      </c>
    </row>
    <row r="606" spans="1:87">
      <c r="A606" t="s">
        <v>2378</v>
      </c>
      <c r="B606">
        <v>2778</v>
      </c>
      <c r="C606" t="s">
        <v>1020</v>
      </c>
      <c r="D606" t="s">
        <v>182</v>
      </c>
      <c r="E606" t="s">
        <v>629</v>
      </c>
      <c r="F606" t="s">
        <v>632</v>
      </c>
      <c r="G606" t="s">
        <v>1021</v>
      </c>
      <c r="P606">
        <v>200</v>
      </c>
      <c r="S606">
        <v>350</v>
      </c>
      <c r="U606">
        <v>251</v>
      </c>
      <c r="V606">
        <v>450</v>
      </c>
      <c r="Y606">
        <v>502</v>
      </c>
      <c r="AA606">
        <v>500</v>
      </c>
      <c r="AC606">
        <v>275</v>
      </c>
      <c r="AF606">
        <v>250</v>
      </c>
      <c r="CH606" t="str">
        <f t="shared" si="9"/>
        <v>D-0170</v>
      </c>
      <c r="CI606" s="1" t="s">
        <v>102</v>
      </c>
    </row>
    <row r="607" spans="1:87">
      <c r="A607" t="s">
        <v>2235</v>
      </c>
      <c r="B607">
        <v>14</v>
      </c>
      <c r="C607" t="s">
        <v>2097</v>
      </c>
      <c r="D607" t="s">
        <v>410</v>
      </c>
      <c r="E607" t="s">
        <v>629</v>
      </c>
      <c r="F607" t="s">
        <v>652</v>
      </c>
      <c r="G607" t="s">
        <v>2098</v>
      </c>
      <c r="V607">
        <v>7</v>
      </c>
      <c r="X607">
        <v>7</v>
      </c>
      <c r="CH607" t="str">
        <f t="shared" si="9"/>
        <v>D-0591</v>
      </c>
      <c r="CI607" s="1" t="s">
        <v>102</v>
      </c>
    </row>
    <row r="608" spans="1:87">
      <c r="A608" t="s">
        <v>3257</v>
      </c>
      <c r="B608">
        <v>642</v>
      </c>
      <c r="C608" t="s">
        <v>987</v>
      </c>
      <c r="D608" t="s">
        <v>308</v>
      </c>
      <c r="E608" t="s">
        <v>629</v>
      </c>
      <c r="F608" t="s">
        <v>633</v>
      </c>
      <c r="G608" t="s">
        <v>2593</v>
      </c>
      <c r="M608">
        <v>42</v>
      </c>
      <c r="N608">
        <v>58</v>
      </c>
      <c r="O608">
        <v>123</v>
      </c>
      <c r="P608">
        <v>160</v>
      </c>
      <c r="Q608">
        <v>259</v>
      </c>
      <c r="CH608" t="str">
        <f t="shared" si="9"/>
        <v>D-0454</v>
      </c>
      <c r="CI608" s="1" t="s">
        <v>102</v>
      </c>
    </row>
    <row r="609" spans="1:87">
      <c r="A609" t="s">
        <v>5134</v>
      </c>
      <c r="B609">
        <v>278</v>
      </c>
      <c r="C609" t="s">
        <v>987</v>
      </c>
      <c r="D609" t="s">
        <v>308</v>
      </c>
      <c r="E609" t="s">
        <v>629</v>
      </c>
      <c r="F609" t="s">
        <v>633</v>
      </c>
      <c r="G609" t="s">
        <v>2593</v>
      </c>
      <c r="M609">
        <v>6</v>
      </c>
      <c r="N609">
        <v>12</v>
      </c>
      <c r="O609">
        <v>60</v>
      </c>
      <c r="P609">
        <v>79</v>
      </c>
      <c r="Q609">
        <v>121</v>
      </c>
      <c r="CH609" t="str">
        <f t="shared" si="9"/>
        <v>D-0454</v>
      </c>
      <c r="CI609" s="1" t="s">
        <v>102</v>
      </c>
    </row>
    <row r="610" spans="1:87">
      <c r="A610" t="s">
        <v>5139</v>
      </c>
      <c r="B610">
        <v>1657</v>
      </c>
      <c r="C610" t="s">
        <v>1145</v>
      </c>
      <c r="D610" t="s">
        <v>223</v>
      </c>
      <c r="E610" t="s">
        <v>642</v>
      </c>
      <c r="F610" t="s">
        <v>693</v>
      </c>
      <c r="G610" t="s">
        <v>2593</v>
      </c>
      <c r="R610">
        <v>150</v>
      </c>
      <c r="S610">
        <v>200</v>
      </c>
      <c r="T610">
        <v>607</v>
      </c>
      <c r="V610">
        <v>200</v>
      </c>
      <c r="W610">
        <v>200</v>
      </c>
      <c r="X610">
        <v>200</v>
      </c>
      <c r="Y610">
        <v>100</v>
      </c>
      <c r="CH610" t="str">
        <f t="shared" si="9"/>
        <v>D-0263</v>
      </c>
      <c r="CI610" s="1" t="s">
        <v>102</v>
      </c>
    </row>
    <row r="611" spans="1:87">
      <c r="A611" t="s">
        <v>3900</v>
      </c>
      <c r="B611">
        <v>696</v>
      </c>
      <c r="C611" t="s">
        <v>987</v>
      </c>
      <c r="D611" t="s">
        <v>308</v>
      </c>
      <c r="E611" t="s">
        <v>629</v>
      </c>
      <c r="F611" t="s">
        <v>633</v>
      </c>
      <c r="G611" t="s">
        <v>2593</v>
      </c>
      <c r="R611">
        <v>83</v>
      </c>
      <c r="S611">
        <v>63</v>
      </c>
      <c r="Y611">
        <v>76</v>
      </c>
      <c r="Z611">
        <v>10</v>
      </c>
      <c r="AC611">
        <v>200</v>
      </c>
      <c r="AD611">
        <v>125</v>
      </c>
      <c r="AE611">
        <v>8</v>
      </c>
      <c r="AF611">
        <v>89</v>
      </c>
      <c r="AH611">
        <v>42</v>
      </c>
      <c r="CH611" t="str">
        <f t="shared" si="9"/>
        <v>D-0454</v>
      </c>
      <c r="CI611" s="1" t="s">
        <v>102</v>
      </c>
    </row>
    <row r="612" spans="1:87">
      <c r="A612" t="s">
        <v>1761</v>
      </c>
      <c r="B612">
        <v>180</v>
      </c>
      <c r="C612" t="s">
        <v>1746</v>
      </c>
      <c r="D612" t="s">
        <v>410</v>
      </c>
      <c r="E612" t="s">
        <v>629</v>
      </c>
      <c r="F612" t="s">
        <v>652</v>
      </c>
      <c r="G612" t="s">
        <v>1742</v>
      </c>
      <c r="W612">
        <v>12</v>
      </c>
      <c r="X612">
        <v>12</v>
      </c>
      <c r="Y612">
        <v>36</v>
      </c>
      <c r="Z612">
        <v>24</v>
      </c>
      <c r="AA612">
        <v>36</v>
      </c>
      <c r="AB612">
        <v>24</v>
      </c>
      <c r="AC612">
        <v>24</v>
      </c>
      <c r="AE612">
        <v>12</v>
      </c>
      <c r="CH612" t="str">
        <f t="shared" si="9"/>
        <v>D-0591</v>
      </c>
      <c r="CI612" s="1" t="s">
        <v>102</v>
      </c>
    </row>
    <row r="613" spans="1:87">
      <c r="A613" t="s">
        <v>1758</v>
      </c>
      <c r="B613">
        <v>84</v>
      </c>
      <c r="C613" t="s">
        <v>1746</v>
      </c>
      <c r="D613" t="s">
        <v>410</v>
      </c>
      <c r="E613" t="s">
        <v>629</v>
      </c>
      <c r="F613" t="s">
        <v>652</v>
      </c>
      <c r="G613" t="s">
        <v>1742</v>
      </c>
      <c r="U613">
        <v>7</v>
      </c>
      <c r="V613">
        <v>7</v>
      </c>
      <c r="X613">
        <v>14</v>
      </c>
      <c r="Y613">
        <v>14</v>
      </c>
      <c r="Z613">
        <v>21</v>
      </c>
      <c r="AA613">
        <v>14</v>
      </c>
      <c r="AC613">
        <v>7</v>
      </c>
      <c r="CH613" t="str">
        <f t="shared" si="9"/>
        <v>D-0591</v>
      </c>
      <c r="CI613" s="1" t="s">
        <v>102</v>
      </c>
    </row>
    <row r="614" spans="1:87">
      <c r="A614" t="s">
        <v>1896</v>
      </c>
      <c r="B614">
        <v>168</v>
      </c>
      <c r="C614" t="s">
        <v>1746</v>
      </c>
      <c r="D614" t="s">
        <v>410</v>
      </c>
      <c r="E614" t="s">
        <v>629</v>
      </c>
      <c r="F614" t="s">
        <v>652</v>
      </c>
      <c r="G614" t="s">
        <v>1742</v>
      </c>
      <c r="U614">
        <v>28</v>
      </c>
      <c r="V614">
        <v>28</v>
      </c>
      <c r="W614">
        <v>14</v>
      </c>
      <c r="X614">
        <v>28</v>
      </c>
      <c r="Y614">
        <v>14</v>
      </c>
      <c r="Z614">
        <v>28</v>
      </c>
      <c r="AA614">
        <v>14</v>
      </c>
      <c r="AB614">
        <v>14</v>
      </c>
      <c r="CH614" t="str">
        <f t="shared" si="9"/>
        <v>D-0591</v>
      </c>
      <c r="CI614" s="1" t="s">
        <v>102</v>
      </c>
    </row>
    <row r="615" spans="1:87">
      <c r="A615" t="s">
        <v>1755</v>
      </c>
      <c r="B615">
        <v>96</v>
      </c>
      <c r="C615" t="s">
        <v>1746</v>
      </c>
      <c r="D615" t="s">
        <v>410</v>
      </c>
      <c r="E615" t="s">
        <v>629</v>
      </c>
      <c r="F615" t="s">
        <v>652</v>
      </c>
      <c r="G615" t="s">
        <v>1742</v>
      </c>
      <c r="N615">
        <v>12</v>
      </c>
      <c r="O615">
        <v>12</v>
      </c>
      <c r="P615">
        <v>12</v>
      </c>
      <c r="Q615">
        <v>12</v>
      </c>
      <c r="R615">
        <v>12</v>
      </c>
      <c r="S615">
        <v>12</v>
      </c>
      <c r="T615">
        <v>12</v>
      </c>
      <c r="U615">
        <v>12</v>
      </c>
      <c r="CH615" t="str">
        <f t="shared" si="9"/>
        <v>D-0591</v>
      </c>
      <c r="CI615" s="1" t="s">
        <v>102</v>
      </c>
    </row>
    <row r="616" spans="1:87">
      <c r="A616" t="s">
        <v>1894</v>
      </c>
      <c r="B616">
        <v>360</v>
      </c>
      <c r="C616" t="s">
        <v>1746</v>
      </c>
      <c r="D616" t="s">
        <v>410</v>
      </c>
      <c r="E616" t="s">
        <v>629</v>
      </c>
      <c r="F616" t="s">
        <v>652</v>
      </c>
      <c r="G616" t="s">
        <v>1742</v>
      </c>
      <c r="T616">
        <v>30</v>
      </c>
      <c r="U616">
        <v>60</v>
      </c>
      <c r="V616">
        <v>60</v>
      </c>
      <c r="W616">
        <v>60</v>
      </c>
      <c r="X616">
        <v>60</v>
      </c>
      <c r="Y616">
        <v>30</v>
      </c>
      <c r="Z616">
        <v>30</v>
      </c>
      <c r="AA616">
        <v>30</v>
      </c>
      <c r="CH616" t="str">
        <f t="shared" si="9"/>
        <v>D-0591</v>
      </c>
      <c r="CI616" s="1" t="s">
        <v>102</v>
      </c>
    </row>
    <row r="617" spans="1:87">
      <c r="A617" t="s">
        <v>1895</v>
      </c>
      <c r="B617">
        <v>99</v>
      </c>
      <c r="C617" t="s">
        <v>1746</v>
      </c>
      <c r="D617" t="s">
        <v>410</v>
      </c>
      <c r="E617" t="s">
        <v>629</v>
      </c>
      <c r="F617" t="s">
        <v>652</v>
      </c>
      <c r="G617" t="s">
        <v>1742</v>
      </c>
      <c r="U617">
        <v>11</v>
      </c>
      <c r="V617">
        <v>22</v>
      </c>
      <c r="X617">
        <v>22</v>
      </c>
      <c r="Z617">
        <v>22</v>
      </c>
      <c r="AA617">
        <v>11</v>
      </c>
      <c r="AB617">
        <v>11</v>
      </c>
      <c r="CH617" t="str">
        <f t="shared" si="9"/>
        <v>D-0591</v>
      </c>
      <c r="CI617" s="1" t="s">
        <v>102</v>
      </c>
    </row>
    <row r="618" spans="1:87">
      <c r="A618" t="s">
        <v>1888</v>
      </c>
      <c r="B618">
        <v>120</v>
      </c>
      <c r="C618" t="s">
        <v>1746</v>
      </c>
      <c r="D618" t="s">
        <v>410</v>
      </c>
      <c r="E618" t="s">
        <v>629</v>
      </c>
      <c r="F618" t="s">
        <v>652</v>
      </c>
      <c r="G618" t="s">
        <v>1742</v>
      </c>
      <c r="O618">
        <v>10</v>
      </c>
      <c r="Q618">
        <v>10</v>
      </c>
      <c r="S618">
        <v>20</v>
      </c>
      <c r="U618">
        <v>20</v>
      </c>
      <c r="W618">
        <v>20</v>
      </c>
      <c r="Y618">
        <v>20</v>
      </c>
      <c r="AA618">
        <v>10</v>
      </c>
      <c r="AC618">
        <v>10</v>
      </c>
      <c r="CH618" t="str">
        <f t="shared" si="9"/>
        <v>D-0591</v>
      </c>
      <c r="CI618" s="1" t="s">
        <v>102</v>
      </c>
    </row>
    <row r="619" spans="1:87">
      <c r="A619" t="s">
        <v>1869</v>
      </c>
      <c r="B619">
        <v>420</v>
      </c>
      <c r="C619" t="s">
        <v>1746</v>
      </c>
      <c r="D619" t="s">
        <v>410</v>
      </c>
      <c r="E619" t="s">
        <v>629</v>
      </c>
      <c r="F619" t="s">
        <v>652</v>
      </c>
      <c r="G619" t="s">
        <v>1742</v>
      </c>
      <c r="S619">
        <v>24</v>
      </c>
      <c r="U619">
        <v>60</v>
      </c>
      <c r="W619">
        <v>96</v>
      </c>
      <c r="Y619">
        <v>108</v>
      </c>
      <c r="AA619">
        <v>72</v>
      </c>
      <c r="AC619">
        <v>60</v>
      </c>
      <c r="CH619" t="str">
        <f t="shared" si="9"/>
        <v>D-0591</v>
      </c>
      <c r="CI619" s="1" t="s">
        <v>102</v>
      </c>
    </row>
    <row r="620" spans="1:87">
      <c r="A620" t="s">
        <v>1874</v>
      </c>
      <c r="B620">
        <v>180</v>
      </c>
      <c r="C620" t="s">
        <v>1746</v>
      </c>
      <c r="D620" t="s">
        <v>410</v>
      </c>
      <c r="E620" t="s">
        <v>629</v>
      </c>
      <c r="F620" t="s">
        <v>652</v>
      </c>
      <c r="G620" t="s">
        <v>1742</v>
      </c>
      <c r="V620">
        <v>20</v>
      </c>
      <c r="X620">
        <v>40</v>
      </c>
      <c r="Y620">
        <v>20</v>
      </c>
      <c r="Z620">
        <v>40</v>
      </c>
      <c r="AA620">
        <v>20</v>
      </c>
      <c r="AC620">
        <v>20</v>
      </c>
      <c r="AD620">
        <v>20</v>
      </c>
      <c r="CH620" t="str">
        <f t="shared" si="9"/>
        <v>D-0591</v>
      </c>
      <c r="CI620" s="1" t="s">
        <v>102</v>
      </c>
    </row>
    <row r="621" spans="1:87">
      <c r="A621" t="s">
        <v>1883</v>
      </c>
      <c r="B621">
        <v>45</v>
      </c>
      <c r="C621" t="s">
        <v>1746</v>
      </c>
      <c r="D621" t="s">
        <v>410</v>
      </c>
      <c r="E621" t="s">
        <v>629</v>
      </c>
      <c r="F621" t="s">
        <v>652</v>
      </c>
      <c r="G621" t="s">
        <v>1742</v>
      </c>
      <c r="V621">
        <v>5</v>
      </c>
      <c r="X621">
        <v>10</v>
      </c>
      <c r="Y621">
        <v>5</v>
      </c>
      <c r="Z621">
        <v>10</v>
      </c>
      <c r="AA621">
        <v>5</v>
      </c>
      <c r="AC621">
        <v>5</v>
      </c>
      <c r="AD621">
        <v>5</v>
      </c>
      <c r="CH621" t="str">
        <f t="shared" si="9"/>
        <v>D-0591</v>
      </c>
      <c r="CI621" s="1" t="s">
        <v>102</v>
      </c>
    </row>
    <row r="622" spans="1:87">
      <c r="A622" t="s">
        <v>1885</v>
      </c>
      <c r="B622">
        <v>204</v>
      </c>
      <c r="C622" t="s">
        <v>1746</v>
      </c>
      <c r="D622" t="s">
        <v>410</v>
      </c>
      <c r="E622" t="s">
        <v>629</v>
      </c>
      <c r="F622" t="s">
        <v>652</v>
      </c>
      <c r="G622" t="s">
        <v>1742</v>
      </c>
      <c r="U622">
        <v>34</v>
      </c>
      <c r="W622">
        <v>51</v>
      </c>
      <c r="Y622">
        <v>51</v>
      </c>
      <c r="AA622">
        <v>34</v>
      </c>
      <c r="AC622">
        <v>17</v>
      </c>
      <c r="AE622">
        <v>17</v>
      </c>
      <c r="CH622" t="str">
        <f t="shared" si="9"/>
        <v>D-0591</v>
      </c>
      <c r="CI622" s="1" t="s">
        <v>102</v>
      </c>
    </row>
    <row r="623" spans="1:87">
      <c r="A623" t="s">
        <v>1865</v>
      </c>
      <c r="B623">
        <v>60</v>
      </c>
      <c r="C623" t="s">
        <v>1746</v>
      </c>
      <c r="D623" t="s">
        <v>410</v>
      </c>
      <c r="E623" t="s">
        <v>629</v>
      </c>
      <c r="F623" t="s">
        <v>652</v>
      </c>
      <c r="G623" t="s">
        <v>1742</v>
      </c>
      <c r="U623">
        <v>5</v>
      </c>
      <c r="V623">
        <v>10</v>
      </c>
      <c r="W623">
        <v>10</v>
      </c>
      <c r="X623">
        <v>10</v>
      </c>
      <c r="Y623">
        <v>10</v>
      </c>
      <c r="Z623">
        <v>5</v>
      </c>
      <c r="AA623">
        <v>5</v>
      </c>
      <c r="AB623">
        <v>5</v>
      </c>
      <c r="CH623" t="str">
        <f t="shared" si="9"/>
        <v>D-0591</v>
      </c>
      <c r="CI623" s="1" t="s">
        <v>102</v>
      </c>
    </row>
    <row r="624" spans="1:87">
      <c r="A624" t="s">
        <v>1847</v>
      </c>
      <c r="B624">
        <v>108</v>
      </c>
      <c r="C624" t="s">
        <v>1746</v>
      </c>
      <c r="D624" t="s">
        <v>410</v>
      </c>
      <c r="E624" t="s">
        <v>629</v>
      </c>
      <c r="F624" t="s">
        <v>652</v>
      </c>
      <c r="G624" t="s">
        <v>1742</v>
      </c>
      <c r="S624">
        <v>12</v>
      </c>
      <c r="U624">
        <v>12</v>
      </c>
      <c r="V624">
        <v>24</v>
      </c>
      <c r="X624">
        <v>24</v>
      </c>
      <c r="Z624">
        <v>24</v>
      </c>
      <c r="AA624">
        <v>12</v>
      </c>
      <c r="CH624" t="str">
        <f t="shared" si="9"/>
        <v>D-0591</v>
      </c>
      <c r="CI624" s="1" t="s">
        <v>102</v>
      </c>
    </row>
    <row r="625" spans="1:87">
      <c r="A625" t="s">
        <v>1842</v>
      </c>
      <c r="B625">
        <v>180</v>
      </c>
      <c r="C625" t="s">
        <v>1746</v>
      </c>
      <c r="D625" t="s">
        <v>410</v>
      </c>
      <c r="E625" t="s">
        <v>629</v>
      </c>
      <c r="F625" t="s">
        <v>652</v>
      </c>
      <c r="G625" t="s">
        <v>1742</v>
      </c>
      <c r="Q625">
        <v>6</v>
      </c>
      <c r="S625">
        <v>10</v>
      </c>
      <c r="U625">
        <v>12</v>
      </c>
      <c r="W625">
        <v>26</v>
      </c>
      <c r="Y625">
        <v>32</v>
      </c>
      <c r="AA625">
        <v>38</v>
      </c>
      <c r="AC625">
        <v>25</v>
      </c>
      <c r="AE625">
        <v>21</v>
      </c>
      <c r="AG625">
        <v>10</v>
      </c>
      <c r="CH625" t="str">
        <f t="shared" si="9"/>
        <v>D-0591</v>
      </c>
      <c r="CI625" s="1" t="s">
        <v>102</v>
      </c>
    </row>
    <row r="626" spans="1:87">
      <c r="A626" t="s">
        <v>1820</v>
      </c>
      <c r="B626">
        <v>106</v>
      </c>
      <c r="C626" t="s">
        <v>1746</v>
      </c>
      <c r="D626" t="s">
        <v>410</v>
      </c>
      <c r="E626" t="s">
        <v>629</v>
      </c>
      <c r="F626" t="s">
        <v>652</v>
      </c>
      <c r="G626" t="s">
        <v>1742</v>
      </c>
      <c r="V626">
        <v>3</v>
      </c>
      <c r="W626">
        <v>8</v>
      </c>
      <c r="X626">
        <v>14</v>
      </c>
      <c r="Y626">
        <v>10</v>
      </c>
      <c r="Z626">
        <v>19</v>
      </c>
      <c r="AA626">
        <v>19</v>
      </c>
      <c r="AB626">
        <v>8</v>
      </c>
      <c r="AC626">
        <v>12</v>
      </c>
      <c r="AD626">
        <v>10</v>
      </c>
      <c r="AE626">
        <v>1</v>
      </c>
      <c r="AG626">
        <v>2</v>
      </c>
      <c r="CH626" t="str">
        <f t="shared" si="9"/>
        <v>D-0591</v>
      </c>
      <c r="CI626" s="1" t="s">
        <v>102</v>
      </c>
    </row>
    <row r="627" spans="1:87">
      <c r="A627" t="s">
        <v>3204</v>
      </c>
      <c r="B627">
        <v>2520</v>
      </c>
      <c r="C627" t="s">
        <v>685</v>
      </c>
      <c r="D627" t="s">
        <v>457</v>
      </c>
      <c r="E627" t="s">
        <v>629</v>
      </c>
      <c r="F627" t="s">
        <v>672</v>
      </c>
      <c r="G627" t="s">
        <v>686</v>
      </c>
      <c r="O627">
        <v>282</v>
      </c>
      <c r="P627">
        <v>96</v>
      </c>
      <c r="Q627">
        <v>540</v>
      </c>
      <c r="R627">
        <v>144</v>
      </c>
      <c r="S627">
        <v>762</v>
      </c>
      <c r="U627">
        <v>498</v>
      </c>
      <c r="W627">
        <v>186</v>
      </c>
      <c r="AB627">
        <v>6</v>
      </c>
      <c r="AH627">
        <v>6</v>
      </c>
      <c r="CH627" t="str">
        <f t="shared" si="9"/>
        <v>JV1-0695-3</v>
      </c>
      <c r="CI627" s="1" t="s">
        <v>102</v>
      </c>
    </row>
    <row r="628" spans="1:87">
      <c r="A628" t="s">
        <v>3208</v>
      </c>
      <c r="B628">
        <v>1512</v>
      </c>
      <c r="C628" t="s">
        <v>685</v>
      </c>
      <c r="D628" t="s">
        <v>457</v>
      </c>
      <c r="E628" t="s">
        <v>629</v>
      </c>
      <c r="F628" t="s">
        <v>672</v>
      </c>
      <c r="G628" t="s">
        <v>686</v>
      </c>
      <c r="N628">
        <v>24</v>
      </c>
      <c r="O628">
        <v>36</v>
      </c>
      <c r="P628">
        <v>120</v>
      </c>
      <c r="Q628">
        <v>150</v>
      </c>
      <c r="R628">
        <v>54</v>
      </c>
      <c r="S628">
        <v>108</v>
      </c>
      <c r="T628">
        <v>78</v>
      </c>
      <c r="U628">
        <v>66</v>
      </c>
      <c r="V628">
        <v>102</v>
      </c>
      <c r="W628">
        <v>174</v>
      </c>
      <c r="X628">
        <v>90</v>
      </c>
      <c r="Y628">
        <v>192</v>
      </c>
      <c r="Z628">
        <v>108</v>
      </c>
      <c r="AA628">
        <v>48</v>
      </c>
      <c r="AB628">
        <v>66</v>
      </c>
      <c r="AC628">
        <v>30</v>
      </c>
      <c r="AD628">
        <v>48</v>
      </c>
      <c r="AF628">
        <v>12</v>
      </c>
      <c r="AJ628">
        <v>6</v>
      </c>
      <c r="CH628" t="str">
        <f t="shared" si="9"/>
        <v>JV1-0695-3</v>
      </c>
      <c r="CI628" s="1" t="s">
        <v>102</v>
      </c>
    </row>
    <row r="629" spans="1:87">
      <c r="A629" t="s">
        <v>3210</v>
      </c>
      <c r="B629">
        <v>1434</v>
      </c>
      <c r="C629" t="s">
        <v>685</v>
      </c>
      <c r="D629" t="s">
        <v>457</v>
      </c>
      <c r="E629" t="s">
        <v>629</v>
      </c>
      <c r="F629" t="s">
        <v>672</v>
      </c>
      <c r="G629" t="s">
        <v>686</v>
      </c>
      <c r="N629">
        <v>24</v>
      </c>
      <c r="O629">
        <v>48</v>
      </c>
      <c r="P629">
        <v>66</v>
      </c>
      <c r="Q629">
        <v>114</v>
      </c>
      <c r="R629">
        <v>90</v>
      </c>
      <c r="S629">
        <v>120</v>
      </c>
      <c r="T629">
        <v>90</v>
      </c>
      <c r="U629">
        <v>90</v>
      </c>
      <c r="V629">
        <v>90</v>
      </c>
      <c r="W629">
        <v>126</v>
      </c>
      <c r="X629">
        <v>78</v>
      </c>
      <c r="Y629">
        <v>150</v>
      </c>
      <c r="Z629">
        <v>108</v>
      </c>
      <c r="AA629">
        <v>60</v>
      </c>
      <c r="AB629">
        <v>72</v>
      </c>
      <c r="AC629">
        <v>42</v>
      </c>
      <c r="AD629">
        <v>36</v>
      </c>
      <c r="AF629">
        <v>18</v>
      </c>
      <c r="AH629">
        <v>6</v>
      </c>
      <c r="AJ629">
        <v>6</v>
      </c>
      <c r="CH629" t="str">
        <f t="shared" si="9"/>
        <v>JV1-0695-3</v>
      </c>
      <c r="CI629" s="1" t="s">
        <v>102</v>
      </c>
    </row>
    <row r="630" spans="1:87">
      <c r="A630" t="s">
        <v>3211</v>
      </c>
      <c r="B630">
        <v>1650</v>
      </c>
      <c r="C630" t="s">
        <v>685</v>
      </c>
      <c r="D630" t="s">
        <v>457</v>
      </c>
      <c r="E630" t="s">
        <v>629</v>
      </c>
      <c r="F630" t="s">
        <v>672</v>
      </c>
      <c r="G630" t="s">
        <v>686</v>
      </c>
      <c r="N630">
        <v>42</v>
      </c>
      <c r="O630">
        <v>66</v>
      </c>
      <c r="P630">
        <v>78</v>
      </c>
      <c r="Q630">
        <v>138</v>
      </c>
      <c r="R630">
        <v>126</v>
      </c>
      <c r="S630">
        <v>126</v>
      </c>
      <c r="T630">
        <v>108</v>
      </c>
      <c r="U630">
        <v>108</v>
      </c>
      <c r="V630">
        <v>120</v>
      </c>
      <c r="W630">
        <v>42</v>
      </c>
      <c r="Y630">
        <v>216</v>
      </c>
      <c r="Z630">
        <v>144</v>
      </c>
      <c r="AA630">
        <v>78</v>
      </c>
      <c r="AB630">
        <v>96</v>
      </c>
      <c r="AC630">
        <v>54</v>
      </c>
      <c r="AD630">
        <v>54</v>
      </c>
      <c r="AF630">
        <v>36</v>
      </c>
      <c r="AH630">
        <v>12</v>
      </c>
      <c r="AJ630">
        <v>6</v>
      </c>
      <c r="CH630" t="str">
        <f t="shared" si="9"/>
        <v>JV1-0695-3</v>
      </c>
      <c r="CI630" s="1" t="s">
        <v>102</v>
      </c>
    </row>
    <row r="631" spans="1:87">
      <c r="A631" t="s">
        <v>3199</v>
      </c>
      <c r="B631">
        <v>606</v>
      </c>
      <c r="C631" t="s">
        <v>685</v>
      </c>
      <c r="D631" t="s">
        <v>457</v>
      </c>
      <c r="E631" t="s">
        <v>629</v>
      </c>
      <c r="F631" t="s">
        <v>672</v>
      </c>
      <c r="G631" t="s">
        <v>686</v>
      </c>
      <c r="N631">
        <v>24</v>
      </c>
      <c r="O631">
        <v>36</v>
      </c>
      <c r="P631">
        <v>48</v>
      </c>
      <c r="Q631">
        <v>78</v>
      </c>
      <c r="R631">
        <v>78</v>
      </c>
      <c r="S631">
        <v>78</v>
      </c>
      <c r="T631">
        <v>60</v>
      </c>
      <c r="U631">
        <v>54</v>
      </c>
      <c r="V631">
        <v>36</v>
      </c>
      <c r="W631">
        <v>30</v>
      </c>
      <c r="X631">
        <v>36</v>
      </c>
      <c r="Y631">
        <v>18</v>
      </c>
      <c r="Z631">
        <v>12</v>
      </c>
      <c r="AA631">
        <v>12</v>
      </c>
      <c r="AB631">
        <v>6</v>
      </c>
      <c r="CH631" t="str">
        <f t="shared" si="9"/>
        <v>JV1-0695-3</v>
      </c>
      <c r="CI631" s="1" t="s">
        <v>102</v>
      </c>
    </row>
    <row r="632" spans="1:87">
      <c r="A632" t="s">
        <v>3200</v>
      </c>
      <c r="B632">
        <v>3006</v>
      </c>
      <c r="C632" t="s">
        <v>685</v>
      </c>
      <c r="D632" t="s">
        <v>457</v>
      </c>
      <c r="E632" t="s">
        <v>629</v>
      </c>
      <c r="F632" t="s">
        <v>672</v>
      </c>
      <c r="G632" t="s">
        <v>686</v>
      </c>
      <c r="N632">
        <v>138</v>
      </c>
      <c r="O632">
        <v>186</v>
      </c>
      <c r="P632">
        <v>222</v>
      </c>
      <c r="Q632">
        <v>306</v>
      </c>
      <c r="R632">
        <v>324</v>
      </c>
      <c r="S632">
        <v>318</v>
      </c>
      <c r="T632">
        <v>306</v>
      </c>
      <c r="U632">
        <v>228</v>
      </c>
      <c r="V632">
        <v>228</v>
      </c>
      <c r="W632">
        <v>126</v>
      </c>
      <c r="X632">
        <v>168</v>
      </c>
      <c r="Y632">
        <v>72</v>
      </c>
      <c r="Z632">
        <v>150</v>
      </c>
      <c r="AA632">
        <v>42</v>
      </c>
      <c r="AB632">
        <v>90</v>
      </c>
      <c r="AC632">
        <v>18</v>
      </c>
      <c r="AD632">
        <v>54</v>
      </c>
      <c r="AF632">
        <v>30</v>
      </c>
      <c r="CH632" t="str">
        <f t="shared" si="9"/>
        <v>JV1-0695-3</v>
      </c>
      <c r="CI632" s="1" t="s">
        <v>102</v>
      </c>
    </row>
    <row r="633" spans="1:87">
      <c r="A633" t="s">
        <v>3201</v>
      </c>
      <c r="B633">
        <v>491</v>
      </c>
      <c r="C633" t="s">
        <v>685</v>
      </c>
      <c r="D633" t="s">
        <v>457</v>
      </c>
      <c r="E633" t="s">
        <v>629</v>
      </c>
      <c r="F633" t="s">
        <v>672</v>
      </c>
      <c r="G633" t="s">
        <v>686</v>
      </c>
      <c r="O633">
        <v>42</v>
      </c>
      <c r="Q633">
        <v>114</v>
      </c>
      <c r="R633">
        <v>6</v>
      </c>
      <c r="S633">
        <v>132</v>
      </c>
      <c r="U633">
        <v>119</v>
      </c>
      <c r="W633">
        <v>78</v>
      </c>
      <c r="CH633" t="str">
        <f t="shared" si="9"/>
        <v>JV1-0695-3</v>
      </c>
      <c r="CI633" s="1" t="s">
        <v>102</v>
      </c>
    </row>
    <row r="634" spans="1:87">
      <c r="A634" t="s">
        <v>3203</v>
      </c>
      <c r="B634">
        <v>449</v>
      </c>
      <c r="C634" t="s">
        <v>685</v>
      </c>
      <c r="D634" t="s">
        <v>457</v>
      </c>
      <c r="E634" t="s">
        <v>629</v>
      </c>
      <c r="F634" t="s">
        <v>672</v>
      </c>
      <c r="G634" t="s">
        <v>686</v>
      </c>
      <c r="N634">
        <v>6</v>
      </c>
      <c r="O634">
        <v>18</v>
      </c>
      <c r="P634">
        <v>18</v>
      </c>
      <c r="Q634">
        <v>36</v>
      </c>
      <c r="R634">
        <v>36</v>
      </c>
      <c r="S634">
        <v>54</v>
      </c>
      <c r="T634">
        <v>42</v>
      </c>
      <c r="U634">
        <v>47</v>
      </c>
      <c r="V634">
        <v>30</v>
      </c>
      <c r="W634">
        <v>24</v>
      </c>
      <c r="X634">
        <v>24</v>
      </c>
      <c r="Y634">
        <v>18</v>
      </c>
      <c r="Z634">
        <v>24</v>
      </c>
      <c r="AA634">
        <v>18</v>
      </c>
      <c r="AB634">
        <v>24</v>
      </c>
      <c r="AC634">
        <v>6</v>
      </c>
      <c r="AD634">
        <v>12</v>
      </c>
      <c r="AF634">
        <v>6</v>
      </c>
      <c r="AH634">
        <v>6</v>
      </c>
      <c r="CH634" t="str">
        <f t="shared" si="9"/>
        <v>JV1-0695-3</v>
      </c>
      <c r="CI634" s="1" t="s">
        <v>102</v>
      </c>
    </row>
    <row r="635" spans="1:87">
      <c r="A635" t="s">
        <v>1819</v>
      </c>
      <c r="B635">
        <v>144</v>
      </c>
      <c r="C635" t="s">
        <v>1746</v>
      </c>
      <c r="D635" t="s">
        <v>410</v>
      </c>
      <c r="E635" t="s">
        <v>629</v>
      </c>
      <c r="F635" t="s">
        <v>652</v>
      </c>
      <c r="G635" t="s">
        <v>1742</v>
      </c>
      <c r="W635">
        <v>12</v>
      </c>
      <c r="X635">
        <v>24</v>
      </c>
      <c r="Y635">
        <v>12</v>
      </c>
      <c r="Z635">
        <v>24</v>
      </c>
      <c r="AA635">
        <v>24</v>
      </c>
      <c r="AB635">
        <v>12</v>
      </c>
      <c r="AC635">
        <v>12</v>
      </c>
      <c r="AD635">
        <v>12</v>
      </c>
      <c r="AE635">
        <v>12</v>
      </c>
      <c r="CH635" t="str">
        <f t="shared" si="9"/>
        <v>D-0591</v>
      </c>
      <c r="CI635" s="1" t="s">
        <v>102</v>
      </c>
    </row>
    <row r="636" spans="1:87">
      <c r="A636" t="s">
        <v>1988</v>
      </c>
      <c r="B636">
        <v>348</v>
      </c>
      <c r="C636" t="s">
        <v>1746</v>
      </c>
      <c r="D636" t="s">
        <v>410</v>
      </c>
      <c r="E636" t="s">
        <v>629</v>
      </c>
      <c r="F636" t="s">
        <v>652</v>
      </c>
      <c r="G636" t="s">
        <v>1742</v>
      </c>
      <c r="U636">
        <v>54</v>
      </c>
      <c r="W636">
        <v>85</v>
      </c>
      <c r="X636">
        <v>6</v>
      </c>
      <c r="Y636">
        <v>81</v>
      </c>
      <c r="Z636">
        <v>6</v>
      </c>
      <c r="AA636">
        <v>58</v>
      </c>
      <c r="AC636">
        <v>29</v>
      </c>
      <c r="AE636">
        <v>29</v>
      </c>
      <c r="CH636" t="str">
        <f t="shared" si="9"/>
        <v>D-0591</v>
      </c>
      <c r="CI636" s="1" t="s">
        <v>102</v>
      </c>
    </row>
    <row r="637" spans="1:87">
      <c r="A637" t="s">
        <v>1815</v>
      </c>
      <c r="B637">
        <v>60</v>
      </c>
      <c r="C637" t="s">
        <v>1746</v>
      </c>
      <c r="D637" t="s">
        <v>410</v>
      </c>
      <c r="E637" t="s">
        <v>629</v>
      </c>
      <c r="F637" t="s">
        <v>652</v>
      </c>
      <c r="G637" t="s">
        <v>1742</v>
      </c>
      <c r="V637">
        <v>3</v>
      </c>
      <c r="W637">
        <v>3</v>
      </c>
      <c r="X637">
        <v>9</v>
      </c>
      <c r="Y637">
        <v>12</v>
      </c>
      <c r="Z637">
        <v>12</v>
      </c>
      <c r="AA637">
        <v>9</v>
      </c>
      <c r="AB637">
        <v>3</v>
      </c>
      <c r="AC637">
        <v>3</v>
      </c>
      <c r="AD637">
        <v>3</v>
      </c>
      <c r="AE637">
        <v>3</v>
      </c>
      <c r="CH637" t="str">
        <f t="shared" si="9"/>
        <v>D-0591</v>
      </c>
      <c r="CI637" s="1" t="s">
        <v>102</v>
      </c>
    </row>
    <row r="638" spans="1:87">
      <c r="A638" t="s">
        <v>1813</v>
      </c>
      <c r="B638">
        <v>78</v>
      </c>
      <c r="C638" t="s">
        <v>1746</v>
      </c>
      <c r="D638" t="s">
        <v>410</v>
      </c>
      <c r="E638" t="s">
        <v>629</v>
      </c>
      <c r="F638" t="s">
        <v>652</v>
      </c>
      <c r="G638" t="s">
        <v>1742</v>
      </c>
      <c r="W638">
        <v>5</v>
      </c>
      <c r="X638">
        <v>11</v>
      </c>
      <c r="Y638">
        <v>9</v>
      </c>
      <c r="Z638">
        <v>13</v>
      </c>
      <c r="AA638">
        <v>11</v>
      </c>
      <c r="AB638">
        <v>6</v>
      </c>
      <c r="AC638">
        <v>8</v>
      </c>
      <c r="AD638">
        <v>6</v>
      </c>
      <c r="AE638">
        <v>5</v>
      </c>
      <c r="AG638">
        <v>4</v>
      </c>
      <c r="CH638" t="str">
        <f t="shared" si="9"/>
        <v>D-0591</v>
      </c>
      <c r="CI638" s="1" t="s">
        <v>102</v>
      </c>
    </row>
    <row r="639" spans="1:87">
      <c r="A639" t="s">
        <v>1811</v>
      </c>
      <c r="B639">
        <v>40</v>
      </c>
      <c r="C639" t="s">
        <v>1746</v>
      </c>
      <c r="D639" t="s">
        <v>410</v>
      </c>
      <c r="E639" t="s">
        <v>629</v>
      </c>
      <c r="F639" t="s">
        <v>652</v>
      </c>
      <c r="G639" t="s">
        <v>1742</v>
      </c>
      <c r="W639">
        <v>4</v>
      </c>
      <c r="X639">
        <v>8</v>
      </c>
      <c r="Y639">
        <v>4</v>
      </c>
      <c r="Z639">
        <v>4</v>
      </c>
      <c r="AA639">
        <v>8</v>
      </c>
      <c r="AB639">
        <v>4</v>
      </c>
      <c r="AC639">
        <v>4</v>
      </c>
      <c r="AD639">
        <v>4</v>
      </c>
      <c r="CH639" t="str">
        <f t="shared" si="9"/>
        <v>D-0591</v>
      </c>
      <c r="CI639" s="1" t="s">
        <v>102</v>
      </c>
    </row>
    <row r="640" spans="1:87">
      <c r="A640" t="s">
        <v>1809</v>
      </c>
      <c r="B640">
        <v>24</v>
      </c>
      <c r="C640" t="s">
        <v>1746</v>
      </c>
      <c r="D640" t="s">
        <v>410</v>
      </c>
      <c r="E640" t="s">
        <v>629</v>
      </c>
      <c r="F640" t="s">
        <v>652</v>
      </c>
      <c r="G640" t="s">
        <v>1742</v>
      </c>
      <c r="W640">
        <v>2</v>
      </c>
      <c r="X640">
        <v>4</v>
      </c>
      <c r="Y640">
        <v>4</v>
      </c>
      <c r="Z640">
        <v>4</v>
      </c>
      <c r="AA640">
        <v>4</v>
      </c>
      <c r="AB640">
        <v>2</v>
      </c>
      <c r="AC640">
        <v>2</v>
      </c>
      <c r="AD640">
        <v>2</v>
      </c>
      <c r="CH640" t="str">
        <f t="shared" si="9"/>
        <v>D-0591</v>
      </c>
      <c r="CI640" s="1" t="s">
        <v>102</v>
      </c>
    </row>
    <row r="641" spans="1:87">
      <c r="A641" t="s">
        <v>1807</v>
      </c>
      <c r="B641">
        <v>36</v>
      </c>
      <c r="C641" t="s">
        <v>1746</v>
      </c>
      <c r="D641" t="s">
        <v>410</v>
      </c>
      <c r="E641" t="s">
        <v>629</v>
      </c>
      <c r="F641" t="s">
        <v>652</v>
      </c>
      <c r="G641" t="s">
        <v>1742</v>
      </c>
      <c r="W641">
        <v>4</v>
      </c>
      <c r="X641">
        <v>6</v>
      </c>
      <c r="Y641">
        <v>4</v>
      </c>
      <c r="Z641">
        <v>4</v>
      </c>
      <c r="AA641">
        <v>6</v>
      </c>
      <c r="AB641">
        <v>4</v>
      </c>
      <c r="AC641">
        <v>4</v>
      </c>
      <c r="AD641">
        <v>4</v>
      </c>
      <c r="CH641" t="str">
        <f t="shared" si="9"/>
        <v>D-0591</v>
      </c>
      <c r="CI641" s="1" t="s">
        <v>102</v>
      </c>
    </row>
    <row r="642" spans="1:87">
      <c r="A642" t="s">
        <v>1805</v>
      </c>
      <c r="B642">
        <v>30</v>
      </c>
      <c r="C642" t="s">
        <v>1746</v>
      </c>
      <c r="D642" t="s">
        <v>410</v>
      </c>
      <c r="E642" t="s">
        <v>629</v>
      </c>
      <c r="F642" t="s">
        <v>652</v>
      </c>
      <c r="G642" t="s">
        <v>1742</v>
      </c>
      <c r="W642">
        <v>3</v>
      </c>
      <c r="X642">
        <v>4</v>
      </c>
      <c r="Y642">
        <v>4</v>
      </c>
      <c r="Z642">
        <v>5</v>
      </c>
      <c r="AA642">
        <v>5</v>
      </c>
      <c r="AB642">
        <v>2</v>
      </c>
      <c r="AC642">
        <v>3</v>
      </c>
      <c r="AD642">
        <v>2</v>
      </c>
      <c r="AE642">
        <v>1</v>
      </c>
      <c r="AG642">
        <v>1</v>
      </c>
      <c r="CH642" t="str">
        <f t="shared" ref="CH642:CH705" si="10">TRIM(IFERROR(IFERROR(MID($D642,FIND("(D-",$D642)+1,6),LEFT($D642,FIND("(",$D642)-1)),$D642))</f>
        <v>D-0591</v>
      </c>
      <c r="CI642" s="1" t="s">
        <v>102</v>
      </c>
    </row>
    <row r="643" spans="1:87">
      <c r="A643" t="s">
        <v>1802</v>
      </c>
      <c r="B643">
        <v>397</v>
      </c>
      <c r="C643" t="s">
        <v>1746</v>
      </c>
      <c r="D643" t="s">
        <v>410</v>
      </c>
      <c r="E643" t="s">
        <v>629</v>
      </c>
      <c r="F643" t="s">
        <v>652</v>
      </c>
      <c r="G643" t="s">
        <v>1742</v>
      </c>
      <c r="M643">
        <v>1</v>
      </c>
      <c r="N643">
        <v>7</v>
      </c>
      <c r="O643">
        <v>2</v>
      </c>
      <c r="P643">
        <v>11</v>
      </c>
      <c r="Q643">
        <v>2</v>
      </c>
      <c r="R643">
        <v>18</v>
      </c>
      <c r="S643">
        <v>18</v>
      </c>
      <c r="T643">
        <v>3</v>
      </c>
      <c r="U643">
        <v>17</v>
      </c>
      <c r="V643">
        <v>29</v>
      </c>
      <c r="W643">
        <v>27</v>
      </c>
      <c r="X643">
        <v>51</v>
      </c>
      <c r="Y643">
        <v>51</v>
      </c>
      <c r="Z643">
        <v>58</v>
      </c>
      <c r="AA643">
        <v>44</v>
      </c>
      <c r="AB643">
        <v>18</v>
      </c>
      <c r="AC643">
        <v>23</v>
      </c>
      <c r="AD643">
        <v>15</v>
      </c>
      <c r="AE643">
        <v>2</v>
      </c>
      <c r="CH643" t="str">
        <f t="shared" si="10"/>
        <v>D-0591</v>
      </c>
      <c r="CI643" s="1" t="s">
        <v>102</v>
      </c>
    </row>
    <row r="644" spans="1:87">
      <c r="A644" t="s">
        <v>1795</v>
      </c>
      <c r="B644">
        <v>154</v>
      </c>
      <c r="C644" t="s">
        <v>1746</v>
      </c>
      <c r="D644" t="s">
        <v>410</v>
      </c>
      <c r="E644" t="s">
        <v>629</v>
      </c>
      <c r="F644" t="s">
        <v>652</v>
      </c>
      <c r="G644" t="s">
        <v>1742</v>
      </c>
      <c r="M644">
        <v>1</v>
      </c>
      <c r="N644">
        <v>5</v>
      </c>
      <c r="O644">
        <v>2</v>
      </c>
      <c r="P644">
        <v>9</v>
      </c>
      <c r="Q644">
        <v>4</v>
      </c>
      <c r="R644">
        <v>13</v>
      </c>
      <c r="S644">
        <v>13</v>
      </c>
      <c r="T644">
        <v>4</v>
      </c>
      <c r="U644">
        <v>9</v>
      </c>
      <c r="V644">
        <v>11</v>
      </c>
      <c r="W644">
        <v>5</v>
      </c>
      <c r="X644">
        <v>12</v>
      </c>
      <c r="Y644">
        <v>6</v>
      </c>
      <c r="Z644">
        <v>17</v>
      </c>
      <c r="AA644">
        <v>17</v>
      </c>
      <c r="AB644">
        <v>7</v>
      </c>
      <c r="AC644">
        <v>10</v>
      </c>
      <c r="AD644">
        <v>7</v>
      </c>
      <c r="AE644">
        <v>2</v>
      </c>
      <c r="CH644" t="str">
        <f t="shared" si="10"/>
        <v>D-0591</v>
      </c>
      <c r="CI644" s="1" t="s">
        <v>102</v>
      </c>
    </row>
    <row r="645" spans="1:87">
      <c r="A645" t="s">
        <v>2218</v>
      </c>
      <c r="B645">
        <v>84</v>
      </c>
      <c r="C645" t="s">
        <v>1746</v>
      </c>
      <c r="D645" t="s">
        <v>410</v>
      </c>
      <c r="E645" t="s">
        <v>629</v>
      </c>
      <c r="F645" t="s">
        <v>652</v>
      </c>
      <c r="G645" t="s">
        <v>1742</v>
      </c>
      <c r="V645">
        <v>42</v>
      </c>
      <c r="X645">
        <v>42</v>
      </c>
      <c r="CH645" t="str">
        <f t="shared" si="10"/>
        <v>D-0591</v>
      </c>
      <c r="CI645" s="1" t="s">
        <v>102</v>
      </c>
    </row>
    <row r="646" spans="1:87">
      <c r="A646" t="s">
        <v>2219</v>
      </c>
      <c r="B646">
        <v>64</v>
      </c>
      <c r="C646" t="s">
        <v>1746</v>
      </c>
      <c r="D646" t="s">
        <v>410</v>
      </c>
      <c r="E646" t="s">
        <v>629</v>
      </c>
      <c r="F646" t="s">
        <v>652</v>
      </c>
      <c r="G646" t="s">
        <v>1742</v>
      </c>
      <c r="V646">
        <v>32</v>
      </c>
      <c r="X646">
        <v>32</v>
      </c>
      <c r="CH646" t="str">
        <f t="shared" si="10"/>
        <v>D-0591</v>
      </c>
      <c r="CI646" s="1" t="s">
        <v>102</v>
      </c>
    </row>
    <row r="647" spans="1:87">
      <c r="A647" t="s">
        <v>2220</v>
      </c>
      <c r="B647">
        <v>90</v>
      </c>
      <c r="C647" t="s">
        <v>1746</v>
      </c>
      <c r="D647" t="s">
        <v>410</v>
      </c>
      <c r="E647" t="s">
        <v>629</v>
      </c>
      <c r="F647" t="s">
        <v>652</v>
      </c>
      <c r="G647" t="s">
        <v>1742</v>
      </c>
      <c r="V647">
        <v>45</v>
      </c>
      <c r="X647">
        <v>45</v>
      </c>
      <c r="CH647" t="str">
        <f t="shared" si="10"/>
        <v>D-0591</v>
      </c>
      <c r="CI647" s="1" t="s">
        <v>102</v>
      </c>
    </row>
    <row r="648" spans="1:87">
      <c r="A648" t="s">
        <v>2221</v>
      </c>
      <c r="B648">
        <v>70</v>
      </c>
      <c r="C648" t="s">
        <v>1746</v>
      </c>
      <c r="D648" t="s">
        <v>410</v>
      </c>
      <c r="E648" t="s">
        <v>629</v>
      </c>
      <c r="F648" t="s">
        <v>652</v>
      </c>
      <c r="G648" t="s">
        <v>1742</v>
      </c>
      <c r="V648">
        <v>35</v>
      </c>
      <c r="X648">
        <v>35</v>
      </c>
      <c r="CH648" t="str">
        <f t="shared" si="10"/>
        <v>D-0591</v>
      </c>
      <c r="CI648" s="1" t="s">
        <v>102</v>
      </c>
    </row>
    <row r="649" spans="1:87">
      <c r="A649" t="s">
        <v>2222</v>
      </c>
      <c r="B649">
        <v>108</v>
      </c>
      <c r="C649" t="s">
        <v>1746</v>
      </c>
      <c r="D649" t="s">
        <v>410</v>
      </c>
      <c r="E649" t="s">
        <v>629</v>
      </c>
      <c r="F649" t="s">
        <v>652</v>
      </c>
      <c r="G649" t="s">
        <v>1742</v>
      </c>
      <c r="V649">
        <v>54</v>
      </c>
      <c r="X649">
        <v>54</v>
      </c>
      <c r="CH649" t="str">
        <f t="shared" si="10"/>
        <v>D-0591</v>
      </c>
      <c r="CI649" s="1" t="s">
        <v>102</v>
      </c>
    </row>
    <row r="650" spans="1:87">
      <c r="A650" t="s">
        <v>2223</v>
      </c>
      <c r="B650">
        <v>126</v>
      </c>
      <c r="C650" t="s">
        <v>1746</v>
      </c>
      <c r="D650" t="s">
        <v>410</v>
      </c>
      <c r="E650" t="s">
        <v>629</v>
      </c>
      <c r="F650" t="s">
        <v>652</v>
      </c>
      <c r="G650" t="s">
        <v>1742</v>
      </c>
      <c r="V650">
        <v>63</v>
      </c>
      <c r="X650">
        <v>63</v>
      </c>
      <c r="CH650" t="str">
        <f t="shared" si="10"/>
        <v>D-0591</v>
      </c>
      <c r="CI650" s="1" t="s">
        <v>102</v>
      </c>
    </row>
    <row r="651" spans="1:87">
      <c r="A651" t="s">
        <v>2224</v>
      </c>
      <c r="B651">
        <v>68</v>
      </c>
      <c r="C651" t="s">
        <v>1746</v>
      </c>
      <c r="D651" t="s">
        <v>410</v>
      </c>
      <c r="E651" t="s">
        <v>629</v>
      </c>
      <c r="F651" t="s">
        <v>652</v>
      </c>
      <c r="G651" t="s">
        <v>1742</v>
      </c>
      <c r="V651">
        <v>34</v>
      </c>
      <c r="X651">
        <v>34</v>
      </c>
      <c r="CH651" t="str">
        <f t="shared" si="10"/>
        <v>D-0591</v>
      </c>
      <c r="CI651" s="1" t="s">
        <v>102</v>
      </c>
    </row>
    <row r="652" spans="1:87">
      <c r="A652" t="s">
        <v>2225</v>
      </c>
      <c r="B652">
        <v>54</v>
      </c>
      <c r="C652" t="s">
        <v>1746</v>
      </c>
      <c r="D652" t="s">
        <v>410</v>
      </c>
      <c r="E652" t="s">
        <v>629</v>
      </c>
      <c r="F652" t="s">
        <v>652</v>
      </c>
      <c r="G652" t="s">
        <v>1742</v>
      </c>
      <c r="V652">
        <v>27</v>
      </c>
      <c r="X652">
        <v>27</v>
      </c>
      <c r="CH652" t="str">
        <f t="shared" si="10"/>
        <v>D-0591</v>
      </c>
      <c r="CI652" s="1" t="s">
        <v>102</v>
      </c>
    </row>
    <row r="653" spans="1:87">
      <c r="A653" t="s">
        <v>2226</v>
      </c>
      <c r="B653">
        <v>16</v>
      </c>
      <c r="C653" t="s">
        <v>1746</v>
      </c>
      <c r="D653" t="s">
        <v>410</v>
      </c>
      <c r="E653" t="s">
        <v>629</v>
      </c>
      <c r="F653" t="s">
        <v>652</v>
      </c>
      <c r="G653" t="s">
        <v>1742</v>
      </c>
      <c r="V653">
        <v>8</v>
      </c>
      <c r="X653">
        <v>8</v>
      </c>
      <c r="CH653" t="str">
        <f t="shared" si="10"/>
        <v>D-0591</v>
      </c>
      <c r="CI653" s="1" t="s">
        <v>102</v>
      </c>
    </row>
    <row r="654" spans="1:87">
      <c r="A654" t="s">
        <v>2598</v>
      </c>
      <c r="B654">
        <v>14284</v>
      </c>
      <c r="C654" t="s">
        <v>2592</v>
      </c>
      <c r="D654" t="s">
        <v>313</v>
      </c>
      <c r="E654" t="s">
        <v>629</v>
      </c>
      <c r="F654" t="s">
        <v>636</v>
      </c>
      <c r="G654" t="s">
        <v>2285</v>
      </c>
      <c r="N654">
        <v>2</v>
      </c>
      <c r="O654">
        <v>8</v>
      </c>
      <c r="P654">
        <v>39</v>
      </c>
      <c r="Q654">
        <v>56</v>
      </c>
      <c r="R654">
        <v>108</v>
      </c>
      <c r="S654">
        <v>118</v>
      </c>
      <c r="T654">
        <v>436</v>
      </c>
      <c r="U654">
        <v>1443</v>
      </c>
      <c r="V654">
        <v>1337</v>
      </c>
      <c r="W654">
        <v>2743</v>
      </c>
      <c r="X654">
        <v>2786</v>
      </c>
      <c r="Y654">
        <v>1912</v>
      </c>
      <c r="Z654">
        <v>2198</v>
      </c>
      <c r="AA654">
        <v>1098</v>
      </c>
      <c r="CH654" t="str">
        <f t="shared" si="10"/>
        <v>D-0468</v>
      </c>
      <c r="CI654" s="1" t="s">
        <v>102</v>
      </c>
    </row>
    <row r="655" spans="1:87">
      <c r="A655" t="s">
        <v>3489</v>
      </c>
      <c r="B655">
        <v>4</v>
      </c>
      <c r="C655" t="s">
        <v>3490</v>
      </c>
      <c r="D655" t="s">
        <v>210</v>
      </c>
      <c r="E655" t="s">
        <v>642</v>
      </c>
      <c r="F655" t="s">
        <v>633</v>
      </c>
      <c r="G655" t="s">
        <v>3389</v>
      </c>
      <c r="T655">
        <v>4</v>
      </c>
      <c r="CH655" t="str">
        <f t="shared" si="10"/>
        <v>D-0256</v>
      </c>
      <c r="CI655" s="1" t="s">
        <v>102</v>
      </c>
    </row>
    <row r="656" spans="1:87">
      <c r="A656" t="s">
        <v>1738</v>
      </c>
      <c r="B656">
        <v>38</v>
      </c>
      <c r="C656" t="s">
        <v>1735</v>
      </c>
      <c r="D656" t="s">
        <v>261</v>
      </c>
      <c r="E656" t="s">
        <v>629</v>
      </c>
      <c r="F656" t="s">
        <v>652</v>
      </c>
      <c r="G656" t="s">
        <v>1736</v>
      </c>
      <c r="U656">
        <v>3</v>
      </c>
      <c r="V656">
        <v>4</v>
      </c>
      <c r="W656">
        <v>6</v>
      </c>
      <c r="X656">
        <v>6</v>
      </c>
      <c r="Y656">
        <v>6</v>
      </c>
      <c r="Z656">
        <v>6</v>
      </c>
      <c r="AA656">
        <v>4</v>
      </c>
      <c r="AB656">
        <v>3</v>
      </c>
      <c r="CH656" t="str">
        <f t="shared" si="10"/>
        <v>D-0310</v>
      </c>
      <c r="CI656" s="1" t="s">
        <v>102</v>
      </c>
    </row>
    <row r="657" spans="1:87">
      <c r="A657" t="s">
        <v>1794</v>
      </c>
      <c r="B657">
        <v>144</v>
      </c>
      <c r="C657" t="s">
        <v>1746</v>
      </c>
      <c r="D657" t="s">
        <v>410</v>
      </c>
      <c r="E657" t="s">
        <v>629</v>
      </c>
      <c r="F657" t="s">
        <v>652</v>
      </c>
      <c r="G657" t="s">
        <v>1742</v>
      </c>
      <c r="U657">
        <v>12</v>
      </c>
      <c r="W657">
        <v>24</v>
      </c>
      <c r="X657">
        <v>24</v>
      </c>
      <c r="Y657">
        <v>12</v>
      </c>
      <c r="Z657">
        <v>24</v>
      </c>
      <c r="AA657">
        <v>24</v>
      </c>
      <c r="AC657">
        <v>12</v>
      </c>
      <c r="AD657">
        <v>12</v>
      </c>
      <c r="CH657" t="str">
        <f t="shared" si="10"/>
        <v>D-0591</v>
      </c>
      <c r="CI657" s="1" t="s">
        <v>102</v>
      </c>
    </row>
    <row r="658" spans="1:87">
      <c r="A658" t="s">
        <v>1808</v>
      </c>
      <c r="B658">
        <v>54</v>
      </c>
      <c r="C658" t="s">
        <v>1746</v>
      </c>
      <c r="D658" t="s">
        <v>410</v>
      </c>
      <c r="E658" t="s">
        <v>629</v>
      </c>
      <c r="F658" t="s">
        <v>652</v>
      </c>
      <c r="G658" t="s">
        <v>1742</v>
      </c>
      <c r="W658">
        <v>6</v>
      </c>
      <c r="X658">
        <v>8</v>
      </c>
      <c r="Y658">
        <v>6</v>
      </c>
      <c r="Z658">
        <v>7</v>
      </c>
      <c r="AA658">
        <v>9</v>
      </c>
      <c r="AB658">
        <v>5</v>
      </c>
      <c r="AC658">
        <v>6</v>
      </c>
      <c r="AD658">
        <v>5</v>
      </c>
      <c r="AE658">
        <v>1</v>
      </c>
      <c r="AG658">
        <v>1</v>
      </c>
      <c r="CH658" t="str">
        <f t="shared" si="10"/>
        <v>D-0591</v>
      </c>
      <c r="CI658" s="1" t="s">
        <v>102</v>
      </c>
    </row>
    <row r="659" spans="1:87">
      <c r="A659" t="s">
        <v>1949</v>
      </c>
      <c r="B659">
        <v>408</v>
      </c>
      <c r="C659" t="s">
        <v>1746</v>
      </c>
      <c r="D659" t="s">
        <v>410</v>
      </c>
      <c r="E659" t="s">
        <v>629</v>
      </c>
      <c r="F659" t="s">
        <v>652</v>
      </c>
      <c r="G659" t="s">
        <v>1742</v>
      </c>
      <c r="N659">
        <v>24</v>
      </c>
      <c r="P659">
        <v>36</v>
      </c>
      <c r="R659">
        <v>60</v>
      </c>
      <c r="S659">
        <v>60</v>
      </c>
      <c r="U659">
        <v>48</v>
      </c>
      <c r="V659">
        <v>48</v>
      </c>
      <c r="X659">
        <v>48</v>
      </c>
      <c r="Z659">
        <v>36</v>
      </c>
      <c r="AA659">
        <v>24</v>
      </c>
      <c r="AC659">
        <v>24</v>
      </c>
      <c r="CH659" t="str">
        <f t="shared" si="10"/>
        <v>D-0591</v>
      </c>
      <c r="CI659" s="1" t="s">
        <v>102</v>
      </c>
    </row>
    <row r="660" spans="1:87">
      <c r="A660" t="s">
        <v>1930</v>
      </c>
      <c r="B660">
        <v>168</v>
      </c>
      <c r="C660" t="s">
        <v>1746</v>
      </c>
      <c r="D660" t="s">
        <v>410</v>
      </c>
      <c r="E660" t="s">
        <v>629</v>
      </c>
      <c r="F660" t="s">
        <v>652</v>
      </c>
      <c r="G660" t="s">
        <v>1742</v>
      </c>
      <c r="W660">
        <v>24</v>
      </c>
      <c r="X660">
        <v>24</v>
      </c>
      <c r="Y660">
        <v>24</v>
      </c>
      <c r="Z660">
        <v>24</v>
      </c>
      <c r="AA660">
        <v>24</v>
      </c>
      <c r="AB660">
        <v>12</v>
      </c>
      <c r="AC660">
        <v>24</v>
      </c>
      <c r="AD660">
        <v>12</v>
      </c>
      <c r="CH660" t="str">
        <f t="shared" si="10"/>
        <v>D-0591</v>
      </c>
      <c r="CI660" s="1" t="s">
        <v>102</v>
      </c>
    </row>
    <row r="661" spans="1:87">
      <c r="A661" t="s">
        <v>1934</v>
      </c>
      <c r="B661">
        <v>312</v>
      </c>
      <c r="C661" t="s">
        <v>1746</v>
      </c>
      <c r="D661" t="s">
        <v>410</v>
      </c>
      <c r="E661" t="s">
        <v>629</v>
      </c>
      <c r="F661" t="s">
        <v>652</v>
      </c>
      <c r="G661" t="s">
        <v>1742</v>
      </c>
      <c r="M661">
        <v>24</v>
      </c>
      <c r="O661">
        <v>24</v>
      </c>
      <c r="P661">
        <v>24</v>
      </c>
      <c r="Q661">
        <v>48</v>
      </c>
      <c r="R661">
        <v>24</v>
      </c>
      <c r="S661">
        <v>60</v>
      </c>
      <c r="T661">
        <v>24</v>
      </c>
      <c r="U661">
        <v>36</v>
      </c>
      <c r="V661">
        <v>24</v>
      </c>
      <c r="W661">
        <v>24</v>
      </c>
      <c r="CH661" t="str">
        <f t="shared" si="10"/>
        <v>D-0591</v>
      </c>
      <c r="CI661" s="1" t="s">
        <v>102</v>
      </c>
    </row>
    <row r="662" spans="1:87">
      <c r="A662" t="s">
        <v>1887</v>
      </c>
      <c r="B662">
        <v>120</v>
      </c>
      <c r="C662" t="s">
        <v>1746</v>
      </c>
      <c r="D662" t="s">
        <v>410</v>
      </c>
      <c r="E662" t="s">
        <v>629</v>
      </c>
      <c r="F662" t="s">
        <v>652</v>
      </c>
      <c r="G662" t="s">
        <v>1742</v>
      </c>
      <c r="O662">
        <v>10</v>
      </c>
      <c r="Q662">
        <v>10</v>
      </c>
      <c r="S662">
        <v>20</v>
      </c>
      <c r="U662">
        <v>20</v>
      </c>
      <c r="W662">
        <v>20</v>
      </c>
      <c r="Y662">
        <v>20</v>
      </c>
      <c r="AA662">
        <v>10</v>
      </c>
      <c r="AC662">
        <v>10</v>
      </c>
      <c r="CH662" t="str">
        <f t="shared" si="10"/>
        <v>D-0591</v>
      </c>
      <c r="CI662" s="1" t="s">
        <v>102</v>
      </c>
    </row>
    <row r="663" spans="1:87">
      <c r="A663" t="s">
        <v>1775</v>
      </c>
      <c r="B663">
        <v>420</v>
      </c>
      <c r="C663" t="s">
        <v>1746</v>
      </c>
      <c r="D663" t="s">
        <v>410</v>
      </c>
      <c r="E663" t="s">
        <v>629</v>
      </c>
      <c r="F663" t="s">
        <v>652</v>
      </c>
      <c r="G663" t="s">
        <v>1742</v>
      </c>
      <c r="U663">
        <v>108</v>
      </c>
      <c r="V663">
        <v>108</v>
      </c>
      <c r="X663">
        <v>96</v>
      </c>
      <c r="Z663">
        <v>60</v>
      </c>
      <c r="AA663">
        <v>24</v>
      </c>
      <c r="AC663">
        <v>24</v>
      </c>
      <c r="CH663" t="str">
        <f t="shared" si="10"/>
        <v>D-0591</v>
      </c>
      <c r="CI663" s="1" t="s">
        <v>102</v>
      </c>
    </row>
    <row r="664" spans="1:87">
      <c r="A664" t="s">
        <v>1776</v>
      </c>
      <c r="B664">
        <v>288</v>
      </c>
      <c r="C664" t="s">
        <v>1746</v>
      </c>
      <c r="D664" t="s">
        <v>410</v>
      </c>
      <c r="E664" t="s">
        <v>629</v>
      </c>
      <c r="F664" t="s">
        <v>652</v>
      </c>
      <c r="G664" t="s">
        <v>1742</v>
      </c>
      <c r="U664">
        <v>72</v>
      </c>
      <c r="V664">
        <v>72</v>
      </c>
      <c r="X664">
        <v>60</v>
      </c>
      <c r="Z664">
        <v>36</v>
      </c>
      <c r="AA664">
        <v>24</v>
      </c>
      <c r="AC664">
        <v>24</v>
      </c>
      <c r="CH664" t="str">
        <f t="shared" si="10"/>
        <v>D-0591</v>
      </c>
      <c r="CI664" s="1" t="s">
        <v>102</v>
      </c>
    </row>
    <row r="665" spans="1:87">
      <c r="A665" t="s">
        <v>1777</v>
      </c>
      <c r="B665">
        <v>300</v>
      </c>
      <c r="C665" t="s">
        <v>1746</v>
      </c>
      <c r="D665" t="s">
        <v>410</v>
      </c>
      <c r="E665" t="s">
        <v>629</v>
      </c>
      <c r="F665" t="s">
        <v>652</v>
      </c>
      <c r="G665" t="s">
        <v>1742</v>
      </c>
      <c r="U665">
        <v>72</v>
      </c>
      <c r="V665">
        <v>72</v>
      </c>
      <c r="X665">
        <v>72</v>
      </c>
      <c r="Z665">
        <v>36</v>
      </c>
      <c r="AA665">
        <v>24</v>
      </c>
      <c r="AC665">
        <v>24</v>
      </c>
      <c r="CH665" t="str">
        <f t="shared" si="10"/>
        <v>D-0591</v>
      </c>
      <c r="CI665" s="1" t="s">
        <v>102</v>
      </c>
    </row>
    <row r="666" spans="1:87">
      <c r="A666" t="s">
        <v>1780</v>
      </c>
      <c r="B666">
        <v>288</v>
      </c>
      <c r="C666" t="s">
        <v>1746</v>
      </c>
      <c r="D666" t="s">
        <v>410</v>
      </c>
      <c r="E666" t="s">
        <v>629</v>
      </c>
      <c r="F666" t="s">
        <v>652</v>
      </c>
      <c r="G666" t="s">
        <v>1742</v>
      </c>
      <c r="U666">
        <v>72</v>
      </c>
      <c r="V666">
        <v>72</v>
      </c>
      <c r="X666">
        <v>60</v>
      </c>
      <c r="Z666">
        <v>36</v>
      </c>
      <c r="AA666">
        <v>24</v>
      </c>
      <c r="AC666">
        <v>24</v>
      </c>
      <c r="CH666" t="str">
        <f t="shared" si="10"/>
        <v>D-0591</v>
      </c>
      <c r="CI666" s="1" t="s">
        <v>102</v>
      </c>
    </row>
    <row r="667" spans="1:87">
      <c r="A667" t="s">
        <v>1092</v>
      </c>
      <c r="B667">
        <v>2007</v>
      </c>
      <c r="C667" t="s">
        <v>978</v>
      </c>
      <c r="D667" t="s">
        <v>238</v>
      </c>
      <c r="E667" t="s">
        <v>642</v>
      </c>
      <c r="F667" t="s">
        <v>632</v>
      </c>
      <c r="G667" t="s">
        <v>670</v>
      </c>
      <c r="Q667">
        <v>240</v>
      </c>
      <c r="R667">
        <v>360</v>
      </c>
      <c r="S667">
        <v>540</v>
      </c>
      <c r="T667">
        <v>462</v>
      </c>
      <c r="U667">
        <v>240</v>
      </c>
      <c r="V667">
        <v>102</v>
      </c>
      <c r="W667">
        <v>63</v>
      </c>
      <c r="CH667" t="str">
        <f t="shared" si="10"/>
        <v>D-0267</v>
      </c>
      <c r="CI667" s="1" t="s">
        <v>102</v>
      </c>
    </row>
    <row r="668" spans="1:87">
      <c r="A668" t="s">
        <v>1094</v>
      </c>
      <c r="B668">
        <v>345</v>
      </c>
      <c r="C668" t="s">
        <v>978</v>
      </c>
      <c r="D668" t="s">
        <v>238</v>
      </c>
      <c r="E668" t="s">
        <v>642</v>
      </c>
      <c r="F668" t="s">
        <v>632</v>
      </c>
      <c r="G668" t="s">
        <v>670</v>
      </c>
      <c r="Q668">
        <v>6</v>
      </c>
      <c r="R668">
        <v>18</v>
      </c>
      <c r="S668">
        <v>36</v>
      </c>
      <c r="T668">
        <v>60</v>
      </c>
      <c r="U668">
        <v>60</v>
      </c>
      <c r="V668">
        <v>66</v>
      </c>
      <c r="W668">
        <v>48</v>
      </c>
      <c r="X668">
        <v>33</v>
      </c>
      <c r="Y668">
        <v>18</v>
      </c>
      <c r="CH668" t="str">
        <f t="shared" si="10"/>
        <v>D-0267</v>
      </c>
      <c r="CI668" s="1" t="s">
        <v>102</v>
      </c>
    </row>
    <row r="669" spans="1:87">
      <c r="A669" t="s">
        <v>1095</v>
      </c>
      <c r="B669">
        <v>198</v>
      </c>
      <c r="C669" t="s">
        <v>978</v>
      </c>
      <c r="D669" t="s">
        <v>238</v>
      </c>
      <c r="E669" t="s">
        <v>642</v>
      </c>
      <c r="F669" t="s">
        <v>632</v>
      </c>
      <c r="G669" t="s">
        <v>670</v>
      </c>
      <c r="Q669">
        <v>6</v>
      </c>
      <c r="R669">
        <v>18</v>
      </c>
      <c r="S669">
        <v>24</v>
      </c>
      <c r="T669">
        <v>36</v>
      </c>
      <c r="U669">
        <v>30</v>
      </c>
      <c r="V669">
        <v>30</v>
      </c>
      <c r="W669">
        <v>24</v>
      </c>
      <c r="X669">
        <v>18</v>
      </c>
      <c r="Y669">
        <v>12</v>
      </c>
      <c r="CH669" t="str">
        <f t="shared" si="10"/>
        <v>D-0267</v>
      </c>
      <c r="CI669" s="1" t="s">
        <v>102</v>
      </c>
    </row>
    <row r="670" spans="1:87">
      <c r="A670" t="s">
        <v>1096</v>
      </c>
      <c r="B670">
        <v>309</v>
      </c>
      <c r="C670" t="s">
        <v>978</v>
      </c>
      <c r="D670" t="s">
        <v>238</v>
      </c>
      <c r="E670" t="s">
        <v>642</v>
      </c>
      <c r="F670" t="s">
        <v>632</v>
      </c>
      <c r="G670" t="s">
        <v>670</v>
      </c>
      <c r="R670">
        <v>12</v>
      </c>
      <c r="S670">
        <v>30</v>
      </c>
      <c r="T670">
        <v>48</v>
      </c>
      <c r="U670">
        <v>54</v>
      </c>
      <c r="V670">
        <v>66</v>
      </c>
      <c r="W670">
        <v>54</v>
      </c>
      <c r="X670">
        <v>27</v>
      </c>
      <c r="Y670">
        <v>18</v>
      </c>
      <c r="CH670" t="str">
        <f t="shared" si="10"/>
        <v>D-0267</v>
      </c>
      <c r="CI670" s="1" t="s">
        <v>102</v>
      </c>
    </row>
    <row r="671" spans="1:87">
      <c r="A671" t="s">
        <v>1097</v>
      </c>
      <c r="B671">
        <v>1053</v>
      </c>
      <c r="C671" t="s">
        <v>978</v>
      </c>
      <c r="D671" t="s">
        <v>238</v>
      </c>
      <c r="E671" t="s">
        <v>642</v>
      </c>
      <c r="F671" t="s">
        <v>632</v>
      </c>
      <c r="G671" t="s">
        <v>670</v>
      </c>
      <c r="P671">
        <v>6</v>
      </c>
      <c r="R671">
        <v>48</v>
      </c>
      <c r="S671">
        <v>42</v>
      </c>
      <c r="T671">
        <v>96</v>
      </c>
      <c r="U671">
        <v>102</v>
      </c>
      <c r="V671">
        <v>180</v>
      </c>
      <c r="W671">
        <v>156</v>
      </c>
      <c r="X671">
        <v>162</v>
      </c>
      <c r="Y671">
        <v>102</v>
      </c>
      <c r="Z671">
        <v>75</v>
      </c>
      <c r="AA671">
        <v>12</v>
      </c>
      <c r="AB671">
        <v>60</v>
      </c>
      <c r="AC671">
        <v>12</v>
      </c>
      <c r="CH671" t="str">
        <f t="shared" si="10"/>
        <v>D-0267</v>
      </c>
      <c r="CI671" s="1" t="s">
        <v>102</v>
      </c>
    </row>
    <row r="672" spans="1:87">
      <c r="A672" t="s">
        <v>1098</v>
      </c>
      <c r="B672">
        <v>315</v>
      </c>
      <c r="C672" t="s">
        <v>978</v>
      </c>
      <c r="D672" t="s">
        <v>238</v>
      </c>
      <c r="E672" t="s">
        <v>642</v>
      </c>
      <c r="F672" t="s">
        <v>632</v>
      </c>
      <c r="G672" t="s">
        <v>670</v>
      </c>
      <c r="R672">
        <v>12</v>
      </c>
      <c r="S672">
        <v>30</v>
      </c>
      <c r="T672">
        <v>48</v>
      </c>
      <c r="U672">
        <v>60</v>
      </c>
      <c r="V672">
        <v>60</v>
      </c>
      <c r="W672">
        <v>54</v>
      </c>
      <c r="X672">
        <v>33</v>
      </c>
      <c r="Y672">
        <v>18</v>
      </c>
      <c r="CH672" t="str">
        <f t="shared" si="10"/>
        <v>D-0267</v>
      </c>
      <c r="CI672" s="1" t="s">
        <v>102</v>
      </c>
    </row>
    <row r="673" spans="1:87">
      <c r="A673" t="s">
        <v>1099</v>
      </c>
      <c r="B673">
        <v>120</v>
      </c>
      <c r="C673" t="s">
        <v>978</v>
      </c>
      <c r="D673" t="s">
        <v>238</v>
      </c>
      <c r="E673" t="s">
        <v>642</v>
      </c>
      <c r="F673" t="s">
        <v>632</v>
      </c>
      <c r="G673" t="s">
        <v>670</v>
      </c>
      <c r="Q673">
        <v>6</v>
      </c>
      <c r="R673">
        <v>12</v>
      </c>
      <c r="S673">
        <v>18</v>
      </c>
      <c r="T673">
        <v>24</v>
      </c>
      <c r="U673">
        <v>18</v>
      </c>
      <c r="V673">
        <v>18</v>
      </c>
      <c r="W673">
        <v>12</v>
      </c>
      <c r="X673">
        <v>12</v>
      </c>
      <c r="CH673" t="str">
        <f t="shared" si="10"/>
        <v>D-0267</v>
      </c>
      <c r="CI673" s="1" t="s">
        <v>102</v>
      </c>
    </row>
    <row r="674" spans="1:87">
      <c r="A674" t="s">
        <v>1100</v>
      </c>
      <c r="B674">
        <v>126</v>
      </c>
      <c r="C674" t="s">
        <v>978</v>
      </c>
      <c r="D674" t="s">
        <v>238</v>
      </c>
      <c r="E674" t="s">
        <v>642</v>
      </c>
      <c r="F674" t="s">
        <v>632</v>
      </c>
      <c r="G674" t="s">
        <v>670</v>
      </c>
      <c r="Q674">
        <v>6</v>
      </c>
      <c r="R674">
        <v>12</v>
      </c>
      <c r="S674">
        <v>18</v>
      </c>
      <c r="T674">
        <v>24</v>
      </c>
      <c r="U674">
        <v>24</v>
      </c>
      <c r="V674">
        <v>18</v>
      </c>
      <c r="W674">
        <v>12</v>
      </c>
      <c r="X674">
        <v>12</v>
      </c>
      <c r="CH674" t="str">
        <f t="shared" si="10"/>
        <v>D-0267</v>
      </c>
      <c r="CI674" s="1" t="s">
        <v>102</v>
      </c>
    </row>
    <row r="675" spans="1:87">
      <c r="A675" t="s">
        <v>1101</v>
      </c>
      <c r="B675">
        <v>174</v>
      </c>
      <c r="C675" t="s">
        <v>978</v>
      </c>
      <c r="D675" t="s">
        <v>238</v>
      </c>
      <c r="E675" t="s">
        <v>642</v>
      </c>
      <c r="F675" t="s">
        <v>632</v>
      </c>
      <c r="G675" t="s">
        <v>670</v>
      </c>
      <c r="R675">
        <v>6</v>
      </c>
      <c r="S675">
        <v>6</v>
      </c>
      <c r="T675">
        <v>18</v>
      </c>
      <c r="U675">
        <v>18</v>
      </c>
      <c r="V675">
        <v>30</v>
      </c>
      <c r="W675">
        <v>24</v>
      </c>
      <c r="X675">
        <v>30</v>
      </c>
      <c r="Y675">
        <v>18</v>
      </c>
      <c r="Z675">
        <v>12</v>
      </c>
      <c r="AB675">
        <v>12</v>
      </c>
      <c r="CH675" t="str">
        <f t="shared" si="10"/>
        <v>D-0267</v>
      </c>
      <c r="CI675" s="1" t="s">
        <v>102</v>
      </c>
    </row>
    <row r="676" spans="1:87">
      <c r="A676" t="s">
        <v>1102</v>
      </c>
      <c r="B676">
        <v>168</v>
      </c>
      <c r="C676" t="s">
        <v>978</v>
      </c>
      <c r="D676" t="s">
        <v>238</v>
      </c>
      <c r="E676" t="s">
        <v>642</v>
      </c>
      <c r="F676" t="s">
        <v>632</v>
      </c>
      <c r="G676" t="s">
        <v>670</v>
      </c>
      <c r="R676">
        <v>6</v>
      </c>
      <c r="S676">
        <v>6</v>
      </c>
      <c r="T676">
        <v>18</v>
      </c>
      <c r="U676">
        <v>18</v>
      </c>
      <c r="V676">
        <v>30</v>
      </c>
      <c r="W676">
        <v>24</v>
      </c>
      <c r="X676">
        <v>24</v>
      </c>
      <c r="Y676">
        <v>18</v>
      </c>
      <c r="Z676">
        <v>12</v>
      </c>
      <c r="AB676">
        <v>12</v>
      </c>
      <c r="CH676" t="str">
        <f t="shared" si="10"/>
        <v>D-0267</v>
      </c>
      <c r="CI676" s="1" t="s">
        <v>102</v>
      </c>
    </row>
    <row r="677" spans="1:87">
      <c r="A677" t="s">
        <v>1103</v>
      </c>
      <c r="B677">
        <v>1203</v>
      </c>
      <c r="C677" t="s">
        <v>978</v>
      </c>
      <c r="D677" t="s">
        <v>238</v>
      </c>
      <c r="E677" t="s">
        <v>642</v>
      </c>
      <c r="F677" t="s">
        <v>632</v>
      </c>
      <c r="G677" t="s">
        <v>670</v>
      </c>
      <c r="R677">
        <v>120</v>
      </c>
      <c r="S677">
        <v>168</v>
      </c>
      <c r="T677">
        <v>312</v>
      </c>
      <c r="U677">
        <v>270</v>
      </c>
      <c r="V677">
        <v>228</v>
      </c>
      <c r="W677">
        <v>105</v>
      </c>
      <c r="CH677" t="str">
        <f t="shared" si="10"/>
        <v>D-0267</v>
      </c>
      <c r="CI677" s="1" t="s">
        <v>102</v>
      </c>
    </row>
    <row r="678" spans="1:87">
      <c r="A678" t="s">
        <v>1104</v>
      </c>
      <c r="B678">
        <v>447</v>
      </c>
      <c r="C678" t="s">
        <v>978</v>
      </c>
      <c r="D678" t="s">
        <v>238</v>
      </c>
      <c r="E678" t="s">
        <v>642</v>
      </c>
      <c r="F678" t="s">
        <v>632</v>
      </c>
      <c r="G678" t="s">
        <v>670</v>
      </c>
      <c r="P678">
        <v>36</v>
      </c>
      <c r="Q678">
        <v>66</v>
      </c>
      <c r="R678">
        <v>78</v>
      </c>
      <c r="S678">
        <v>78</v>
      </c>
      <c r="T678">
        <v>72</v>
      </c>
      <c r="U678">
        <v>54</v>
      </c>
      <c r="V678">
        <v>36</v>
      </c>
      <c r="W678">
        <v>12</v>
      </c>
      <c r="X678">
        <v>15</v>
      </c>
      <c r="CH678" t="str">
        <f t="shared" si="10"/>
        <v>D-0267</v>
      </c>
      <c r="CI678" s="1" t="s">
        <v>102</v>
      </c>
    </row>
    <row r="679" spans="1:87">
      <c r="A679" t="s">
        <v>1105</v>
      </c>
      <c r="B679">
        <v>441</v>
      </c>
      <c r="C679" t="s">
        <v>978</v>
      </c>
      <c r="D679" t="s">
        <v>238</v>
      </c>
      <c r="E679" t="s">
        <v>642</v>
      </c>
      <c r="F679" t="s">
        <v>632</v>
      </c>
      <c r="G679" t="s">
        <v>670</v>
      </c>
      <c r="P679">
        <v>12</v>
      </c>
      <c r="Q679">
        <v>18</v>
      </c>
      <c r="R679">
        <v>54</v>
      </c>
      <c r="S679">
        <v>42</v>
      </c>
      <c r="T679">
        <v>96</v>
      </c>
      <c r="U679">
        <v>60</v>
      </c>
      <c r="V679">
        <v>72</v>
      </c>
      <c r="W679">
        <v>36</v>
      </c>
      <c r="X679">
        <v>36</v>
      </c>
      <c r="Y679">
        <v>6</v>
      </c>
      <c r="Z679">
        <v>9</v>
      </c>
      <c r="CH679" t="str">
        <f t="shared" si="10"/>
        <v>D-0267</v>
      </c>
      <c r="CI679" s="1" t="s">
        <v>102</v>
      </c>
    </row>
    <row r="680" spans="1:87">
      <c r="A680" t="s">
        <v>1106</v>
      </c>
      <c r="B680">
        <v>1399</v>
      </c>
      <c r="C680" t="s">
        <v>978</v>
      </c>
      <c r="D680" t="s">
        <v>238</v>
      </c>
      <c r="E680" t="s">
        <v>642</v>
      </c>
      <c r="F680" t="s">
        <v>632</v>
      </c>
      <c r="G680" t="s">
        <v>670</v>
      </c>
      <c r="P680">
        <v>56</v>
      </c>
      <c r="Q680">
        <v>119</v>
      </c>
      <c r="R680">
        <v>151</v>
      </c>
      <c r="S680">
        <v>247</v>
      </c>
      <c r="T680">
        <v>209</v>
      </c>
      <c r="U680">
        <v>167</v>
      </c>
      <c r="V680">
        <v>141</v>
      </c>
      <c r="W680">
        <v>130</v>
      </c>
      <c r="X680">
        <v>64</v>
      </c>
      <c r="Y680">
        <v>59</v>
      </c>
      <c r="Z680">
        <v>56</v>
      </c>
      <c r="CH680" t="str">
        <f t="shared" si="10"/>
        <v>D-0267</v>
      </c>
      <c r="CI680" s="1" t="s">
        <v>102</v>
      </c>
    </row>
    <row r="681" spans="1:87">
      <c r="A681" t="s">
        <v>1108</v>
      </c>
      <c r="B681">
        <v>4003</v>
      </c>
      <c r="C681" t="s">
        <v>978</v>
      </c>
      <c r="D681" t="s">
        <v>238</v>
      </c>
      <c r="E681" t="s">
        <v>642</v>
      </c>
      <c r="F681" t="s">
        <v>632</v>
      </c>
      <c r="G681" t="s">
        <v>670</v>
      </c>
      <c r="P681">
        <v>53</v>
      </c>
      <c r="Q681">
        <v>67</v>
      </c>
      <c r="R681">
        <v>214</v>
      </c>
      <c r="S681">
        <v>284</v>
      </c>
      <c r="T681">
        <v>454</v>
      </c>
      <c r="U681">
        <v>508</v>
      </c>
      <c r="V681">
        <v>605</v>
      </c>
      <c r="W681">
        <v>525</v>
      </c>
      <c r="X681">
        <v>457</v>
      </c>
      <c r="Y681">
        <v>294</v>
      </c>
      <c r="Z681">
        <v>268</v>
      </c>
      <c r="AA681">
        <v>80</v>
      </c>
      <c r="AB681">
        <v>109</v>
      </c>
      <c r="AC681">
        <v>42</v>
      </c>
      <c r="AD681">
        <v>43</v>
      </c>
      <c r="CH681" t="str">
        <f t="shared" si="10"/>
        <v>D-0267</v>
      </c>
      <c r="CI681" s="1" t="s">
        <v>102</v>
      </c>
    </row>
    <row r="682" spans="1:87">
      <c r="A682" t="s">
        <v>1090</v>
      </c>
      <c r="B682">
        <v>96</v>
      </c>
      <c r="C682" t="s">
        <v>978</v>
      </c>
      <c r="D682" t="s">
        <v>238</v>
      </c>
      <c r="E682" t="s">
        <v>642</v>
      </c>
      <c r="F682" t="s">
        <v>632</v>
      </c>
      <c r="G682" t="s">
        <v>670</v>
      </c>
      <c r="R682">
        <v>12</v>
      </c>
      <c r="S682">
        <v>18</v>
      </c>
      <c r="T682">
        <v>12</v>
      </c>
      <c r="U682">
        <v>18</v>
      </c>
      <c r="V682">
        <v>12</v>
      </c>
      <c r="W682">
        <v>12</v>
      </c>
      <c r="X682">
        <v>12</v>
      </c>
      <c r="CH682" t="str">
        <f t="shared" si="10"/>
        <v>D-0267</v>
      </c>
      <c r="CI682" s="1" t="s">
        <v>102</v>
      </c>
    </row>
    <row r="683" spans="1:87">
      <c r="A683" t="s">
        <v>1839</v>
      </c>
      <c r="B683">
        <v>72</v>
      </c>
      <c r="C683" t="s">
        <v>1746</v>
      </c>
      <c r="D683" t="s">
        <v>410</v>
      </c>
      <c r="E683" t="s">
        <v>629</v>
      </c>
      <c r="F683" t="s">
        <v>652</v>
      </c>
      <c r="G683" t="s">
        <v>1742</v>
      </c>
      <c r="Q683">
        <v>1</v>
      </c>
      <c r="S683">
        <v>2</v>
      </c>
      <c r="U683">
        <v>2</v>
      </c>
      <c r="W683">
        <v>7</v>
      </c>
      <c r="Y683">
        <v>17</v>
      </c>
      <c r="AA683">
        <v>17</v>
      </c>
      <c r="AC683">
        <v>11</v>
      </c>
      <c r="AE683">
        <v>10</v>
      </c>
      <c r="AG683">
        <v>5</v>
      </c>
      <c r="CH683" t="str">
        <f t="shared" si="10"/>
        <v>D-0591</v>
      </c>
      <c r="CI683" s="1" t="s">
        <v>102</v>
      </c>
    </row>
    <row r="684" spans="1:87">
      <c r="A684" t="s">
        <v>1858</v>
      </c>
      <c r="B684">
        <v>228</v>
      </c>
      <c r="C684" t="s">
        <v>1746</v>
      </c>
      <c r="D684" t="s">
        <v>410</v>
      </c>
      <c r="E684" t="s">
        <v>629</v>
      </c>
      <c r="F684" t="s">
        <v>652</v>
      </c>
      <c r="G684" t="s">
        <v>1742</v>
      </c>
      <c r="U684">
        <v>19</v>
      </c>
      <c r="V684">
        <v>38</v>
      </c>
      <c r="W684">
        <v>38</v>
      </c>
      <c r="X684">
        <v>38</v>
      </c>
      <c r="Y684">
        <v>38</v>
      </c>
      <c r="Z684">
        <v>19</v>
      </c>
      <c r="AA684">
        <v>19</v>
      </c>
      <c r="AB684">
        <v>19</v>
      </c>
      <c r="CH684" t="str">
        <f t="shared" si="10"/>
        <v>D-0591</v>
      </c>
      <c r="CI684" s="1" t="s">
        <v>102</v>
      </c>
    </row>
    <row r="685" spans="1:87">
      <c r="A685" t="s">
        <v>1860</v>
      </c>
      <c r="B685">
        <v>228</v>
      </c>
      <c r="C685" t="s">
        <v>1746</v>
      </c>
      <c r="D685" t="s">
        <v>410</v>
      </c>
      <c r="E685" t="s">
        <v>629</v>
      </c>
      <c r="F685" t="s">
        <v>652</v>
      </c>
      <c r="G685" t="s">
        <v>1742</v>
      </c>
      <c r="U685">
        <v>19</v>
      </c>
      <c r="V685">
        <v>38</v>
      </c>
      <c r="W685">
        <v>38</v>
      </c>
      <c r="X685">
        <v>38</v>
      </c>
      <c r="Y685">
        <v>38</v>
      </c>
      <c r="Z685">
        <v>19</v>
      </c>
      <c r="AA685">
        <v>19</v>
      </c>
      <c r="AB685">
        <v>19</v>
      </c>
      <c r="CH685" t="str">
        <f t="shared" si="10"/>
        <v>D-0591</v>
      </c>
      <c r="CI685" s="1" t="s">
        <v>102</v>
      </c>
    </row>
    <row r="686" spans="1:87">
      <c r="A686" t="s">
        <v>1804</v>
      </c>
      <c r="B686">
        <v>279</v>
      </c>
      <c r="C686" t="s">
        <v>1746</v>
      </c>
      <c r="D686" t="s">
        <v>410</v>
      </c>
      <c r="E686" t="s">
        <v>629</v>
      </c>
      <c r="F686" t="s">
        <v>652</v>
      </c>
      <c r="G686" t="s">
        <v>1742</v>
      </c>
      <c r="M686">
        <v>1</v>
      </c>
      <c r="N686">
        <v>5</v>
      </c>
      <c r="O686">
        <v>1</v>
      </c>
      <c r="P686">
        <v>8</v>
      </c>
      <c r="Q686">
        <v>1</v>
      </c>
      <c r="R686">
        <v>11</v>
      </c>
      <c r="S686">
        <v>11</v>
      </c>
      <c r="T686">
        <v>1</v>
      </c>
      <c r="U686">
        <v>10</v>
      </c>
      <c r="V686">
        <v>20</v>
      </c>
      <c r="W686">
        <v>19</v>
      </c>
      <c r="X686">
        <v>38</v>
      </c>
      <c r="Y686">
        <v>35</v>
      </c>
      <c r="Z686">
        <v>43</v>
      </c>
      <c r="AA686">
        <v>33</v>
      </c>
      <c r="AB686">
        <v>14</v>
      </c>
      <c r="AC686">
        <v>17</v>
      </c>
      <c r="AD686">
        <v>11</v>
      </c>
      <c r="CH686" t="str">
        <f t="shared" si="10"/>
        <v>D-0591</v>
      </c>
      <c r="CI686" s="1" t="s">
        <v>102</v>
      </c>
    </row>
    <row r="687" spans="1:87">
      <c r="A687" t="s">
        <v>1975</v>
      </c>
      <c r="B687">
        <v>180</v>
      </c>
      <c r="C687" t="s">
        <v>1746</v>
      </c>
      <c r="D687" t="s">
        <v>410</v>
      </c>
      <c r="E687" t="s">
        <v>629</v>
      </c>
      <c r="F687" t="s">
        <v>652</v>
      </c>
      <c r="G687" t="s">
        <v>1742</v>
      </c>
      <c r="N687">
        <v>36</v>
      </c>
      <c r="P687">
        <v>60</v>
      </c>
      <c r="R687">
        <v>72</v>
      </c>
      <c r="T687">
        <v>12</v>
      </c>
      <c r="CH687" t="str">
        <f t="shared" si="10"/>
        <v>D-0591</v>
      </c>
      <c r="CI687" s="1" t="s">
        <v>102</v>
      </c>
    </row>
    <row r="688" spans="1:87">
      <c r="A688" t="s">
        <v>1810</v>
      </c>
      <c r="B688">
        <v>42</v>
      </c>
      <c r="C688" t="s">
        <v>1746</v>
      </c>
      <c r="D688" t="s">
        <v>410</v>
      </c>
      <c r="E688" t="s">
        <v>629</v>
      </c>
      <c r="F688" t="s">
        <v>652</v>
      </c>
      <c r="G688" t="s">
        <v>1742</v>
      </c>
      <c r="V688">
        <v>3</v>
      </c>
      <c r="W688">
        <v>3</v>
      </c>
      <c r="X688">
        <v>6</v>
      </c>
      <c r="Y688">
        <v>4</v>
      </c>
      <c r="Z688">
        <v>6</v>
      </c>
      <c r="AA688">
        <v>6</v>
      </c>
      <c r="AB688">
        <v>5</v>
      </c>
      <c r="AC688">
        <v>3</v>
      </c>
      <c r="AD688">
        <v>3</v>
      </c>
      <c r="AE688">
        <v>2</v>
      </c>
      <c r="AG688">
        <v>1</v>
      </c>
      <c r="CH688" t="str">
        <f t="shared" si="10"/>
        <v>D-0591</v>
      </c>
      <c r="CI688" s="1" t="s">
        <v>102</v>
      </c>
    </row>
    <row r="689" spans="1:87">
      <c r="A689" t="s">
        <v>1812</v>
      </c>
      <c r="B689">
        <v>76</v>
      </c>
      <c r="C689" t="s">
        <v>1746</v>
      </c>
      <c r="D689" t="s">
        <v>410</v>
      </c>
      <c r="E689" t="s">
        <v>629</v>
      </c>
      <c r="F689" t="s">
        <v>652</v>
      </c>
      <c r="G689" t="s">
        <v>1742</v>
      </c>
      <c r="V689">
        <v>2</v>
      </c>
      <c r="W689">
        <v>6</v>
      </c>
      <c r="X689">
        <v>14</v>
      </c>
      <c r="Y689">
        <v>8</v>
      </c>
      <c r="Z689">
        <v>10</v>
      </c>
      <c r="AA689">
        <v>14</v>
      </c>
      <c r="AB689">
        <v>8</v>
      </c>
      <c r="AC689">
        <v>6</v>
      </c>
      <c r="AD689">
        <v>6</v>
      </c>
      <c r="AE689">
        <v>2</v>
      </c>
      <c r="CH689" t="str">
        <f t="shared" si="10"/>
        <v>D-0591</v>
      </c>
      <c r="CI689" s="1" t="s">
        <v>102</v>
      </c>
    </row>
    <row r="690" spans="1:87">
      <c r="A690" t="s">
        <v>1985</v>
      </c>
      <c r="B690">
        <v>44</v>
      </c>
      <c r="C690" t="s">
        <v>1746</v>
      </c>
      <c r="D690" t="s">
        <v>410</v>
      </c>
      <c r="E690" t="s">
        <v>629</v>
      </c>
      <c r="F690" t="s">
        <v>652</v>
      </c>
      <c r="G690" t="s">
        <v>1742</v>
      </c>
      <c r="U690">
        <v>4</v>
      </c>
      <c r="W690">
        <v>11</v>
      </c>
      <c r="Y690">
        <v>14</v>
      </c>
      <c r="AA690">
        <v>11</v>
      </c>
      <c r="AC690">
        <v>4</v>
      </c>
      <c r="CH690" t="str">
        <f t="shared" si="10"/>
        <v>D-0591</v>
      </c>
      <c r="CI690" s="1" t="s">
        <v>102</v>
      </c>
    </row>
    <row r="691" spans="1:87">
      <c r="A691" t="s">
        <v>1986</v>
      </c>
      <c r="B691">
        <v>168</v>
      </c>
      <c r="C691" t="s">
        <v>1746</v>
      </c>
      <c r="D691" t="s">
        <v>410</v>
      </c>
      <c r="E691" t="s">
        <v>629</v>
      </c>
      <c r="F691" t="s">
        <v>652</v>
      </c>
      <c r="G691" t="s">
        <v>1742</v>
      </c>
      <c r="U691">
        <v>28</v>
      </c>
      <c r="W691">
        <v>42</v>
      </c>
      <c r="Y691">
        <v>42</v>
      </c>
      <c r="AA691">
        <v>28</v>
      </c>
      <c r="AC691">
        <v>14</v>
      </c>
      <c r="AE691">
        <v>14</v>
      </c>
      <c r="CH691" t="str">
        <f t="shared" si="10"/>
        <v>D-0591</v>
      </c>
      <c r="CI691" s="1" t="s">
        <v>102</v>
      </c>
    </row>
    <row r="692" spans="1:87">
      <c r="A692" t="s">
        <v>1816</v>
      </c>
      <c r="B692">
        <v>118</v>
      </c>
      <c r="C692" t="s">
        <v>1746</v>
      </c>
      <c r="D692" t="s">
        <v>410</v>
      </c>
      <c r="E692" t="s">
        <v>629</v>
      </c>
      <c r="F692" t="s">
        <v>652</v>
      </c>
      <c r="G692" t="s">
        <v>1742</v>
      </c>
      <c r="V692">
        <v>2</v>
      </c>
      <c r="W692">
        <v>7</v>
      </c>
      <c r="X692">
        <v>17</v>
      </c>
      <c r="Y692">
        <v>17</v>
      </c>
      <c r="Z692">
        <v>21</v>
      </c>
      <c r="AA692">
        <v>17</v>
      </c>
      <c r="AB692">
        <v>8</v>
      </c>
      <c r="AC692">
        <v>10</v>
      </c>
      <c r="AD692">
        <v>8</v>
      </c>
      <c r="AE692">
        <v>7</v>
      </c>
      <c r="AG692">
        <v>4</v>
      </c>
      <c r="CH692" t="str">
        <f t="shared" si="10"/>
        <v>D-0591</v>
      </c>
      <c r="CI692" s="1" t="s">
        <v>102</v>
      </c>
    </row>
    <row r="693" spans="1:87">
      <c r="A693" t="s">
        <v>1817</v>
      </c>
      <c r="B693">
        <v>36</v>
      </c>
      <c r="C693" t="s">
        <v>1746</v>
      </c>
      <c r="D693" t="s">
        <v>410</v>
      </c>
      <c r="E693" t="s">
        <v>629</v>
      </c>
      <c r="F693" t="s">
        <v>652</v>
      </c>
      <c r="G693" t="s">
        <v>1742</v>
      </c>
      <c r="N693">
        <v>2</v>
      </c>
      <c r="O693">
        <v>2</v>
      </c>
      <c r="P693">
        <v>2</v>
      </c>
      <c r="Q693">
        <v>4</v>
      </c>
      <c r="R693">
        <v>4</v>
      </c>
      <c r="S693">
        <v>4</v>
      </c>
      <c r="T693">
        <v>2</v>
      </c>
      <c r="U693">
        <v>2</v>
      </c>
      <c r="V693">
        <v>2</v>
      </c>
      <c r="X693">
        <v>2</v>
      </c>
      <c r="Y693">
        <v>2</v>
      </c>
      <c r="Z693">
        <v>4</v>
      </c>
      <c r="AA693">
        <v>4</v>
      </c>
      <c r="CH693" t="str">
        <f t="shared" si="10"/>
        <v>D-0591</v>
      </c>
      <c r="CI693" s="1" t="s">
        <v>102</v>
      </c>
    </row>
    <row r="694" spans="1:87">
      <c r="A694" t="s">
        <v>1821</v>
      </c>
      <c r="B694">
        <v>106</v>
      </c>
      <c r="C694" t="s">
        <v>1746</v>
      </c>
      <c r="D694" t="s">
        <v>410</v>
      </c>
      <c r="E694" t="s">
        <v>629</v>
      </c>
      <c r="F694" t="s">
        <v>652</v>
      </c>
      <c r="G694" t="s">
        <v>1742</v>
      </c>
      <c r="V694">
        <v>3</v>
      </c>
      <c r="W694">
        <v>8</v>
      </c>
      <c r="X694">
        <v>14</v>
      </c>
      <c r="Y694">
        <v>10</v>
      </c>
      <c r="Z694">
        <v>19</v>
      </c>
      <c r="AA694">
        <v>19</v>
      </c>
      <c r="AB694">
        <v>8</v>
      </c>
      <c r="AC694">
        <v>12</v>
      </c>
      <c r="AD694">
        <v>10</v>
      </c>
      <c r="AE694">
        <v>1</v>
      </c>
      <c r="AG694">
        <v>2</v>
      </c>
      <c r="CH694" t="str">
        <f t="shared" si="10"/>
        <v>D-0591</v>
      </c>
      <c r="CI694" s="1" t="s">
        <v>102</v>
      </c>
    </row>
    <row r="695" spans="1:87">
      <c r="A695" t="s">
        <v>1822</v>
      </c>
      <c r="B695">
        <v>32</v>
      </c>
      <c r="C695" t="s">
        <v>1746</v>
      </c>
      <c r="D695" t="s">
        <v>410</v>
      </c>
      <c r="E695" t="s">
        <v>629</v>
      </c>
      <c r="F695" t="s">
        <v>652</v>
      </c>
      <c r="G695" t="s">
        <v>1742</v>
      </c>
      <c r="V695">
        <v>4</v>
      </c>
      <c r="X695">
        <v>8</v>
      </c>
      <c r="Z695">
        <v>8</v>
      </c>
      <c r="AA695">
        <v>8</v>
      </c>
      <c r="AC695">
        <v>4</v>
      </c>
      <c r="CH695" t="str">
        <f t="shared" si="10"/>
        <v>D-0591</v>
      </c>
      <c r="CI695" s="1" t="s">
        <v>102</v>
      </c>
    </row>
    <row r="696" spans="1:87">
      <c r="A696" t="s">
        <v>1824</v>
      </c>
      <c r="B696">
        <v>54</v>
      </c>
      <c r="C696" t="s">
        <v>1746</v>
      </c>
      <c r="D696" t="s">
        <v>410</v>
      </c>
      <c r="E696" t="s">
        <v>629</v>
      </c>
      <c r="F696" t="s">
        <v>652</v>
      </c>
      <c r="G696" t="s">
        <v>1742</v>
      </c>
      <c r="V696">
        <v>6</v>
      </c>
      <c r="X696">
        <v>12</v>
      </c>
      <c r="Z696">
        <v>12</v>
      </c>
      <c r="AA696">
        <v>12</v>
      </c>
      <c r="AC696">
        <v>6</v>
      </c>
      <c r="AD696">
        <v>6</v>
      </c>
      <c r="CH696" t="str">
        <f t="shared" si="10"/>
        <v>D-0591</v>
      </c>
      <c r="CI696" s="1" t="s">
        <v>102</v>
      </c>
    </row>
    <row r="697" spans="1:87">
      <c r="A697" t="s">
        <v>1825</v>
      </c>
      <c r="B697">
        <v>36</v>
      </c>
      <c r="C697" t="s">
        <v>1746</v>
      </c>
      <c r="D697" t="s">
        <v>410</v>
      </c>
      <c r="E697" t="s">
        <v>629</v>
      </c>
      <c r="F697" t="s">
        <v>652</v>
      </c>
      <c r="G697" t="s">
        <v>1742</v>
      </c>
      <c r="V697">
        <v>4</v>
      </c>
      <c r="X697">
        <v>8</v>
      </c>
      <c r="Z697">
        <v>8</v>
      </c>
      <c r="AA697">
        <v>8</v>
      </c>
      <c r="AC697">
        <v>4</v>
      </c>
      <c r="AD697">
        <v>4</v>
      </c>
      <c r="CH697" t="str">
        <f t="shared" si="10"/>
        <v>D-0591</v>
      </c>
      <c r="CI697" s="1" t="s">
        <v>102</v>
      </c>
    </row>
    <row r="698" spans="1:87">
      <c r="A698" t="s">
        <v>1829</v>
      </c>
      <c r="B698">
        <v>97</v>
      </c>
      <c r="C698" t="s">
        <v>1746</v>
      </c>
      <c r="D698" t="s">
        <v>410</v>
      </c>
      <c r="E698" t="s">
        <v>629</v>
      </c>
      <c r="F698" t="s">
        <v>652</v>
      </c>
      <c r="G698" t="s">
        <v>1742</v>
      </c>
      <c r="U698">
        <v>8</v>
      </c>
      <c r="V698">
        <v>7</v>
      </c>
      <c r="W698">
        <v>4</v>
      </c>
      <c r="X698">
        <v>17</v>
      </c>
      <c r="Y698">
        <v>11</v>
      </c>
      <c r="Z698">
        <v>19</v>
      </c>
      <c r="AA698">
        <v>15</v>
      </c>
      <c r="AC698">
        <v>10</v>
      </c>
      <c r="AD698">
        <v>6</v>
      </c>
      <c r="CH698" t="str">
        <f t="shared" si="10"/>
        <v>D-0591</v>
      </c>
      <c r="CI698" s="1" t="s">
        <v>102</v>
      </c>
    </row>
    <row r="699" spans="1:87">
      <c r="A699" t="s">
        <v>1955</v>
      </c>
      <c r="B699">
        <v>144</v>
      </c>
      <c r="C699" t="s">
        <v>1746</v>
      </c>
      <c r="D699" t="s">
        <v>410</v>
      </c>
      <c r="E699" t="s">
        <v>629</v>
      </c>
      <c r="F699" t="s">
        <v>652</v>
      </c>
      <c r="G699" t="s">
        <v>1742</v>
      </c>
      <c r="O699">
        <v>12</v>
      </c>
      <c r="P699">
        <v>12</v>
      </c>
      <c r="R699">
        <v>12</v>
      </c>
      <c r="T699">
        <v>12</v>
      </c>
      <c r="U699">
        <v>12</v>
      </c>
      <c r="W699">
        <v>12</v>
      </c>
      <c r="X699">
        <v>24</v>
      </c>
      <c r="Z699">
        <v>12</v>
      </c>
      <c r="AA699">
        <v>12</v>
      </c>
      <c r="AC699">
        <v>12</v>
      </c>
      <c r="AD699">
        <v>12</v>
      </c>
      <c r="CH699" t="str">
        <f t="shared" si="10"/>
        <v>D-0591</v>
      </c>
      <c r="CI699" s="1" t="s">
        <v>102</v>
      </c>
    </row>
    <row r="700" spans="1:87">
      <c r="A700" t="s">
        <v>1789</v>
      </c>
      <c r="B700">
        <v>312</v>
      </c>
      <c r="C700" t="s">
        <v>1746</v>
      </c>
      <c r="D700" t="s">
        <v>410</v>
      </c>
      <c r="E700" t="s">
        <v>629</v>
      </c>
      <c r="F700" t="s">
        <v>652</v>
      </c>
      <c r="G700" t="s">
        <v>1742</v>
      </c>
      <c r="N700">
        <v>72</v>
      </c>
      <c r="P700">
        <v>120</v>
      </c>
      <c r="R700">
        <v>120</v>
      </c>
      <c r="CH700" t="str">
        <f t="shared" si="10"/>
        <v>D-0591</v>
      </c>
      <c r="CI700" s="1" t="s">
        <v>102</v>
      </c>
    </row>
    <row r="701" spans="1:87">
      <c r="A701" t="s">
        <v>1959</v>
      </c>
      <c r="B701">
        <v>162</v>
      </c>
      <c r="C701" t="s">
        <v>1746</v>
      </c>
      <c r="D701" t="s">
        <v>410</v>
      </c>
      <c r="E701" t="s">
        <v>629</v>
      </c>
      <c r="F701" t="s">
        <v>652</v>
      </c>
      <c r="G701" t="s">
        <v>1742</v>
      </c>
      <c r="S701">
        <v>18</v>
      </c>
      <c r="U701">
        <v>18</v>
      </c>
      <c r="V701">
        <v>36</v>
      </c>
      <c r="X701">
        <v>36</v>
      </c>
      <c r="Z701">
        <v>36</v>
      </c>
      <c r="AA701">
        <v>18</v>
      </c>
      <c r="CH701" t="str">
        <f t="shared" si="10"/>
        <v>D-0591</v>
      </c>
      <c r="CI701" s="1" t="s">
        <v>102</v>
      </c>
    </row>
    <row r="702" spans="1:87">
      <c r="A702" t="s">
        <v>1791</v>
      </c>
      <c r="B702">
        <v>228</v>
      </c>
      <c r="C702" t="s">
        <v>1746</v>
      </c>
      <c r="D702" t="s">
        <v>410</v>
      </c>
      <c r="E702" t="s">
        <v>629</v>
      </c>
      <c r="F702" t="s">
        <v>652</v>
      </c>
      <c r="G702" t="s">
        <v>1742</v>
      </c>
      <c r="P702">
        <v>24</v>
      </c>
      <c r="Q702">
        <v>36</v>
      </c>
      <c r="R702">
        <v>48</v>
      </c>
      <c r="S702">
        <v>48</v>
      </c>
      <c r="T702">
        <v>48</v>
      </c>
      <c r="U702">
        <v>24</v>
      </c>
      <c r="CH702" t="str">
        <f t="shared" si="10"/>
        <v>D-0591</v>
      </c>
      <c r="CI702" s="1" t="s">
        <v>102</v>
      </c>
    </row>
    <row r="703" spans="1:87">
      <c r="A703" t="s">
        <v>1960</v>
      </c>
      <c r="B703">
        <v>153</v>
      </c>
      <c r="C703" t="s">
        <v>1746</v>
      </c>
      <c r="D703" t="s">
        <v>410</v>
      </c>
      <c r="E703" t="s">
        <v>629</v>
      </c>
      <c r="F703" t="s">
        <v>652</v>
      </c>
      <c r="G703" t="s">
        <v>1742</v>
      </c>
      <c r="S703">
        <v>17</v>
      </c>
      <c r="U703">
        <v>17</v>
      </c>
      <c r="V703">
        <v>34</v>
      </c>
      <c r="X703">
        <v>34</v>
      </c>
      <c r="Z703">
        <v>34</v>
      </c>
      <c r="AA703">
        <v>17</v>
      </c>
      <c r="CH703" t="str">
        <f t="shared" si="10"/>
        <v>D-0591</v>
      </c>
      <c r="CI703" s="1" t="s">
        <v>102</v>
      </c>
    </row>
    <row r="704" spans="1:87">
      <c r="A704" t="s">
        <v>1796</v>
      </c>
      <c r="B704">
        <v>201</v>
      </c>
      <c r="C704" t="s">
        <v>1746</v>
      </c>
      <c r="D704" t="s">
        <v>410</v>
      </c>
      <c r="E704" t="s">
        <v>629</v>
      </c>
      <c r="F704" t="s">
        <v>652</v>
      </c>
      <c r="G704" t="s">
        <v>1742</v>
      </c>
      <c r="M704">
        <v>1</v>
      </c>
      <c r="N704">
        <v>7</v>
      </c>
      <c r="O704">
        <v>6</v>
      </c>
      <c r="P704">
        <v>18</v>
      </c>
      <c r="Q704">
        <v>17</v>
      </c>
      <c r="R704">
        <v>27</v>
      </c>
      <c r="S704">
        <v>27</v>
      </c>
      <c r="T704">
        <v>17</v>
      </c>
      <c r="U704">
        <v>14</v>
      </c>
      <c r="V704">
        <v>11</v>
      </c>
      <c r="W704">
        <v>6</v>
      </c>
      <c r="X704">
        <v>9</v>
      </c>
      <c r="Y704">
        <v>6</v>
      </c>
      <c r="Z704">
        <v>10</v>
      </c>
      <c r="AA704">
        <v>8</v>
      </c>
      <c r="AB704">
        <v>4</v>
      </c>
      <c r="AC704">
        <v>5</v>
      </c>
      <c r="AD704">
        <v>4</v>
      </c>
      <c r="AE704">
        <v>2</v>
      </c>
      <c r="AG704">
        <v>1</v>
      </c>
      <c r="AI704">
        <v>1</v>
      </c>
      <c r="CH704" t="str">
        <f t="shared" si="10"/>
        <v>D-0591</v>
      </c>
      <c r="CI704" s="1" t="s">
        <v>102</v>
      </c>
    </row>
    <row r="705" spans="1:87">
      <c r="A705" t="s">
        <v>1797</v>
      </c>
      <c r="B705">
        <v>172</v>
      </c>
      <c r="C705" t="s">
        <v>1746</v>
      </c>
      <c r="D705" t="s">
        <v>410</v>
      </c>
      <c r="E705" t="s">
        <v>629</v>
      </c>
      <c r="F705" t="s">
        <v>652</v>
      </c>
      <c r="G705" t="s">
        <v>1742</v>
      </c>
      <c r="M705">
        <v>1</v>
      </c>
      <c r="N705">
        <v>5</v>
      </c>
      <c r="O705">
        <v>4</v>
      </c>
      <c r="P705">
        <v>14</v>
      </c>
      <c r="Q705">
        <v>13</v>
      </c>
      <c r="R705">
        <v>20</v>
      </c>
      <c r="S705">
        <v>20</v>
      </c>
      <c r="T705">
        <v>12</v>
      </c>
      <c r="U705">
        <v>11</v>
      </c>
      <c r="V705">
        <v>9</v>
      </c>
      <c r="W705">
        <v>7</v>
      </c>
      <c r="X705">
        <v>9</v>
      </c>
      <c r="Y705">
        <v>6</v>
      </c>
      <c r="Z705">
        <v>11</v>
      </c>
      <c r="AA705">
        <v>10</v>
      </c>
      <c r="AB705">
        <v>6</v>
      </c>
      <c r="AC705">
        <v>6</v>
      </c>
      <c r="AD705">
        <v>6</v>
      </c>
      <c r="AE705">
        <v>2</v>
      </c>
      <c r="CH705" t="str">
        <f t="shared" si="10"/>
        <v>D-0591</v>
      </c>
      <c r="CI705" s="1" t="s">
        <v>102</v>
      </c>
    </row>
    <row r="706" spans="1:87">
      <c r="A706" t="s">
        <v>2227</v>
      </c>
      <c r="B706">
        <v>26</v>
      </c>
      <c r="C706" t="s">
        <v>1746</v>
      </c>
      <c r="D706" t="s">
        <v>410</v>
      </c>
      <c r="E706" t="s">
        <v>629</v>
      </c>
      <c r="F706" t="s">
        <v>652</v>
      </c>
      <c r="G706" t="s">
        <v>1742</v>
      </c>
      <c r="V706">
        <v>13</v>
      </c>
      <c r="X706">
        <v>13</v>
      </c>
      <c r="CH706" t="str">
        <f t="shared" ref="CH706:CH769" si="11">TRIM(IFERROR(IFERROR(MID($D706,FIND("(D-",$D706)+1,6),LEFT($D706,FIND("(",$D706)-1)),$D706))</f>
        <v>D-0591</v>
      </c>
      <c r="CI706" s="1" t="s">
        <v>102</v>
      </c>
    </row>
    <row r="707" spans="1:87">
      <c r="A707" t="s">
        <v>1814</v>
      </c>
      <c r="B707">
        <v>78</v>
      </c>
      <c r="C707" t="s">
        <v>1746</v>
      </c>
      <c r="D707" t="s">
        <v>410</v>
      </c>
      <c r="E707" t="s">
        <v>629</v>
      </c>
      <c r="F707" t="s">
        <v>652</v>
      </c>
      <c r="G707" t="s">
        <v>1742</v>
      </c>
      <c r="W707">
        <v>5</v>
      </c>
      <c r="X707">
        <v>11</v>
      </c>
      <c r="Y707">
        <v>9</v>
      </c>
      <c r="Z707">
        <v>13</v>
      </c>
      <c r="AA707">
        <v>11</v>
      </c>
      <c r="AB707">
        <v>6</v>
      </c>
      <c r="AC707">
        <v>8</v>
      </c>
      <c r="AD707">
        <v>6</v>
      </c>
      <c r="AE707">
        <v>5</v>
      </c>
      <c r="AG707">
        <v>4</v>
      </c>
      <c r="CH707" t="str">
        <f t="shared" si="11"/>
        <v>D-0591</v>
      </c>
      <c r="CI707" s="1" t="s">
        <v>102</v>
      </c>
    </row>
    <row r="708" spans="1:87">
      <c r="A708" t="s">
        <v>1806</v>
      </c>
      <c r="B708">
        <v>36</v>
      </c>
      <c r="C708" t="s">
        <v>1746</v>
      </c>
      <c r="D708" t="s">
        <v>410</v>
      </c>
      <c r="E708" t="s">
        <v>629</v>
      </c>
      <c r="F708" t="s">
        <v>652</v>
      </c>
      <c r="G708" t="s">
        <v>1742</v>
      </c>
      <c r="V708">
        <v>1</v>
      </c>
      <c r="W708">
        <v>3</v>
      </c>
      <c r="X708">
        <v>5</v>
      </c>
      <c r="Y708">
        <v>4</v>
      </c>
      <c r="Z708">
        <v>6</v>
      </c>
      <c r="AA708">
        <v>6</v>
      </c>
      <c r="AB708">
        <v>3</v>
      </c>
      <c r="AC708">
        <v>3</v>
      </c>
      <c r="AD708">
        <v>2</v>
      </c>
      <c r="AE708">
        <v>2</v>
      </c>
      <c r="AG708">
        <v>1</v>
      </c>
      <c r="CH708" t="str">
        <f t="shared" si="11"/>
        <v>D-0591</v>
      </c>
      <c r="CI708" s="1" t="s">
        <v>102</v>
      </c>
    </row>
    <row r="709" spans="1:87">
      <c r="A709" t="s">
        <v>3138</v>
      </c>
      <c r="B709">
        <v>19</v>
      </c>
      <c r="C709" t="s">
        <v>989</v>
      </c>
      <c r="D709" t="s">
        <v>233</v>
      </c>
      <c r="E709" t="s">
        <v>642</v>
      </c>
      <c r="F709" t="s">
        <v>657</v>
      </c>
      <c r="G709" t="s">
        <v>3137</v>
      </c>
      <c r="X709">
        <v>19</v>
      </c>
      <c r="CH709" t="str">
        <f t="shared" si="11"/>
        <v>D-0265</v>
      </c>
      <c r="CI709" s="1" t="s">
        <v>102</v>
      </c>
    </row>
    <row r="710" spans="1:87">
      <c r="A710" t="s">
        <v>3082</v>
      </c>
      <c r="B710">
        <v>451</v>
      </c>
      <c r="C710" t="s">
        <v>951</v>
      </c>
      <c r="D710" t="s">
        <v>233</v>
      </c>
      <c r="E710" t="s">
        <v>642</v>
      </c>
      <c r="F710" t="s">
        <v>657</v>
      </c>
      <c r="G710" t="s">
        <v>952</v>
      </c>
      <c r="R710">
        <v>451</v>
      </c>
      <c r="CH710" t="str">
        <f t="shared" si="11"/>
        <v>D-0265</v>
      </c>
      <c r="CI710" s="1" t="s">
        <v>102</v>
      </c>
    </row>
    <row r="711" spans="1:87">
      <c r="A711" t="s">
        <v>3457</v>
      </c>
      <c r="B711">
        <v>400</v>
      </c>
      <c r="C711" t="s">
        <v>951</v>
      </c>
      <c r="D711" t="s">
        <v>233</v>
      </c>
      <c r="E711" t="s">
        <v>642</v>
      </c>
      <c r="F711" t="s">
        <v>657</v>
      </c>
      <c r="G711" t="s">
        <v>952</v>
      </c>
      <c r="AC711">
        <v>400</v>
      </c>
      <c r="CH711" t="str">
        <f t="shared" si="11"/>
        <v>D-0265</v>
      </c>
      <c r="CI711" s="1" t="s">
        <v>102</v>
      </c>
    </row>
    <row r="712" spans="1:87">
      <c r="A712" t="s">
        <v>3071</v>
      </c>
      <c r="B712">
        <v>616</v>
      </c>
      <c r="C712" t="s">
        <v>951</v>
      </c>
      <c r="D712" t="s">
        <v>233</v>
      </c>
      <c r="E712" t="s">
        <v>642</v>
      </c>
      <c r="F712" t="s">
        <v>657</v>
      </c>
      <c r="G712" t="s">
        <v>952</v>
      </c>
      <c r="Z712">
        <v>616</v>
      </c>
      <c r="CH712" t="str">
        <f t="shared" si="11"/>
        <v>D-0265</v>
      </c>
      <c r="CI712" s="1" t="s">
        <v>102</v>
      </c>
    </row>
    <row r="713" spans="1:87">
      <c r="A713" t="s">
        <v>3073</v>
      </c>
      <c r="B713">
        <v>481</v>
      </c>
      <c r="C713" t="s">
        <v>951</v>
      </c>
      <c r="D713" t="s">
        <v>233</v>
      </c>
      <c r="E713" t="s">
        <v>642</v>
      </c>
      <c r="F713" t="s">
        <v>657</v>
      </c>
      <c r="G713" t="s">
        <v>952</v>
      </c>
      <c r="X713">
        <v>481</v>
      </c>
      <c r="CH713" t="str">
        <f t="shared" si="11"/>
        <v>D-0265</v>
      </c>
      <c r="CI713" s="1" t="s">
        <v>102</v>
      </c>
    </row>
    <row r="714" spans="1:87">
      <c r="A714" t="s">
        <v>3074</v>
      </c>
      <c r="B714">
        <v>789</v>
      </c>
      <c r="C714" t="s">
        <v>951</v>
      </c>
      <c r="D714" t="s">
        <v>233</v>
      </c>
      <c r="E714" t="s">
        <v>642</v>
      </c>
      <c r="F714" t="s">
        <v>657</v>
      </c>
      <c r="G714" t="s">
        <v>952</v>
      </c>
      <c r="W714">
        <v>789</v>
      </c>
      <c r="CH714" t="str">
        <f t="shared" si="11"/>
        <v>D-0265</v>
      </c>
      <c r="CI714" s="1" t="s">
        <v>102</v>
      </c>
    </row>
    <row r="715" spans="1:87">
      <c r="A715" t="s">
        <v>3075</v>
      </c>
      <c r="B715">
        <v>817</v>
      </c>
      <c r="C715" t="s">
        <v>951</v>
      </c>
      <c r="D715" t="s">
        <v>233</v>
      </c>
      <c r="E715" t="s">
        <v>642</v>
      </c>
      <c r="F715" t="s">
        <v>657</v>
      </c>
      <c r="G715" t="s">
        <v>952</v>
      </c>
      <c r="V715">
        <v>817</v>
      </c>
      <c r="CH715" t="str">
        <f t="shared" si="11"/>
        <v>D-0265</v>
      </c>
      <c r="CI715" s="1" t="s">
        <v>102</v>
      </c>
    </row>
    <row r="716" spans="1:87">
      <c r="A716" t="s">
        <v>3076</v>
      </c>
      <c r="B716">
        <v>639</v>
      </c>
      <c r="C716" t="s">
        <v>951</v>
      </c>
      <c r="D716" t="s">
        <v>233</v>
      </c>
      <c r="E716" t="s">
        <v>642</v>
      </c>
      <c r="F716" t="s">
        <v>657</v>
      </c>
      <c r="G716" t="s">
        <v>952</v>
      </c>
      <c r="U716">
        <v>639</v>
      </c>
      <c r="CH716" t="str">
        <f t="shared" si="11"/>
        <v>D-0265</v>
      </c>
      <c r="CI716" s="1" t="s">
        <v>102</v>
      </c>
    </row>
    <row r="717" spans="1:87">
      <c r="A717" t="s">
        <v>3080</v>
      </c>
      <c r="B717">
        <v>366</v>
      </c>
      <c r="C717" t="s">
        <v>951</v>
      </c>
      <c r="D717" t="s">
        <v>233</v>
      </c>
      <c r="E717" t="s">
        <v>642</v>
      </c>
      <c r="F717" t="s">
        <v>657</v>
      </c>
      <c r="G717" t="s">
        <v>952</v>
      </c>
      <c r="AC717">
        <v>366</v>
      </c>
      <c r="CH717" t="str">
        <f t="shared" si="11"/>
        <v>D-0265</v>
      </c>
      <c r="CI717" s="1" t="s">
        <v>102</v>
      </c>
    </row>
    <row r="718" spans="1:87">
      <c r="A718" t="s">
        <v>3078</v>
      </c>
      <c r="B718">
        <v>865</v>
      </c>
      <c r="C718" t="s">
        <v>951</v>
      </c>
      <c r="D718" t="s">
        <v>233</v>
      </c>
      <c r="E718" t="s">
        <v>642</v>
      </c>
      <c r="F718" t="s">
        <v>657</v>
      </c>
      <c r="G718" t="s">
        <v>952</v>
      </c>
      <c r="S718">
        <v>865</v>
      </c>
      <c r="CH718" t="str">
        <f t="shared" si="11"/>
        <v>D-0265</v>
      </c>
      <c r="CI718" s="1" t="s">
        <v>102</v>
      </c>
    </row>
    <row r="719" spans="1:87">
      <c r="A719" t="s">
        <v>3081</v>
      </c>
      <c r="B719">
        <v>621</v>
      </c>
      <c r="C719" t="s">
        <v>951</v>
      </c>
      <c r="D719" t="s">
        <v>233</v>
      </c>
      <c r="E719" t="s">
        <v>642</v>
      </c>
      <c r="F719" t="s">
        <v>657</v>
      </c>
      <c r="G719" t="s">
        <v>952</v>
      </c>
      <c r="AB719">
        <v>621</v>
      </c>
      <c r="CH719" t="str">
        <f t="shared" si="11"/>
        <v>D-0265</v>
      </c>
      <c r="CI719" s="1" t="s">
        <v>102</v>
      </c>
    </row>
    <row r="720" spans="1:87">
      <c r="A720" t="s">
        <v>3072</v>
      </c>
      <c r="B720">
        <v>966</v>
      </c>
      <c r="C720" t="s">
        <v>951</v>
      </c>
      <c r="D720" t="s">
        <v>233</v>
      </c>
      <c r="E720" t="s">
        <v>642</v>
      </c>
      <c r="F720" t="s">
        <v>657</v>
      </c>
      <c r="G720" t="s">
        <v>952</v>
      </c>
      <c r="Y720">
        <v>966</v>
      </c>
      <c r="CH720" t="str">
        <f t="shared" si="11"/>
        <v>D-0265</v>
      </c>
      <c r="CI720" s="1" t="s">
        <v>102</v>
      </c>
    </row>
    <row r="721" spans="1:87">
      <c r="A721" t="s">
        <v>3463</v>
      </c>
      <c r="B721">
        <v>1041</v>
      </c>
      <c r="C721" t="s">
        <v>951</v>
      </c>
      <c r="D721" t="s">
        <v>233</v>
      </c>
      <c r="E721" t="s">
        <v>642</v>
      </c>
      <c r="F721" t="s">
        <v>657</v>
      </c>
      <c r="G721" t="s">
        <v>952</v>
      </c>
      <c r="W721">
        <v>1041</v>
      </c>
      <c r="CH721" t="str">
        <f t="shared" si="11"/>
        <v>D-0265</v>
      </c>
      <c r="CI721" s="1" t="s">
        <v>102</v>
      </c>
    </row>
    <row r="722" spans="1:87">
      <c r="A722" t="s">
        <v>1388</v>
      </c>
      <c r="B722">
        <v>725</v>
      </c>
      <c r="C722" t="s">
        <v>671</v>
      </c>
      <c r="D722" t="s">
        <v>457</v>
      </c>
      <c r="E722" t="s">
        <v>629</v>
      </c>
      <c r="F722" t="s">
        <v>672</v>
      </c>
      <c r="G722" t="s">
        <v>673</v>
      </c>
      <c r="T722">
        <v>60</v>
      </c>
      <c r="U722">
        <v>60</v>
      </c>
      <c r="V722">
        <v>65</v>
      </c>
      <c r="W722">
        <v>120</v>
      </c>
      <c r="X722">
        <v>120</v>
      </c>
      <c r="Y722">
        <v>120</v>
      </c>
      <c r="Z722">
        <v>60</v>
      </c>
      <c r="AA722">
        <v>60</v>
      </c>
      <c r="AB722">
        <v>60</v>
      </c>
      <c r="CH722" t="str">
        <f t="shared" si="11"/>
        <v>JV1-0695-3</v>
      </c>
      <c r="CI722" s="1" t="s">
        <v>102</v>
      </c>
    </row>
    <row r="723" spans="1:87">
      <c r="A723" t="s">
        <v>1389</v>
      </c>
      <c r="B723">
        <v>509</v>
      </c>
      <c r="C723" t="s">
        <v>671</v>
      </c>
      <c r="D723" t="s">
        <v>457</v>
      </c>
      <c r="E723" t="s">
        <v>629</v>
      </c>
      <c r="F723" t="s">
        <v>672</v>
      </c>
      <c r="G723" t="s">
        <v>673</v>
      </c>
      <c r="U723">
        <v>42</v>
      </c>
      <c r="V723">
        <v>47</v>
      </c>
      <c r="W723">
        <v>42</v>
      </c>
      <c r="X723">
        <v>42</v>
      </c>
      <c r="Y723">
        <v>84</v>
      </c>
      <c r="Z723">
        <v>84</v>
      </c>
      <c r="AA723">
        <v>42</v>
      </c>
      <c r="AB723">
        <v>42</v>
      </c>
      <c r="AC723">
        <v>42</v>
      </c>
      <c r="AD723">
        <v>42</v>
      </c>
      <c r="CH723" t="str">
        <f t="shared" si="11"/>
        <v>JV1-0695-3</v>
      </c>
      <c r="CI723" s="1" t="s">
        <v>102</v>
      </c>
    </row>
    <row r="724" spans="1:87">
      <c r="A724" t="s">
        <v>1390</v>
      </c>
      <c r="B724">
        <v>185</v>
      </c>
      <c r="C724" t="s">
        <v>671</v>
      </c>
      <c r="D724" t="s">
        <v>457</v>
      </c>
      <c r="E724" t="s">
        <v>629</v>
      </c>
      <c r="F724" t="s">
        <v>672</v>
      </c>
      <c r="G724" t="s">
        <v>673</v>
      </c>
      <c r="T724">
        <v>30</v>
      </c>
      <c r="U724">
        <v>30</v>
      </c>
      <c r="V724">
        <v>35</v>
      </c>
      <c r="W724">
        <v>30</v>
      </c>
      <c r="X724">
        <v>30</v>
      </c>
      <c r="Y724">
        <v>30</v>
      </c>
      <c r="CH724" t="str">
        <f t="shared" si="11"/>
        <v>JV1-0695-3</v>
      </c>
      <c r="CI724" s="1" t="s">
        <v>102</v>
      </c>
    </row>
    <row r="725" spans="1:87">
      <c r="A725" t="s">
        <v>1391</v>
      </c>
      <c r="B725">
        <v>1301</v>
      </c>
      <c r="C725" t="s">
        <v>671</v>
      </c>
      <c r="D725" t="s">
        <v>457</v>
      </c>
      <c r="E725" t="s">
        <v>629</v>
      </c>
      <c r="F725" t="s">
        <v>672</v>
      </c>
      <c r="G725" t="s">
        <v>673</v>
      </c>
      <c r="N725">
        <v>108</v>
      </c>
      <c r="O725">
        <v>108</v>
      </c>
      <c r="P725">
        <v>216</v>
      </c>
      <c r="Q725">
        <v>216</v>
      </c>
      <c r="R725">
        <v>108</v>
      </c>
      <c r="S725">
        <v>108</v>
      </c>
      <c r="T725">
        <v>108</v>
      </c>
      <c r="U725">
        <v>108</v>
      </c>
      <c r="V725">
        <v>113</v>
      </c>
      <c r="W725">
        <v>108</v>
      </c>
      <c r="CH725" t="str">
        <f t="shared" si="11"/>
        <v>JV1-0695-3</v>
      </c>
      <c r="CI725" s="1" t="s">
        <v>102</v>
      </c>
    </row>
    <row r="726" spans="1:87">
      <c r="A726" t="s">
        <v>1392</v>
      </c>
      <c r="B726">
        <v>509</v>
      </c>
      <c r="C726" t="s">
        <v>671</v>
      </c>
      <c r="D726" t="s">
        <v>457</v>
      </c>
      <c r="E726" t="s">
        <v>629</v>
      </c>
      <c r="F726" t="s">
        <v>672</v>
      </c>
      <c r="G726" t="s">
        <v>673</v>
      </c>
      <c r="O726">
        <v>42</v>
      </c>
      <c r="P726">
        <v>42</v>
      </c>
      <c r="Q726">
        <v>42</v>
      </c>
      <c r="R726">
        <v>84</v>
      </c>
      <c r="S726">
        <v>84</v>
      </c>
      <c r="T726">
        <v>84</v>
      </c>
      <c r="U726">
        <v>42</v>
      </c>
      <c r="V726">
        <v>47</v>
      </c>
      <c r="W726">
        <v>42</v>
      </c>
      <c r="CH726" t="str">
        <f t="shared" si="11"/>
        <v>JV1-0695-3</v>
      </c>
      <c r="CI726" s="1" t="s">
        <v>102</v>
      </c>
    </row>
    <row r="727" spans="1:87">
      <c r="A727" t="s">
        <v>1393</v>
      </c>
      <c r="B727">
        <v>317</v>
      </c>
      <c r="C727" t="s">
        <v>671</v>
      </c>
      <c r="D727" t="s">
        <v>457</v>
      </c>
      <c r="E727" t="s">
        <v>629</v>
      </c>
      <c r="F727" t="s">
        <v>672</v>
      </c>
      <c r="G727" t="s">
        <v>673</v>
      </c>
      <c r="O727">
        <v>78</v>
      </c>
      <c r="P727">
        <v>78</v>
      </c>
      <c r="Q727">
        <v>78</v>
      </c>
      <c r="R727">
        <v>83</v>
      </c>
      <c r="CH727" t="str">
        <f t="shared" si="11"/>
        <v>JV1-0695-3</v>
      </c>
      <c r="CI727" s="1" t="s">
        <v>102</v>
      </c>
    </row>
    <row r="728" spans="1:87">
      <c r="A728" t="s">
        <v>1396</v>
      </c>
      <c r="B728">
        <v>3251</v>
      </c>
      <c r="C728" t="s">
        <v>671</v>
      </c>
      <c r="D728" t="s">
        <v>457</v>
      </c>
      <c r="E728" t="s">
        <v>629</v>
      </c>
      <c r="F728" t="s">
        <v>672</v>
      </c>
      <c r="G728" t="s">
        <v>673</v>
      </c>
      <c r="O728">
        <v>240</v>
      </c>
      <c r="Q728">
        <v>282</v>
      </c>
      <c r="S728">
        <v>642</v>
      </c>
      <c r="U728">
        <v>737</v>
      </c>
      <c r="W728">
        <v>678</v>
      </c>
      <c r="Y728">
        <v>402</v>
      </c>
      <c r="AA728">
        <v>156</v>
      </c>
      <c r="AC728">
        <v>90</v>
      </c>
      <c r="AE728">
        <v>24</v>
      </c>
      <c r="CH728" t="str">
        <f t="shared" si="11"/>
        <v>JV1-0695-3</v>
      </c>
      <c r="CI728" s="1" t="s">
        <v>102</v>
      </c>
    </row>
    <row r="729" spans="1:87">
      <c r="A729" t="s">
        <v>1397</v>
      </c>
      <c r="B729">
        <v>179</v>
      </c>
      <c r="C729" t="s">
        <v>1387</v>
      </c>
      <c r="D729" t="s">
        <v>457</v>
      </c>
      <c r="E729" t="s">
        <v>629</v>
      </c>
      <c r="F729" t="s">
        <v>672</v>
      </c>
      <c r="G729" t="s">
        <v>673</v>
      </c>
      <c r="O729">
        <v>6</v>
      </c>
      <c r="Q729">
        <v>12</v>
      </c>
      <c r="S729">
        <v>24</v>
      </c>
      <c r="U729">
        <v>24</v>
      </c>
      <c r="V729">
        <v>29</v>
      </c>
      <c r="W729">
        <v>18</v>
      </c>
      <c r="X729">
        <v>6</v>
      </c>
      <c r="Y729">
        <v>24</v>
      </c>
      <c r="Z729">
        <v>12</v>
      </c>
      <c r="AA729">
        <v>6</v>
      </c>
      <c r="AB729">
        <v>12</v>
      </c>
      <c r="AC729">
        <v>6</v>
      </c>
      <c r="CH729" t="str">
        <f t="shared" si="11"/>
        <v>JV1-0695-3</v>
      </c>
      <c r="CI729" s="1" t="s">
        <v>102</v>
      </c>
    </row>
    <row r="730" spans="1:87">
      <c r="A730" t="s">
        <v>1400</v>
      </c>
      <c r="B730">
        <v>263</v>
      </c>
      <c r="C730" t="s">
        <v>671</v>
      </c>
      <c r="D730" t="s">
        <v>457</v>
      </c>
      <c r="E730" t="s">
        <v>629</v>
      </c>
      <c r="F730" t="s">
        <v>672</v>
      </c>
      <c r="G730" t="s">
        <v>673</v>
      </c>
      <c r="N730">
        <v>12</v>
      </c>
      <c r="O730">
        <v>18</v>
      </c>
      <c r="P730">
        <v>30</v>
      </c>
      <c r="Q730">
        <v>42</v>
      </c>
      <c r="R730">
        <v>42</v>
      </c>
      <c r="S730">
        <v>42</v>
      </c>
      <c r="T730">
        <v>36</v>
      </c>
      <c r="U730">
        <v>12</v>
      </c>
      <c r="V730">
        <v>17</v>
      </c>
      <c r="W730">
        <v>6</v>
      </c>
      <c r="Y730">
        <v>6</v>
      </c>
      <c r="CH730" t="str">
        <f t="shared" si="11"/>
        <v>JV1-0695-3</v>
      </c>
      <c r="CI730" s="1" t="s">
        <v>102</v>
      </c>
    </row>
    <row r="731" spans="1:87">
      <c r="A731" t="s">
        <v>1403</v>
      </c>
      <c r="B731">
        <v>575</v>
      </c>
      <c r="C731" t="s">
        <v>671</v>
      </c>
      <c r="D731" t="s">
        <v>457</v>
      </c>
      <c r="E731" t="s">
        <v>629</v>
      </c>
      <c r="F731" t="s">
        <v>672</v>
      </c>
      <c r="G731" t="s">
        <v>673</v>
      </c>
      <c r="N731">
        <v>30</v>
      </c>
      <c r="O731">
        <v>48</v>
      </c>
      <c r="P731">
        <v>6</v>
      </c>
      <c r="Q731">
        <v>90</v>
      </c>
      <c r="R731">
        <v>42</v>
      </c>
      <c r="S731">
        <v>72</v>
      </c>
      <c r="T731">
        <v>48</v>
      </c>
      <c r="U731">
        <v>24</v>
      </c>
      <c r="V731">
        <v>65</v>
      </c>
      <c r="W731">
        <v>36</v>
      </c>
      <c r="X731">
        <v>6</v>
      </c>
      <c r="Y731">
        <v>36</v>
      </c>
      <c r="Z731">
        <v>24</v>
      </c>
      <c r="AA731">
        <v>6</v>
      </c>
      <c r="AB731">
        <v>24</v>
      </c>
      <c r="AC731">
        <v>12</v>
      </c>
      <c r="AD731">
        <v>6</v>
      </c>
      <c r="CH731" t="str">
        <f t="shared" si="11"/>
        <v>JV1-0695-3</v>
      </c>
      <c r="CI731" s="1" t="s">
        <v>102</v>
      </c>
    </row>
    <row r="732" spans="1:87">
      <c r="A732" t="s">
        <v>2920</v>
      </c>
      <c r="B732">
        <v>923</v>
      </c>
      <c r="C732" t="s">
        <v>1168</v>
      </c>
      <c r="D732" t="s">
        <v>457</v>
      </c>
      <c r="E732" t="s">
        <v>629</v>
      </c>
      <c r="F732" t="s">
        <v>672</v>
      </c>
      <c r="G732" t="s">
        <v>673</v>
      </c>
      <c r="O732">
        <v>66</v>
      </c>
      <c r="P732">
        <v>96</v>
      </c>
      <c r="Q732">
        <v>138</v>
      </c>
      <c r="R732">
        <v>156</v>
      </c>
      <c r="S732">
        <v>180</v>
      </c>
      <c r="T732">
        <v>150</v>
      </c>
      <c r="U732">
        <v>137</v>
      </c>
      <c r="CH732" t="str">
        <f t="shared" si="11"/>
        <v>JV1-0695-3</v>
      </c>
      <c r="CI732" s="1" t="s">
        <v>102</v>
      </c>
    </row>
    <row r="733" spans="1:87">
      <c r="A733" t="s">
        <v>2923</v>
      </c>
      <c r="B733">
        <v>851</v>
      </c>
      <c r="C733" t="s">
        <v>1166</v>
      </c>
      <c r="D733" t="s">
        <v>457</v>
      </c>
      <c r="E733" t="s">
        <v>629</v>
      </c>
      <c r="F733" t="s">
        <v>672</v>
      </c>
      <c r="G733" t="s">
        <v>673</v>
      </c>
      <c r="O733">
        <v>66</v>
      </c>
      <c r="P733">
        <v>72</v>
      </c>
      <c r="Q733">
        <v>126</v>
      </c>
      <c r="R733">
        <v>126</v>
      </c>
      <c r="S733">
        <v>144</v>
      </c>
      <c r="T733">
        <v>126</v>
      </c>
      <c r="U733">
        <v>119</v>
      </c>
      <c r="V733">
        <v>36</v>
      </c>
      <c r="W733">
        <v>24</v>
      </c>
      <c r="Y733">
        <v>12</v>
      </c>
      <c r="CH733" t="str">
        <f t="shared" si="11"/>
        <v>JV1-0695-3</v>
      </c>
      <c r="CI733" s="1" t="s">
        <v>102</v>
      </c>
    </row>
    <row r="734" spans="1:87">
      <c r="A734" t="s">
        <v>1703</v>
      </c>
      <c r="B734">
        <v>1392</v>
      </c>
      <c r="C734" t="s">
        <v>1704</v>
      </c>
      <c r="D734" t="s">
        <v>261</v>
      </c>
      <c r="E734" t="s">
        <v>629</v>
      </c>
      <c r="F734" t="s">
        <v>635</v>
      </c>
      <c r="G734" t="s">
        <v>1551</v>
      </c>
      <c r="L734">
        <v>24</v>
      </c>
      <c r="M734">
        <v>48</v>
      </c>
      <c r="N734">
        <v>48</v>
      </c>
      <c r="O734">
        <v>108</v>
      </c>
      <c r="P734">
        <v>96</v>
      </c>
      <c r="Q734">
        <v>168</v>
      </c>
      <c r="R734">
        <v>204</v>
      </c>
      <c r="S734">
        <v>48</v>
      </c>
      <c r="T734">
        <v>144</v>
      </c>
      <c r="U734">
        <v>84</v>
      </c>
      <c r="V734">
        <v>60</v>
      </c>
      <c r="W734">
        <v>60</v>
      </c>
      <c r="X734">
        <v>60</v>
      </c>
      <c r="Y734">
        <v>60</v>
      </c>
      <c r="Z734">
        <v>60</v>
      </c>
      <c r="AA734">
        <v>24</v>
      </c>
      <c r="AB734">
        <v>36</v>
      </c>
      <c r="AC734">
        <v>24</v>
      </c>
      <c r="AD734">
        <v>24</v>
      </c>
      <c r="AF734">
        <v>12</v>
      </c>
      <c r="CH734" t="str">
        <f t="shared" si="11"/>
        <v>D-0310</v>
      </c>
      <c r="CI734" s="1" t="s">
        <v>102</v>
      </c>
    </row>
    <row r="735" spans="1:87">
      <c r="A735" t="s">
        <v>1681</v>
      </c>
      <c r="B735">
        <v>132</v>
      </c>
      <c r="C735" t="s">
        <v>1550</v>
      </c>
      <c r="D735" t="s">
        <v>261</v>
      </c>
      <c r="E735" t="s">
        <v>629</v>
      </c>
      <c r="F735" t="s">
        <v>635</v>
      </c>
      <c r="G735" t="s">
        <v>1551</v>
      </c>
      <c r="M735">
        <v>12</v>
      </c>
      <c r="O735">
        <v>12</v>
      </c>
      <c r="P735">
        <v>12</v>
      </c>
      <c r="Q735">
        <v>24</v>
      </c>
      <c r="R735">
        <v>24</v>
      </c>
      <c r="S735">
        <v>12</v>
      </c>
      <c r="T735">
        <v>12</v>
      </c>
      <c r="U735">
        <v>12</v>
      </c>
      <c r="W735">
        <v>12</v>
      </c>
      <c r="CH735" t="str">
        <f t="shared" si="11"/>
        <v>D-0310</v>
      </c>
      <c r="CI735" s="1" t="s">
        <v>102</v>
      </c>
    </row>
    <row r="736" spans="1:87">
      <c r="A736" t="s">
        <v>1682</v>
      </c>
      <c r="B736">
        <v>180</v>
      </c>
      <c r="C736" t="s">
        <v>1550</v>
      </c>
      <c r="D736" t="s">
        <v>261</v>
      </c>
      <c r="E736" t="s">
        <v>629</v>
      </c>
      <c r="F736" t="s">
        <v>635</v>
      </c>
      <c r="G736" t="s">
        <v>1551</v>
      </c>
      <c r="M736">
        <v>12</v>
      </c>
      <c r="O736">
        <v>36</v>
      </c>
      <c r="Q736">
        <v>48</v>
      </c>
      <c r="R736">
        <v>48</v>
      </c>
      <c r="T736">
        <v>24</v>
      </c>
      <c r="U736">
        <v>12</v>
      </c>
      <c r="CH736" t="str">
        <f t="shared" si="11"/>
        <v>D-0310</v>
      </c>
      <c r="CI736" s="1" t="s">
        <v>102</v>
      </c>
    </row>
    <row r="737" spans="1:87">
      <c r="A737" t="s">
        <v>1683</v>
      </c>
      <c r="B737">
        <v>408</v>
      </c>
      <c r="C737" t="s">
        <v>1550</v>
      </c>
      <c r="D737" t="s">
        <v>261</v>
      </c>
      <c r="E737" t="s">
        <v>629</v>
      </c>
      <c r="F737" t="s">
        <v>635</v>
      </c>
      <c r="G737" t="s">
        <v>1551</v>
      </c>
      <c r="M737">
        <v>60</v>
      </c>
      <c r="N737">
        <v>72</v>
      </c>
      <c r="O737">
        <v>84</v>
      </c>
      <c r="P737">
        <v>72</v>
      </c>
      <c r="Q737">
        <v>60</v>
      </c>
      <c r="R737">
        <v>48</v>
      </c>
      <c r="S737">
        <v>12</v>
      </c>
      <c r="CH737" t="str">
        <f t="shared" si="11"/>
        <v>D-0310</v>
      </c>
      <c r="CI737" s="1" t="s">
        <v>102</v>
      </c>
    </row>
    <row r="738" spans="1:87">
      <c r="A738" t="s">
        <v>1684</v>
      </c>
      <c r="B738">
        <v>276</v>
      </c>
      <c r="C738" t="s">
        <v>1550</v>
      </c>
      <c r="D738" t="s">
        <v>261</v>
      </c>
      <c r="E738" t="s">
        <v>629</v>
      </c>
      <c r="F738" t="s">
        <v>635</v>
      </c>
      <c r="G738" t="s">
        <v>1551</v>
      </c>
      <c r="L738">
        <v>46</v>
      </c>
      <c r="M738">
        <v>23</v>
      </c>
      <c r="N738">
        <v>46</v>
      </c>
      <c r="O738">
        <v>46</v>
      </c>
      <c r="P738">
        <v>46</v>
      </c>
      <c r="R738">
        <v>23</v>
      </c>
      <c r="S738">
        <v>23</v>
      </c>
      <c r="U738">
        <v>23</v>
      </c>
      <c r="CH738" t="str">
        <f t="shared" si="11"/>
        <v>D-0310</v>
      </c>
      <c r="CI738" s="1" t="s">
        <v>102</v>
      </c>
    </row>
    <row r="739" spans="1:87">
      <c r="A739" t="s">
        <v>1685</v>
      </c>
      <c r="B739">
        <v>240</v>
      </c>
      <c r="C739" t="s">
        <v>1550</v>
      </c>
      <c r="D739" t="s">
        <v>261</v>
      </c>
      <c r="E739" t="s">
        <v>629</v>
      </c>
      <c r="F739" t="s">
        <v>635</v>
      </c>
      <c r="G739" t="s">
        <v>1551</v>
      </c>
      <c r="M739">
        <v>20</v>
      </c>
      <c r="N739">
        <v>20</v>
      </c>
      <c r="O739">
        <v>40</v>
      </c>
      <c r="P739">
        <v>40</v>
      </c>
      <c r="Q739">
        <v>40</v>
      </c>
      <c r="R739">
        <v>40</v>
      </c>
      <c r="S739">
        <v>20</v>
      </c>
      <c r="T739">
        <v>20</v>
      </c>
      <c r="CH739" t="str">
        <f t="shared" si="11"/>
        <v>D-0310</v>
      </c>
      <c r="CI739" s="1" t="s">
        <v>102</v>
      </c>
    </row>
    <row r="740" spans="1:87">
      <c r="A740" t="s">
        <v>1686</v>
      </c>
      <c r="B740">
        <v>864</v>
      </c>
      <c r="C740" t="s">
        <v>1550</v>
      </c>
      <c r="D740" t="s">
        <v>261</v>
      </c>
      <c r="E740" t="s">
        <v>629</v>
      </c>
      <c r="F740" t="s">
        <v>635</v>
      </c>
      <c r="G740" t="s">
        <v>1551</v>
      </c>
      <c r="M740">
        <v>144</v>
      </c>
      <c r="O740">
        <v>144</v>
      </c>
      <c r="P740">
        <v>144</v>
      </c>
      <c r="Q740">
        <v>144</v>
      </c>
      <c r="R740">
        <v>144</v>
      </c>
      <c r="T740">
        <v>144</v>
      </c>
      <c r="CH740" t="str">
        <f t="shared" si="11"/>
        <v>D-0310</v>
      </c>
      <c r="CI740" s="1" t="s">
        <v>102</v>
      </c>
    </row>
    <row r="741" spans="1:87">
      <c r="A741" t="s">
        <v>1687</v>
      </c>
      <c r="B741">
        <v>192</v>
      </c>
      <c r="C741" t="s">
        <v>1550</v>
      </c>
      <c r="D741" t="s">
        <v>261</v>
      </c>
      <c r="E741" t="s">
        <v>629</v>
      </c>
      <c r="F741" t="s">
        <v>635</v>
      </c>
      <c r="G741" t="s">
        <v>1551</v>
      </c>
      <c r="L741">
        <v>16</v>
      </c>
      <c r="M741">
        <v>16</v>
      </c>
      <c r="N741">
        <v>32</v>
      </c>
      <c r="O741">
        <v>48</v>
      </c>
      <c r="P741">
        <v>32</v>
      </c>
      <c r="Q741">
        <v>32</v>
      </c>
      <c r="R741">
        <v>16</v>
      </c>
      <c r="CH741" t="str">
        <f t="shared" si="11"/>
        <v>D-0310</v>
      </c>
      <c r="CI741" s="1" t="s">
        <v>102</v>
      </c>
    </row>
    <row r="742" spans="1:87">
      <c r="A742" t="s">
        <v>1688</v>
      </c>
      <c r="B742">
        <v>120</v>
      </c>
      <c r="C742" t="s">
        <v>1550</v>
      </c>
      <c r="D742" t="s">
        <v>261</v>
      </c>
      <c r="E742" t="s">
        <v>629</v>
      </c>
      <c r="F742" t="s">
        <v>635</v>
      </c>
      <c r="G742" t="s">
        <v>1551</v>
      </c>
      <c r="L742">
        <v>20</v>
      </c>
      <c r="M742">
        <v>20</v>
      </c>
      <c r="O742">
        <v>30</v>
      </c>
      <c r="P742">
        <v>10</v>
      </c>
      <c r="Q742">
        <v>20</v>
      </c>
      <c r="R742">
        <v>20</v>
      </c>
      <c r="CH742" t="str">
        <f t="shared" si="11"/>
        <v>D-0310</v>
      </c>
      <c r="CI742" s="1" t="s">
        <v>102</v>
      </c>
    </row>
    <row r="743" spans="1:87">
      <c r="A743" t="s">
        <v>1689</v>
      </c>
      <c r="B743">
        <v>312</v>
      </c>
      <c r="C743" t="s">
        <v>1550</v>
      </c>
      <c r="D743" t="s">
        <v>261</v>
      </c>
      <c r="E743" t="s">
        <v>629</v>
      </c>
      <c r="F743" t="s">
        <v>635</v>
      </c>
      <c r="G743" t="s">
        <v>1551</v>
      </c>
      <c r="N743">
        <v>24</v>
      </c>
      <c r="P743">
        <v>36</v>
      </c>
      <c r="R743">
        <v>96</v>
      </c>
      <c r="T743">
        <v>96</v>
      </c>
      <c r="V743">
        <v>48</v>
      </c>
      <c r="X743">
        <v>12</v>
      </c>
      <c r="CH743" t="str">
        <f t="shared" si="11"/>
        <v>D-0310</v>
      </c>
      <c r="CI743" s="1" t="s">
        <v>102</v>
      </c>
    </row>
    <row r="744" spans="1:87">
      <c r="A744" t="s">
        <v>1695</v>
      </c>
      <c r="B744">
        <v>240</v>
      </c>
      <c r="C744" t="s">
        <v>1550</v>
      </c>
      <c r="D744" t="s">
        <v>261</v>
      </c>
      <c r="E744" t="s">
        <v>629</v>
      </c>
      <c r="F744" t="s">
        <v>635</v>
      </c>
      <c r="G744" t="s">
        <v>1551</v>
      </c>
      <c r="L744">
        <v>12</v>
      </c>
      <c r="N744">
        <v>24</v>
      </c>
      <c r="P744">
        <v>36</v>
      </c>
      <c r="R744">
        <v>48</v>
      </c>
      <c r="T744">
        <v>48</v>
      </c>
      <c r="V744">
        <v>36</v>
      </c>
      <c r="X744">
        <v>24</v>
      </c>
      <c r="Z744">
        <v>12</v>
      </c>
      <c r="CH744" t="str">
        <f t="shared" si="11"/>
        <v>D-0310</v>
      </c>
      <c r="CI744" s="1" t="s">
        <v>102</v>
      </c>
    </row>
    <row r="745" spans="1:87">
      <c r="A745" t="s">
        <v>1702</v>
      </c>
      <c r="B745">
        <v>207</v>
      </c>
      <c r="C745" t="s">
        <v>1550</v>
      </c>
      <c r="D745" t="s">
        <v>261</v>
      </c>
      <c r="E745" t="s">
        <v>629</v>
      </c>
      <c r="F745" t="s">
        <v>635</v>
      </c>
      <c r="G745" t="s">
        <v>1551</v>
      </c>
      <c r="L745">
        <v>23</v>
      </c>
      <c r="N745">
        <v>46</v>
      </c>
      <c r="P745">
        <v>69</v>
      </c>
      <c r="R745">
        <v>46</v>
      </c>
      <c r="T745">
        <v>23</v>
      </c>
      <c r="CH745" t="str">
        <f t="shared" si="11"/>
        <v>D-0310</v>
      </c>
      <c r="CI745" s="1" t="s">
        <v>102</v>
      </c>
    </row>
    <row r="746" spans="1:87">
      <c r="A746" t="s">
        <v>1705</v>
      </c>
      <c r="B746">
        <v>456</v>
      </c>
      <c r="C746" t="s">
        <v>1704</v>
      </c>
      <c r="D746" t="s">
        <v>261</v>
      </c>
      <c r="E746" t="s">
        <v>629</v>
      </c>
      <c r="F746" t="s">
        <v>635</v>
      </c>
      <c r="G746" t="s">
        <v>1551</v>
      </c>
      <c r="L746">
        <v>12</v>
      </c>
      <c r="N746">
        <v>48</v>
      </c>
      <c r="P746">
        <v>96</v>
      </c>
      <c r="R746">
        <v>156</v>
      </c>
      <c r="T746">
        <v>108</v>
      </c>
      <c r="V746">
        <v>36</v>
      </c>
      <c r="CH746" t="str">
        <f t="shared" si="11"/>
        <v>D-0310</v>
      </c>
      <c r="CI746" s="1" t="s">
        <v>102</v>
      </c>
    </row>
    <row r="747" spans="1:87">
      <c r="A747" t="s">
        <v>1706</v>
      </c>
      <c r="B747">
        <v>192</v>
      </c>
      <c r="C747" t="s">
        <v>1704</v>
      </c>
      <c r="D747" t="s">
        <v>261</v>
      </c>
      <c r="E747" t="s">
        <v>629</v>
      </c>
      <c r="F747" t="s">
        <v>635</v>
      </c>
      <c r="G747" t="s">
        <v>1551</v>
      </c>
      <c r="N747">
        <v>12</v>
      </c>
      <c r="P747">
        <v>24</v>
      </c>
      <c r="R747">
        <v>36</v>
      </c>
      <c r="T747">
        <v>36</v>
      </c>
      <c r="V747">
        <v>24</v>
      </c>
      <c r="X747">
        <v>24</v>
      </c>
      <c r="Z747">
        <v>24</v>
      </c>
      <c r="AB747">
        <v>12</v>
      </c>
      <c r="CH747" t="str">
        <f t="shared" si="11"/>
        <v>D-0310</v>
      </c>
      <c r="CI747" s="1" t="s">
        <v>102</v>
      </c>
    </row>
    <row r="748" spans="1:87">
      <c r="A748" t="s">
        <v>1707</v>
      </c>
      <c r="B748">
        <v>102</v>
      </c>
      <c r="C748" t="s">
        <v>1704</v>
      </c>
      <c r="D748" t="s">
        <v>261</v>
      </c>
      <c r="E748" t="s">
        <v>629</v>
      </c>
      <c r="F748" t="s">
        <v>635</v>
      </c>
      <c r="G748" t="s">
        <v>1551</v>
      </c>
      <c r="N748">
        <v>24</v>
      </c>
      <c r="P748">
        <v>36</v>
      </c>
      <c r="R748">
        <v>42</v>
      </c>
      <c r="CH748" t="str">
        <f t="shared" si="11"/>
        <v>D-0310</v>
      </c>
      <c r="CI748" s="1" t="s">
        <v>102</v>
      </c>
    </row>
    <row r="749" spans="1:87">
      <c r="A749" t="s">
        <v>2199</v>
      </c>
      <c r="B749">
        <v>32</v>
      </c>
      <c r="C749" t="s">
        <v>1550</v>
      </c>
      <c r="D749" t="s">
        <v>261</v>
      </c>
      <c r="E749" t="s">
        <v>629</v>
      </c>
      <c r="F749" t="s">
        <v>635</v>
      </c>
      <c r="G749" t="s">
        <v>1551</v>
      </c>
      <c r="V749">
        <v>16</v>
      </c>
      <c r="X749">
        <v>16</v>
      </c>
      <c r="CH749" t="str">
        <f t="shared" si="11"/>
        <v>D-0310</v>
      </c>
      <c r="CI749" s="1" t="s">
        <v>102</v>
      </c>
    </row>
    <row r="750" spans="1:87">
      <c r="A750" t="s">
        <v>2200</v>
      </c>
      <c r="B750">
        <v>42</v>
      </c>
      <c r="C750" t="s">
        <v>1550</v>
      </c>
      <c r="D750" t="s">
        <v>261</v>
      </c>
      <c r="E750" t="s">
        <v>629</v>
      </c>
      <c r="F750" t="s">
        <v>635</v>
      </c>
      <c r="G750" t="s">
        <v>1551</v>
      </c>
      <c r="V750">
        <v>21</v>
      </c>
      <c r="X750">
        <v>21</v>
      </c>
      <c r="CH750" t="str">
        <f t="shared" si="11"/>
        <v>D-0310</v>
      </c>
      <c r="CI750" s="1" t="s">
        <v>102</v>
      </c>
    </row>
    <row r="751" spans="1:87">
      <c r="A751" t="s">
        <v>2201</v>
      </c>
      <c r="B751">
        <v>36</v>
      </c>
      <c r="C751" t="s">
        <v>1550</v>
      </c>
      <c r="D751" t="s">
        <v>261</v>
      </c>
      <c r="E751" t="s">
        <v>629</v>
      </c>
      <c r="F751" t="s">
        <v>635</v>
      </c>
      <c r="G751" t="s">
        <v>1551</v>
      </c>
      <c r="V751">
        <v>18</v>
      </c>
      <c r="X751">
        <v>18</v>
      </c>
      <c r="CH751" t="str">
        <f t="shared" si="11"/>
        <v>D-0310</v>
      </c>
      <c r="CI751" s="1" t="s">
        <v>102</v>
      </c>
    </row>
    <row r="752" spans="1:87">
      <c r="A752" t="s">
        <v>2202</v>
      </c>
      <c r="B752">
        <v>34</v>
      </c>
      <c r="C752" t="s">
        <v>1550</v>
      </c>
      <c r="D752" t="s">
        <v>261</v>
      </c>
      <c r="E752" t="s">
        <v>629</v>
      </c>
      <c r="F752" t="s">
        <v>635</v>
      </c>
      <c r="G752" t="s">
        <v>1551</v>
      </c>
      <c r="V752">
        <v>17</v>
      </c>
      <c r="X752">
        <v>17</v>
      </c>
      <c r="CH752" t="str">
        <f t="shared" si="11"/>
        <v>D-0310</v>
      </c>
      <c r="CI752" s="1" t="s">
        <v>102</v>
      </c>
    </row>
    <row r="753" spans="1:87">
      <c r="A753" t="s">
        <v>2203</v>
      </c>
      <c r="B753">
        <v>10</v>
      </c>
      <c r="C753" t="s">
        <v>1704</v>
      </c>
      <c r="D753" t="s">
        <v>261</v>
      </c>
      <c r="E753" t="s">
        <v>629</v>
      </c>
      <c r="F753" t="s">
        <v>635</v>
      </c>
      <c r="G753" t="s">
        <v>1551</v>
      </c>
      <c r="V753">
        <v>5</v>
      </c>
      <c r="X753">
        <v>5</v>
      </c>
      <c r="CH753" t="str">
        <f t="shared" si="11"/>
        <v>D-0310</v>
      </c>
      <c r="CI753" s="1" t="s">
        <v>102</v>
      </c>
    </row>
    <row r="754" spans="1:87">
      <c r="A754" t="s">
        <v>1675</v>
      </c>
      <c r="B754">
        <v>1932</v>
      </c>
      <c r="C754" t="s">
        <v>1676</v>
      </c>
      <c r="D754" t="s">
        <v>261</v>
      </c>
      <c r="E754" t="s">
        <v>629</v>
      </c>
      <c r="F754" t="s">
        <v>635</v>
      </c>
      <c r="G754" t="s">
        <v>1677</v>
      </c>
      <c r="L754">
        <v>48</v>
      </c>
      <c r="M754">
        <v>96</v>
      </c>
      <c r="N754">
        <v>60</v>
      </c>
      <c r="O754">
        <v>120</v>
      </c>
      <c r="P754">
        <v>108</v>
      </c>
      <c r="Q754">
        <v>144</v>
      </c>
      <c r="R754">
        <v>180</v>
      </c>
      <c r="S754">
        <v>120</v>
      </c>
      <c r="T754">
        <v>144</v>
      </c>
      <c r="U754">
        <v>168</v>
      </c>
      <c r="V754">
        <v>120</v>
      </c>
      <c r="W754">
        <v>192</v>
      </c>
      <c r="X754">
        <v>108</v>
      </c>
      <c r="Y754">
        <v>168</v>
      </c>
      <c r="Z754">
        <v>60</v>
      </c>
      <c r="AA754">
        <v>48</v>
      </c>
      <c r="AB754">
        <v>48</v>
      </c>
      <c r="CH754" t="str">
        <f t="shared" si="11"/>
        <v>D-0310</v>
      </c>
      <c r="CI754" s="1" t="s">
        <v>102</v>
      </c>
    </row>
    <row r="755" spans="1:87">
      <c r="A755" t="s">
        <v>1733</v>
      </c>
      <c r="B755">
        <v>1896</v>
      </c>
      <c r="C755" t="s">
        <v>1734</v>
      </c>
      <c r="D755" t="s">
        <v>261</v>
      </c>
      <c r="E755" t="s">
        <v>629</v>
      </c>
      <c r="F755" t="s">
        <v>635</v>
      </c>
      <c r="G755" t="s">
        <v>1677</v>
      </c>
      <c r="L755">
        <v>60</v>
      </c>
      <c r="M755">
        <v>180</v>
      </c>
      <c r="N755">
        <v>120</v>
      </c>
      <c r="O755">
        <v>132</v>
      </c>
      <c r="P755">
        <v>240</v>
      </c>
      <c r="Q755">
        <v>108</v>
      </c>
      <c r="R755">
        <v>180</v>
      </c>
      <c r="S755">
        <v>144</v>
      </c>
      <c r="T755">
        <v>132</v>
      </c>
      <c r="U755">
        <v>96</v>
      </c>
      <c r="V755">
        <v>144</v>
      </c>
      <c r="W755">
        <v>36</v>
      </c>
      <c r="X755">
        <v>108</v>
      </c>
      <c r="Y755">
        <v>36</v>
      </c>
      <c r="Z755">
        <v>108</v>
      </c>
      <c r="AA755">
        <v>36</v>
      </c>
      <c r="AB755">
        <v>36</v>
      </c>
      <c r="CH755" t="str">
        <f t="shared" si="11"/>
        <v>D-0310</v>
      </c>
      <c r="CI755" s="1" t="s">
        <v>102</v>
      </c>
    </row>
    <row r="756" spans="1:87">
      <c r="A756" t="s">
        <v>2198</v>
      </c>
      <c r="B756">
        <v>10</v>
      </c>
      <c r="C756" t="s">
        <v>1676</v>
      </c>
      <c r="D756" t="s">
        <v>261</v>
      </c>
      <c r="E756" t="s">
        <v>629</v>
      </c>
      <c r="F756" t="s">
        <v>635</v>
      </c>
      <c r="G756" t="s">
        <v>1677</v>
      </c>
      <c r="V756">
        <v>5</v>
      </c>
      <c r="X756">
        <v>5</v>
      </c>
      <c r="CH756" t="str">
        <f t="shared" si="11"/>
        <v>D-0310</v>
      </c>
      <c r="CI756" s="1" t="s">
        <v>102</v>
      </c>
    </row>
    <row r="757" spans="1:87">
      <c r="A757" t="s">
        <v>2207</v>
      </c>
      <c r="B757">
        <v>10</v>
      </c>
      <c r="C757" t="s">
        <v>1734</v>
      </c>
      <c r="D757" t="s">
        <v>261</v>
      </c>
      <c r="E757" t="s">
        <v>629</v>
      </c>
      <c r="F757" t="s">
        <v>635</v>
      </c>
      <c r="G757" t="s">
        <v>1677</v>
      </c>
      <c r="V757">
        <v>5</v>
      </c>
      <c r="X757">
        <v>5</v>
      </c>
      <c r="CH757" t="str">
        <f t="shared" si="11"/>
        <v>D-0310</v>
      </c>
      <c r="CI757" s="1" t="s">
        <v>102</v>
      </c>
    </row>
    <row r="758" spans="1:87">
      <c r="A758" t="s">
        <v>2028</v>
      </c>
      <c r="B758">
        <v>1392</v>
      </c>
      <c r="C758" t="s">
        <v>2014</v>
      </c>
      <c r="D758" t="s">
        <v>133</v>
      </c>
      <c r="E758" t="s">
        <v>629</v>
      </c>
      <c r="F758" t="s">
        <v>635</v>
      </c>
      <c r="G758" t="s">
        <v>2015</v>
      </c>
      <c r="L758">
        <v>240</v>
      </c>
      <c r="N758">
        <v>504</v>
      </c>
      <c r="P758">
        <v>408</v>
      </c>
      <c r="R758">
        <v>240</v>
      </c>
      <c r="CH758" t="str">
        <f t="shared" si="11"/>
        <v>D-0036</v>
      </c>
      <c r="CI758" s="1" t="s">
        <v>102</v>
      </c>
    </row>
    <row r="759" spans="1:87">
      <c r="A759" t="s">
        <v>2029</v>
      </c>
      <c r="B759">
        <v>456</v>
      </c>
      <c r="C759" t="s">
        <v>2014</v>
      </c>
      <c r="D759" t="s">
        <v>133</v>
      </c>
      <c r="E759" t="s">
        <v>629</v>
      </c>
      <c r="F759" t="s">
        <v>635</v>
      </c>
      <c r="G759" t="s">
        <v>2015</v>
      </c>
      <c r="L759">
        <v>36</v>
      </c>
      <c r="N759">
        <v>60</v>
      </c>
      <c r="P759">
        <v>120</v>
      </c>
      <c r="R759">
        <v>132</v>
      </c>
      <c r="T759">
        <v>72</v>
      </c>
      <c r="V759">
        <v>36</v>
      </c>
      <c r="CH759" t="str">
        <f t="shared" si="11"/>
        <v>D-0036</v>
      </c>
      <c r="CI759" s="1" t="s">
        <v>102</v>
      </c>
    </row>
    <row r="760" spans="1:87">
      <c r="A760" t="s">
        <v>2244</v>
      </c>
      <c r="B760">
        <v>10</v>
      </c>
      <c r="C760" t="s">
        <v>2018</v>
      </c>
      <c r="D760" t="s">
        <v>133</v>
      </c>
      <c r="E760" t="s">
        <v>642</v>
      </c>
      <c r="F760" t="s">
        <v>635</v>
      </c>
      <c r="G760" t="s">
        <v>2015</v>
      </c>
      <c r="V760">
        <v>5</v>
      </c>
      <c r="X760">
        <v>5</v>
      </c>
      <c r="CH760" t="str">
        <f t="shared" si="11"/>
        <v>D-0036</v>
      </c>
      <c r="CI760" s="1" t="s">
        <v>102</v>
      </c>
    </row>
    <row r="761" spans="1:87">
      <c r="A761" t="s">
        <v>2245</v>
      </c>
      <c r="B761">
        <v>10</v>
      </c>
      <c r="C761" t="s">
        <v>2018</v>
      </c>
      <c r="D761" t="s">
        <v>133</v>
      </c>
      <c r="E761" t="s">
        <v>642</v>
      </c>
      <c r="F761" t="s">
        <v>635</v>
      </c>
      <c r="G761" t="s">
        <v>2015</v>
      </c>
      <c r="V761">
        <v>5</v>
      </c>
      <c r="X761">
        <v>5</v>
      </c>
      <c r="CH761" t="str">
        <f t="shared" si="11"/>
        <v>D-0036</v>
      </c>
      <c r="CI761" s="1" t="s">
        <v>102</v>
      </c>
    </row>
    <row r="762" spans="1:87">
      <c r="A762" t="s">
        <v>2246</v>
      </c>
      <c r="B762">
        <v>14</v>
      </c>
      <c r="C762" t="s">
        <v>2014</v>
      </c>
      <c r="D762" t="s">
        <v>133</v>
      </c>
      <c r="E762" t="s">
        <v>629</v>
      </c>
      <c r="F762" t="s">
        <v>635</v>
      </c>
      <c r="G762" t="s">
        <v>2015</v>
      </c>
      <c r="V762">
        <v>7</v>
      </c>
      <c r="X762">
        <v>7</v>
      </c>
      <c r="CH762" t="str">
        <f t="shared" si="11"/>
        <v>D-0036</v>
      </c>
      <c r="CI762" s="1" t="s">
        <v>102</v>
      </c>
    </row>
    <row r="763" spans="1:87">
      <c r="A763" t="s">
        <v>2247</v>
      </c>
      <c r="B763">
        <v>16</v>
      </c>
      <c r="C763" t="s">
        <v>2014</v>
      </c>
      <c r="D763" t="s">
        <v>133</v>
      </c>
      <c r="E763" t="s">
        <v>629</v>
      </c>
      <c r="F763" t="s">
        <v>635</v>
      </c>
      <c r="G763" t="s">
        <v>2015</v>
      </c>
      <c r="V763">
        <v>8</v>
      </c>
      <c r="X763">
        <v>8</v>
      </c>
      <c r="CH763" t="str">
        <f t="shared" si="11"/>
        <v>D-0036</v>
      </c>
      <c r="CI763" s="1" t="s">
        <v>102</v>
      </c>
    </row>
    <row r="764" spans="1:87">
      <c r="A764" t="s">
        <v>2248</v>
      </c>
      <c r="B764">
        <v>16</v>
      </c>
      <c r="C764" t="s">
        <v>2014</v>
      </c>
      <c r="D764" t="s">
        <v>133</v>
      </c>
      <c r="E764" t="s">
        <v>629</v>
      </c>
      <c r="F764" t="s">
        <v>635</v>
      </c>
      <c r="G764" t="s">
        <v>2015</v>
      </c>
      <c r="V764">
        <v>8</v>
      </c>
      <c r="X764">
        <v>8</v>
      </c>
      <c r="CH764" t="str">
        <f t="shared" si="11"/>
        <v>D-0036</v>
      </c>
      <c r="CI764" s="1" t="s">
        <v>102</v>
      </c>
    </row>
    <row r="765" spans="1:87">
      <c r="A765" t="s">
        <v>2249</v>
      </c>
      <c r="B765">
        <v>14</v>
      </c>
      <c r="C765" t="s">
        <v>2014</v>
      </c>
      <c r="D765" t="s">
        <v>133</v>
      </c>
      <c r="E765" t="s">
        <v>629</v>
      </c>
      <c r="F765" t="s">
        <v>635</v>
      </c>
      <c r="G765" t="s">
        <v>2015</v>
      </c>
      <c r="V765">
        <v>7</v>
      </c>
      <c r="X765">
        <v>7</v>
      </c>
      <c r="CH765" t="str">
        <f t="shared" si="11"/>
        <v>D-0036</v>
      </c>
      <c r="CI765" s="1" t="s">
        <v>102</v>
      </c>
    </row>
    <row r="766" spans="1:87">
      <c r="A766" t="s">
        <v>2250</v>
      </c>
      <c r="B766">
        <v>10</v>
      </c>
      <c r="C766" t="s">
        <v>2014</v>
      </c>
      <c r="D766" t="s">
        <v>133</v>
      </c>
      <c r="E766" t="s">
        <v>629</v>
      </c>
      <c r="F766" t="s">
        <v>635</v>
      </c>
      <c r="G766" t="s">
        <v>2015</v>
      </c>
      <c r="V766">
        <v>5</v>
      </c>
      <c r="X766">
        <v>5</v>
      </c>
      <c r="CH766" t="str">
        <f t="shared" si="11"/>
        <v>D-0036</v>
      </c>
      <c r="CI766" s="1" t="s">
        <v>102</v>
      </c>
    </row>
    <row r="767" spans="1:87">
      <c r="A767" t="s">
        <v>2251</v>
      </c>
      <c r="B767">
        <v>16</v>
      </c>
      <c r="C767" t="s">
        <v>2030</v>
      </c>
      <c r="D767" t="s">
        <v>133</v>
      </c>
      <c r="E767" t="s">
        <v>642</v>
      </c>
      <c r="F767" t="s">
        <v>635</v>
      </c>
      <c r="G767" t="s">
        <v>2015</v>
      </c>
      <c r="V767">
        <v>8</v>
      </c>
      <c r="X767">
        <v>8</v>
      </c>
      <c r="CH767" t="str">
        <f t="shared" si="11"/>
        <v>D-0036</v>
      </c>
      <c r="CI767" s="1" t="s">
        <v>102</v>
      </c>
    </row>
    <row r="768" spans="1:87">
      <c r="A768" t="s">
        <v>2253</v>
      </c>
      <c r="B768">
        <v>24</v>
      </c>
      <c r="C768" t="s">
        <v>2030</v>
      </c>
      <c r="D768" t="s">
        <v>133</v>
      </c>
      <c r="E768" t="s">
        <v>642</v>
      </c>
      <c r="F768" t="s">
        <v>635</v>
      </c>
      <c r="G768" t="s">
        <v>2015</v>
      </c>
      <c r="V768">
        <v>12</v>
      </c>
      <c r="X768">
        <v>12</v>
      </c>
      <c r="CH768" t="str">
        <f t="shared" si="11"/>
        <v>D-0036</v>
      </c>
      <c r="CI768" s="1" t="s">
        <v>102</v>
      </c>
    </row>
    <row r="769" spans="1:87">
      <c r="A769" t="s">
        <v>2016</v>
      </c>
      <c r="B769">
        <v>120</v>
      </c>
      <c r="C769" t="s">
        <v>2014</v>
      </c>
      <c r="D769" t="s">
        <v>133</v>
      </c>
      <c r="E769" t="s">
        <v>629</v>
      </c>
      <c r="F769" t="s">
        <v>635</v>
      </c>
      <c r="G769" t="s">
        <v>2015</v>
      </c>
      <c r="M769">
        <v>12</v>
      </c>
      <c r="O769">
        <v>12</v>
      </c>
      <c r="P769">
        <v>12</v>
      </c>
      <c r="Q769">
        <v>24</v>
      </c>
      <c r="R769">
        <v>24</v>
      </c>
      <c r="S769">
        <v>12</v>
      </c>
      <c r="T769">
        <v>12</v>
      </c>
      <c r="U769">
        <v>12</v>
      </c>
      <c r="CH769" t="str">
        <f t="shared" si="11"/>
        <v>D-0036</v>
      </c>
      <c r="CI769" s="1" t="s">
        <v>102</v>
      </c>
    </row>
    <row r="770" spans="1:87">
      <c r="A770" t="s">
        <v>2017</v>
      </c>
      <c r="B770">
        <v>120</v>
      </c>
      <c r="C770" t="s">
        <v>2014</v>
      </c>
      <c r="D770" t="s">
        <v>133</v>
      </c>
      <c r="E770" t="s">
        <v>629</v>
      </c>
      <c r="F770" t="s">
        <v>635</v>
      </c>
      <c r="G770" t="s">
        <v>2015</v>
      </c>
      <c r="M770">
        <v>12</v>
      </c>
      <c r="O770">
        <v>12</v>
      </c>
      <c r="P770">
        <v>12</v>
      </c>
      <c r="Q770">
        <v>24</v>
      </c>
      <c r="R770">
        <v>24</v>
      </c>
      <c r="S770">
        <v>12</v>
      </c>
      <c r="T770">
        <v>12</v>
      </c>
      <c r="U770">
        <v>12</v>
      </c>
      <c r="CH770" t="str">
        <f t="shared" ref="CH770:CH833" si="12">TRIM(IFERROR(IFERROR(MID($D770,FIND("(D-",$D770)+1,6),LEFT($D770,FIND("(",$D770)-1)),$D770))</f>
        <v>D-0036</v>
      </c>
      <c r="CI770" s="1" t="s">
        <v>102</v>
      </c>
    </row>
    <row r="771" spans="1:87">
      <c r="A771" t="s">
        <v>2020</v>
      </c>
      <c r="B771">
        <v>264</v>
      </c>
      <c r="C771" t="s">
        <v>2014</v>
      </c>
      <c r="D771" t="s">
        <v>133</v>
      </c>
      <c r="E771" t="s">
        <v>629</v>
      </c>
      <c r="F771" t="s">
        <v>635</v>
      </c>
      <c r="G771" t="s">
        <v>2015</v>
      </c>
      <c r="L771">
        <v>44</v>
      </c>
      <c r="M771">
        <v>22</v>
      </c>
      <c r="N771">
        <v>44</v>
      </c>
      <c r="O771">
        <v>44</v>
      </c>
      <c r="P771">
        <v>44</v>
      </c>
      <c r="R771">
        <v>22</v>
      </c>
      <c r="S771">
        <v>22</v>
      </c>
      <c r="U771">
        <v>22</v>
      </c>
      <c r="CH771" t="str">
        <f t="shared" si="12"/>
        <v>D-0036</v>
      </c>
      <c r="CI771" s="1" t="s">
        <v>102</v>
      </c>
    </row>
    <row r="772" spans="1:87">
      <c r="A772" t="s">
        <v>2019</v>
      </c>
      <c r="B772">
        <v>804</v>
      </c>
      <c r="C772" t="s">
        <v>2014</v>
      </c>
      <c r="D772" t="s">
        <v>133</v>
      </c>
      <c r="E772" t="s">
        <v>629</v>
      </c>
      <c r="F772" t="s">
        <v>635</v>
      </c>
      <c r="G772" t="s">
        <v>2015</v>
      </c>
      <c r="M772">
        <v>84</v>
      </c>
      <c r="N772">
        <v>96</v>
      </c>
      <c r="O772">
        <v>132</v>
      </c>
      <c r="P772">
        <v>96</v>
      </c>
      <c r="Q772">
        <v>180</v>
      </c>
      <c r="R772">
        <v>120</v>
      </c>
      <c r="S772">
        <v>48</v>
      </c>
      <c r="T772">
        <v>24</v>
      </c>
      <c r="U772">
        <v>24</v>
      </c>
      <c r="CH772" t="str">
        <f t="shared" si="12"/>
        <v>D-0036</v>
      </c>
      <c r="CI772" s="1" t="s">
        <v>102</v>
      </c>
    </row>
    <row r="773" spans="1:87">
      <c r="A773" t="s">
        <v>2021</v>
      </c>
      <c r="B773">
        <v>312</v>
      </c>
      <c r="C773" t="s">
        <v>2014</v>
      </c>
      <c r="D773" t="s">
        <v>133</v>
      </c>
      <c r="E773" t="s">
        <v>629</v>
      </c>
      <c r="F773" t="s">
        <v>635</v>
      </c>
      <c r="G773" t="s">
        <v>2015</v>
      </c>
      <c r="L773">
        <v>26</v>
      </c>
      <c r="M773">
        <v>52</v>
      </c>
      <c r="N773">
        <v>52</v>
      </c>
      <c r="O773">
        <v>52</v>
      </c>
      <c r="P773">
        <v>52</v>
      </c>
      <c r="Q773">
        <v>26</v>
      </c>
      <c r="R773">
        <v>26</v>
      </c>
      <c r="S773">
        <v>26</v>
      </c>
      <c r="CH773" t="str">
        <f t="shared" si="12"/>
        <v>D-0036</v>
      </c>
      <c r="CI773" s="1" t="s">
        <v>102</v>
      </c>
    </row>
    <row r="774" spans="1:87">
      <c r="A774" t="s">
        <v>2022</v>
      </c>
      <c r="B774">
        <v>360</v>
      </c>
      <c r="C774" t="s">
        <v>2014</v>
      </c>
      <c r="D774" t="s">
        <v>133</v>
      </c>
      <c r="E774" t="s">
        <v>629</v>
      </c>
      <c r="F774" t="s">
        <v>635</v>
      </c>
      <c r="G774" t="s">
        <v>2015</v>
      </c>
      <c r="L774">
        <v>30</v>
      </c>
      <c r="M774">
        <v>60</v>
      </c>
      <c r="N774">
        <v>30</v>
      </c>
      <c r="O774">
        <v>90</v>
      </c>
      <c r="P774">
        <v>60</v>
      </c>
      <c r="Q774">
        <v>30</v>
      </c>
      <c r="R774">
        <v>30</v>
      </c>
      <c r="S774">
        <v>30</v>
      </c>
      <c r="CH774" t="str">
        <f t="shared" si="12"/>
        <v>D-0036</v>
      </c>
      <c r="CI774" s="1" t="s">
        <v>102</v>
      </c>
    </row>
    <row r="775" spans="1:87">
      <c r="A775" t="s">
        <v>2023</v>
      </c>
      <c r="B775">
        <v>144</v>
      </c>
      <c r="C775" t="s">
        <v>2014</v>
      </c>
      <c r="D775" t="s">
        <v>133</v>
      </c>
      <c r="E775" t="s">
        <v>629</v>
      </c>
      <c r="F775" t="s">
        <v>635</v>
      </c>
      <c r="G775" t="s">
        <v>2015</v>
      </c>
      <c r="L775">
        <v>12</v>
      </c>
      <c r="N775">
        <v>24</v>
      </c>
      <c r="P775">
        <v>36</v>
      </c>
      <c r="R775">
        <v>36</v>
      </c>
      <c r="T775">
        <v>24</v>
      </c>
      <c r="V775">
        <v>12</v>
      </c>
      <c r="CH775" t="str">
        <f t="shared" si="12"/>
        <v>D-0036</v>
      </c>
      <c r="CI775" s="1" t="s">
        <v>102</v>
      </c>
    </row>
    <row r="776" spans="1:87">
      <c r="A776" t="s">
        <v>2027</v>
      </c>
      <c r="B776">
        <v>216</v>
      </c>
      <c r="C776" t="s">
        <v>2014</v>
      </c>
      <c r="D776" t="s">
        <v>133</v>
      </c>
      <c r="E776" t="s">
        <v>629</v>
      </c>
      <c r="F776" t="s">
        <v>635</v>
      </c>
      <c r="G776" t="s">
        <v>2015</v>
      </c>
      <c r="L776">
        <v>12</v>
      </c>
      <c r="N776">
        <v>24</v>
      </c>
      <c r="P776">
        <v>48</v>
      </c>
      <c r="R776">
        <v>48</v>
      </c>
      <c r="T776">
        <v>48</v>
      </c>
      <c r="V776">
        <v>24</v>
      </c>
      <c r="X776">
        <v>12</v>
      </c>
      <c r="CH776" t="str">
        <f t="shared" si="12"/>
        <v>D-0036</v>
      </c>
      <c r="CI776" s="1" t="s">
        <v>102</v>
      </c>
    </row>
    <row r="777" spans="1:87">
      <c r="A777" t="s">
        <v>1407</v>
      </c>
      <c r="B777">
        <v>2969</v>
      </c>
      <c r="C777" t="s">
        <v>671</v>
      </c>
      <c r="D777" t="s">
        <v>457</v>
      </c>
      <c r="E777" t="s">
        <v>629</v>
      </c>
      <c r="F777" t="s">
        <v>672</v>
      </c>
      <c r="G777" t="s">
        <v>673</v>
      </c>
      <c r="N777">
        <v>162</v>
      </c>
      <c r="O777">
        <v>186</v>
      </c>
      <c r="P777">
        <v>288</v>
      </c>
      <c r="Q777">
        <v>276</v>
      </c>
      <c r="R777">
        <v>384</v>
      </c>
      <c r="S777">
        <v>300</v>
      </c>
      <c r="T777">
        <v>270</v>
      </c>
      <c r="U777">
        <v>144</v>
      </c>
      <c r="V777">
        <v>227</v>
      </c>
      <c r="W777">
        <v>96</v>
      </c>
      <c r="X777">
        <v>234</v>
      </c>
      <c r="Y777">
        <v>96</v>
      </c>
      <c r="Z777">
        <v>144</v>
      </c>
      <c r="AA777">
        <v>36</v>
      </c>
      <c r="AB777">
        <v>84</v>
      </c>
      <c r="AD777">
        <v>42</v>
      </c>
      <c r="CH777" t="str">
        <f t="shared" si="12"/>
        <v>JV1-0695-3</v>
      </c>
      <c r="CI777" s="1" t="s">
        <v>102</v>
      </c>
    </row>
    <row r="778" spans="1:87">
      <c r="A778" t="s">
        <v>2921</v>
      </c>
      <c r="B778">
        <v>749</v>
      </c>
      <c r="C778" t="s">
        <v>1166</v>
      </c>
      <c r="D778" t="s">
        <v>457</v>
      </c>
      <c r="E778" t="s">
        <v>629</v>
      </c>
      <c r="F778" t="s">
        <v>672</v>
      </c>
      <c r="G778" t="s">
        <v>673</v>
      </c>
      <c r="O778">
        <v>54</v>
      </c>
      <c r="P778">
        <v>66</v>
      </c>
      <c r="Q778">
        <v>108</v>
      </c>
      <c r="R778">
        <v>108</v>
      </c>
      <c r="S778">
        <v>132</v>
      </c>
      <c r="T778">
        <v>108</v>
      </c>
      <c r="U778">
        <v>107</v>
      </c>
      <c r="V778">
        <v>36</v>
      </c>
      <c r="W778">
        <v>24</v>
      </c>
      <c r="Y778">
        <v>6</v>
      </c>
      <c r="CH778" t="str">
        <f t="shared" si="12"/>
        <v>JV1-0695-3</v>
      </c>
      <c r="CI778" s="1" t="s">
        <v>102</v>
      </c>
    </row>
    <row r="779" spans="1:87">
      <c r="A779" t="s">
        <v>2922</v>
      </c>
      <c r="B779">
        <v>1055</v>
      </c>
      <c r="C779" t="s">
        <v>1166</v>
      </c>
      <c r="D779" t="s">
        <v>457</v>
      </c>
      <c r="E779" t="s">
        <v>629</v>
      </c>
      <c r="F779" t="s">
        <v>672</v>
      </c>
      <c r="G779" t="s">
        <v>673</v>
      </c>
      <c r="O779">
        <v>72</v>
      </c>
      <c r="P779">
        <v>96</v>
      </c>
      <c r="Q779">
        <v>144</v>
      </c>
      <c r="R779">
        <v>150</v>
      </c>
      <c r="S779">
        <v>174</v>
      </c>
      <c r="T779">
        <v>138</v>
      </c>
      <c r="U779">
        <v>131</v>
      </c>
      <c r="V779">
        <v>60</v>
      </c>
      <c r="W779">
        <v>54</v>
      </c>
      <c r="Y779">
        <v>36</v>
      </c>
      <c r="CH779" t="str">
        <f t="shared" si="12"/>
        <v>JV1-0695-3</v>
      </c>
      <c r="CI779" s="1" t="s">
        <v>102</v>
      </c>
    </row>
    <row r="780" spans="1:87">
      <c r="A780" t="s">
        <v>2924</v>
      </c>
      <c r="B780">
        <v>1067</v>
      </c>
      <c r="C780" t="s">
        <v>1166</v>
      </c>
      <c r="D780" t="s">
        <v>457</v>
      </c>
      <c r="E780" t="s">
        <v>629</v>
      </c>
      <c r="F780" t="s">
        <v>672</v>
      </c>
      <c r="G780" t="s">
        <v>673</v>
      </c>
      <c r="O780">
        <v>78</v>
      </c>
      <c r="P780">
        <v>102</v>
      </c>
      <c r="Q780">
        <v>150</v>
      </c>
      <c r="R780">
        <v>156</v>
      </c>
      <c r="S780">
        <v>168</v>
      </c>
      <c r="T780">
        <v>144</v>
      </c>
      <c r="U780">
        <v>125</v>
      </c>
      <c r="V780">
        <v>54</v>
      </c>
      <c r="W780">
        <v>48</v>
      </c>
      <c r="Y780">
        <v>42</v>
      </c>
      <c r="CH780" t="str">
        <f t="shared" si="12"/>
        <v>JV1-0695-3</v>
      </c>
      <c r="CI780" s="1" t="s">
        <v>102</v>
      </c>
    </row>
    <row r="781" spans="1:87">
      <c r="A781" t="s">
        <v>2925</v>
      </c>
      <c r="B781">
        <v>1175</v>
      </c>
      <c r="C781" t="s">
        <v>1166</v>
      </c>
      <c r="D781" t="s">
        <v>457</v>
      </c>
      <c r="E781" t="s">
        <v>629</v>
      </c>
      <c r="F781" t="s">
        <v>672</v>
      </c>
      <c r="G781" t="s">
        <v>673</v>
      </c>
      <c r="O781">
        <v>84</v>
      </c>
      <c r="P781">
        <v>96</v>
      </c>
      <c r="Q781">
        <v>168</v>
      </c>
      <c r="R781">
        <v>174</v>
      </c>
      <c r="S781">
        <v>204</v>
      </c>
      <c r="T781">
        <v>168</v>
      </c>
      <c r="U781">
        <v>167</v>
      </c>
      <c r="V781">
        <v>60</v>
      </c>
      <c r="W781">
        <v>36</v>
      </c>
      <c r="Y781">
        <v>18</v>
      </c>
      <c r="CH781" t="str">
        <f t="shared" si="12"/>
        <v>JV1-0695-3</v>
      </c>
      <c r="CI781" s="1" t="s">
        <v>102</v>
      </c>
    </row>
    <row r="782" spans="1:87">
      <c r="A782" t="s">
        <v>2926</v>
      </c>
      <c r="B782">
        <v>827</v>
      </c>
      <c r="C782" t="s">
        <v>1166</v>
      </c>
      <c r="D782" t="s">
        <v>457</v>
      </c>
      <c r="E782" t="s">
        <v>629</v>
      </c>
      <c r="F782" t="s">
        <v>672</v>
      </c>
      <c r="G782" t="s">
        <v>673</v>
      </c>
      <c r="O782">
        <v>60</v>
      </c>
      <c r="P782">
        <v>78</v>
      </c>
      <c r="Q782">
        <v>114</v>
      </c>
      <c r="R782">
        <v>120</v>
      </c>
      <c r="S782">
        <v>126</v>
      </c>
      <c r="T782">
        <v>108</v>
      </c>
      <c r="U782">
        <v>101</v>
      </c>
      <c r="V782">
        <v>42</v>
      </c>
      <c r="W782">
        <v>42</v>
      </c>
      <c r="Y782">
        <v>36</v>
      </c>
      <c r="CH782" t="str">
        <f t="shared" si="12"/>
        <v>JV1-0695-3</v>
      </c>
      <c r="CI782" s="1" t="s">
        <v>102</v>
      </c>
    </row>
    <row r="783" spans="1:87">
      <c r="A783" t="s">
        <v>2927</v>
      </c>
      <c r="B783">
        <v>803</v>
      </c>
      <c r="C783" t="s">
        <v>1168</v>
      </c>
      <c r="D783" t="s">
        <v>457</v>
      </c>
      <c r="E783" t="s">
        <v>629</v>
      </c>
      <c r="F783" t="s">
        <v>672</v>
      </c>
      <c r="G783" t="s">
        <v>673</v>
      </c>
      <c r="O783">
        <v>66</v>
      </c>
      <c r="P783">
        <v>72</v>
      </c>
      <c r="Q783">
        <v>126</v>
      </c>
      <c r="R783">
        <v>132</v>
      </c>
      <c r="S783">
        <v>150</v>
      </c>
      <c r="T783">
        <v>126</v>
      </c>
      <c r="U783">
        <v>131</v>
      </c>
      <c r="CH783" t="str">
        <f t="shared" si="12"/>
        <v>JV1-0695-3</v>
      </c>
      <c r="CI783" s="1" t="s">
        <v>102</v>
      </c>
    </row>
    <row r="784" spans="1:87">
      <c r="A784" t="s">
        <v>2928</v>
      </c>
      <c r="B784">
        <v>947</v>
      </c>
      <c r="C784" t="s">
        <v>1168</v>
      </c>
      <c r="D784" t="s">
        <v>457</v>
      </c>
      <c r="E784" t="s">
        <v>629</v>
      </c>
      <c r="F784" t="s">
        <v>672</v>
      </c>
      <c r="G784" t="s">
        <v>673</v>
      </c>
      <c r="O784">
        <v>72</v>
      </c>
      <c r="P784">
        <v>102</v>
      </c>
      <c r="Q784">
        <v>144</v>
      </c>
      <c r="R784">
        <v>156</v>
      </c>
      <c r="S784">
        <v>174</v>
      </c>
      <c r="T784">
        <v>156</v>
      </c>
      <c r="U784">
        <v>143</v>
      </c>
      <c r="CH784" t="str">
        <f t="shared" si="12"/>
        <v>JV1-0695-3</v>
      </c>
      <c r="CI784" s="1" t="s">
        <v>102</v>
      </c>
    </row>
    <row r="785" spans="1:87">
      <c r="A785" t="s">
        <v>2929</v>
      </c>
      <c r="B785">
        <v>905</v>
      </c>
      <c r="C785" t="s">
        <v>1168</v>
      </c>
      <c r="D785" t="s">
        <v>457</v>
      </c>
      <c r="E785" t="s">
        <v>629</v>
      </c>
      <c r="F785" t="s">
        <v>672</v>
      </c>
      <c r="G785" t="s">
        <v>673</v>
      </c>
      <c r="O785">
        <v>72</v>
      </c>
      <c r="P785">
        <v>78</v>
      </c>
      <c r="Q785">
        <v>138</v>
      </c>
      <c r="R785">
        <v>150</v>
      </c>
      <c r="S785">
        <v>174</v>
      </c>
      <c r="T785">
        <v>144</v>
      </c>
      <c r="U785">
        <v>149</v>
      </c>
      <c r="CH785" t="str">
        <f t="shared" si="12"/>
        <v>JV1-0695-3</v>
      </c>
      <c r="CI785" s="1" t="s">
        <v>102</v>
      </c>
    </row>
    <row r="786" spans="1:87">
      <c r="A786" t="s">
        <v>2930</v>
      </c>
      <c r="B786">
        <v>719</v>
      </c>
      <c r="C786" t="s">
        <v>1168</v>
      </c>
      <c r="D786" t="s">
        <v>457</v>
      </c>
      <c r="E786" t="s">
        <v>629</v>
      </c>
      <c r="F786" t="s">
        <v>672</v>
      </c>
      <c r="G786" t="s">
        <v>673</v>
      </c>
      <c r="O786">
        <v>60</v>
      </c>
      <c r="P786">
        <v>78</v>
      </c>
      <c r="Q786">
        <v>108</v>
      </c>
      <c r="R786">
        <v>120</v>
      </c>
      <c r="S786">
        <v>126</v>
      </c>
      <c r="T786">
        <v>120</v>
      </c>
      <c r="U786">
        <v>107</v>
      </c>
      <c r="CH786" t="str">
        <f t="shared" si="12"/>
        <v>JV1-0695-3</v>
      </c>
      <c r="CI786" s="1" t="s">
        <v>102</v>
      </c>
    </row>
    <row r="787" spans="1:87">
      <c r="A787" t="s">
        <v>3186</v>
      </c>
      <c r="B787">
        <v>1379</v>
      </c>
      <c r="C787" t="s">
        <v>671</v>
      </c>
      <c r="D787" t="s">
        <v>457</v>
      </c>
      <c r="E787" t="s">
        <v>629</v>
      </c>
      <c r="F787" t="s">
        <v>672</v>
      </c>
      <c r="G787" t="s">
        <v>673</v>
      </c>
      <c r="N787">
        <v>18</v>
      </c>
      <c r="O787">
        <v>48</v>
      </c>
      <c r="P787">
        <v>66</v>
      </c>
      <c r="Q787">
        <v>120</v>
      </c>
      <c r="R787">
        <v>126</v>
      </c>
      <c r="S787">
        <v>144</v>
      </c>
      <c r="T787">
        <v>114</v>
      </c>
      <c r="U787">
        <v>90</v>
      </c>
      <c r="V787">
        <v>77</v>
      </c>
      <c r="W787">
        <v>78</v>
      </c>
      <c r="X787">
        <v>90</v>
      </c>
      <c r="Y787">
        <v>84</v>
      </c>
      <c r="Z787">
        <v>90</v>
      </c>
      <c r="AA787">
        <v>78</v>
      </c>
      <c r="AB787">
        <v>66</v>
      </c>
      <c r="AC787">
        <v>24</v>
      </c>
      <c r="AD787">
        <v>42</v>
      </c>
      <c r="AF787">
        <v>18</v>
      </c>
      <c r="AH787">
        <v>6</v>
      </c>
      <c r="CH787" t="str">
        <f t="shared" si="12"/>
        <v>JV1-0695-3</v>
      </c>
      <c r="CI787" s="1" t="s">
        <v>102</v>
      </c>
    </row>
    <row r="788" spans="1:87">
      <c r="A788" t="s">
        <v>2738</v>
      </c>
      <c r="B788">
        <v>663</v>
      </c>
      <c r="C788" t="s">
        <v>2736</v>
      </c>
      <c r="D788" t="s">
        <v>430</v>
      </c>
      <c r="E788" t="s">
        <v>974</v>
      </c>
      <c r="F788" t="s">
        <v>661</v>
      </c>
      <c r="G788" t="s">
        <v>2737</v>
      </c>
      <c r="CB788">
        <v>663</v>
      </c>
      <c r="CH788" t="str">
        <f t="shared" si="12"/>
        <v>D-0631</v>
      </c>
      <c r="CI788" s="1" t="s">
        <v>102</v>
      </c>
    </row>
    <row r="789" spans="1:87">
      <c r="A789" t="s">
        <v>2178</v>
      </c>
      <c r="B789">
        <v>120</v>
      </c>
      <c r="C789" t="s">
        <v>2176</v>
      </c>
      <c r="D789" t="s">
        <v>133</v>
      </c>
      <c r="E789" t="s">
        <v>629</v>
      </c>
      <c r="F789" t="s">
        <v>635</v>
      </c>
      <c r="G789" t="s">
        <v>2177</v>
      </c>
      <c r="N789">
        <v>12</v>
      </c>
      <c r="O789">
        <v>12</v>
      </c>
      <c r="P789">
        <v>12</v>
      </c>
      <c r="Q789">
        <v>24</v>
      </c>
      <c r="R789">
        <v>24</v>
      </c>
      <c r="S789">
        <v>12</v>
      </c>
      <c r="T789">
        <v>12</v>
      </c>
      <c r="U789">
        <v>12</v>
      </c>
      <c r="CH789" t="str">
        <f t="shared" si="12"/>
        <v>D-0036</v>
      </c>
      <c r="CI789" s="1" t="s">
        <v>102</v>
      </c>
    </row>
    <row r="790" spans="1:87">
      <c r="A790" t="s">
        <v>2179</v>
      </c>
      <c r="B790">
        <v>228</v>
      </c>
      <c r="C790" t="s">
        <v>2176</v>
      </c>
      <c r="D790" t="s">
        <v>133</v>
      </c>
      <c r="E790" t="s">
        <v>629</v>
      </c>
      <c r="F790" t="s">
        <v>635</v>
      </c>
      <c r="G790" t="s">
        <v>2177</v>
      </c>
      <c r="O790">
        <v>24</v>
      </c>
      <c r="P790">
        <v>24</v>
      </c>
      <c r="Q790">
        <v>48</v>
      </c>
      <c r="R790">
        <v>48</v>
      </c>
      <c r="S790">
        <v>24</v>
      </c>
      <c r="T790">
        <v>36</v>
      </c>
      <c r="U790">
        <v>24</v>
      </c>
      <c r="CH790" t="str">
        <f t="shared" si="12"/>
        <v>D-0036</v>
      </c>
      <c r="CI790" s="1" t="s">
        <v>102</v>
      </c>
    </row>
    <row r="791" spans="1:87">
      <c r="A791" t="s">
        <v>2180</v>
      </c>
      <c r="B791">
        <v>216</v>
      </c>
      <c r="C791" t="s">
        <v>2176</v>
      </c>
      <c r="D791" t="s">
        <v>133</v>
      </c>
      <c r="E791" t="s">
        <v>629</v>
      </c>
      <c r="F791" t="s">
        <v>635</v>
      </c>
      <c r="G791" t="s">
        <v>2177</v>
      </c>
      <c r="L791">
        <v>12</v>
      </c>
      <c r="M791">
        <v>24</v>
      </c>
      <c r="N791">
        <v>12</v>
      </c>
      <c r="O791">
        <v>24</v>
      </c>
      <c r="P791">
        <v>24</v>
      </c>
      <c r="Q791">
        <v>36</v>
      </c>
      <c r="R791">
        <v>36</v>
      </c>
      <c r="S791">
        <v>12</v>
      </c>
      <c r="T791">
        <v>24</v>
      </c>
      <c r="U791">
        <v>12</v>
      </c>
      <c r="CH791" t="str">
        <f t="shared" si="12"/>
        <v>D-0036</v>
      </c>
      <c r="CI791" s="1" t="s">
        <v>102</v>
      </c>
    </row>
    <row r="792" spans="1:87">
      <c r="A792" t="s">
        <v>2181</v>
      </c>
      <c r="B792">
        <v>264</v>
      </c>
      <c r="C792" t="s">
        <v>2176</v>
      </c>
      <c r="D792" t="s">
        <v>133</v>
      </c>
      <c r="E792" t="s">
        <v>629</v>
      </c>
      <c r="F792" t="s">
        <v>635</v>
      </c>
      <c r="G792" t="s">
        <v>2177</v>
      </c>
      <c r="M792">
        <v>12</v>
      </c>
      <c r="N792">
        <v>24</v>
      </c>
      <c r="O792">
        <v>36</v>
      </c>
      <c r="P792">
        <v>36</v>
      </c>
      <c r="Q792">
        <v>48</v>
      </c>
      <c r="R792">
        <v>48</v>
      </c>
      <c r="S792">
        <v>24</v>
      </c>
      <c r="T792">
        <v>24</v>
      </c>
      <c r="U792">
        <v>12</v>
      </c>
      <c r="CH792" t="str">
        <f t="shared" si="12"/>
        <v>D-0036</v>
      </c>
      <c r="CI792" s="1" t="s">
        <v>102</v>
      </c>
    </row>
    <row r="793" spans="1:87">
      <c r="A793" t="s">
        <v>2258</v>
      </c>
      <c r="B793">
        <v>32</v>
      </c>
      <c r="C793" t="s">
        <v>2176</v>
      </c>
      <c r="D793" t="s">
        <v>133</v>
      </c>
      <c r="E793" t="s">
        <v>629</v>
      </c>
      <c r="F793" t="s">
        <v>635</v>
      </c>
      <c r="G793" t="s">
        <v>2177</v>
      </c>
      <c r="V793">
        <v>16</v>
      </c>
      <c r="X793">
        <v>16</v>
      </c>
      <c r="CH793" t="str">
        <f t="shared" si="12"/>
        <v>D-0036</v>
      </c>
      <c r="CI793" s="1" t="s">
        <v>102</v>
      </c>
    </row>
    <row r="794" spans="1:87">
      <c r="A794" t="s">
        <v>2175</v>
      </c>
      <c r="B794">
        <v>3564</v>
      </c>
      <c r="C794" t="s">
        <v>2176</v>
      </c>
      <c r="D794" t="s">
        <v>133</v>
      </c>
      <c r="E794" t="s">
        <v>629</v>
      </c>
      <c r="F794" t="s">
        <v>635</v>
      </c>
      <c r="G794" t="s">
        <v>2177</v>
      </c>
      <c r="L794">
        <v>156</v>
      </c>
      <c r="M794">
        <v>240</v>
      </c>
      <c r="N794">
        <v>132</v>
      </c>
      <c r="O794">
        <v>396</v>
      </c>
      <c r="P794">
        <v>276</v>
      </c>
      <c r="Q794">
        <v>612</v>
      </c>
      <c r="R794">
        <v>648</v>
      </c>
      <c r="S794">
        <v>192</v>
      </c>
      <c r="T794">
        <v>420</v>
      </c>
      <c r="U794">
        <v>276</v>
      </c>
      <c r="V794">
        <v>96</v>
      </c>
      <c r="W794">
        <v>72</v>
      </c>
      <c r="X794">
        <v>48</v>
      </c>
      <c r="CH794" t="str">
        <f t="shared" si="12"/>
        <v>D-0036</v>
      </c>
      <c r="CI794" s="1" t="s">
        <v>102</v>
      </c>
    </row>
    <row r="795" spans="1:87">
      <c r="A795" t="s">
        <v>2182</v>
      </c>
      <c r="B795">
        <v>120</v>
      </c>
      <c r="C795" t="s">
        <v>2176</v>
      </c>
      <c r="D795" t="s">
        <v>133</v>
      </c>
      <c r="E795" t="s">
        <v>629</v>
      </c>
      <c r="F795" t="s">
        <v>635</v>
      </c>
      <c r="G795" t="s">
        <v>2177</v>
      </c>
      <c r="M795">
        <v>10</v>
      </c>
      <c r="N795">
        <v>10</v>
      </c>
      <c r="O795">
        <v>10</v>
      </c>
      <c r="P795">
        <v>10</v>
      </c>
      <c r="Q795">
        <v>20</v>
      </c>
      <c r="R795">
        <v>20</v>
      </c>
      <c r="S795">
        <v>10</v>
      </c>
      <c r="T795">
        <v>20</v>
      </c>
      <c r="U795">
        <v>10</v>
      </c>
      <c r="CH795" t="str">
        <f t="shared" si="12"/>
        <v>D-0036</v>
      </c>
      <c r="CI795" s="1" t="s">
        <v>102</v>
      </c>
    </row>
    <row r="796" spans="1:87">
      <c r="A796" t="s">
        <v>2183</v>
      </c>
      <c r="B796">
        <v>576</v>
      </c>
      <c r="C796" t="s">
        <v>2176</v>
      </c>
      <c r="D796" t="s">
        <v>133</v>
      </c>
      <c r="E796" t="s">
        <v>629</v>
      </c>
      <c r="F796" t="s">
        <v>635</v>
      </c>
      <c r="G796" t="s">
        <v>2177</v>
      </c>
      <c r="M796">
        <v>108</v>
      </c>
      <c r="N796">
        <v>72</v>
      </c>
      <c r="O796">
        <v>132</v>
      </c>
      <c r="P796">
        <v>72</v>
      </c>
      <c r="Q796">
        <v>108</v>
      </c>
      <c r="R796">
        <v>60</v>
      </c>
      <c r="S796">
        <v>24</v>
      </c>
      <c r="CH796" t="str">
        <f t="shared" si="12"/>
        <v>D-0036</v>
      </c>
      <c r="CI796" s="1" t="s">
        <v>102</v>
      </c>
    </row>
    <row r="797" spans="1:87">
      <c r="A797" t="s">
        <v>2184</v>
      </c>
      <c r="B797">
        <v>396</v>
      </c>
      <c r="C797" t="s">
        <v>2176</v>
      </c>
      <c r="D797" t="s">
        <v>133</v>
      </c>
      <c r="E797" t="s">
        <v>629</v>
      </c>
      <c r="F797" t="s">
        <v>635</v>
      </c>
      <c r="G797" t="s">
        <v>2177</v>
      </c>
      <c r="L797">
        <v>66</v>
      </c>
      <c r="M797">
        <v>33</v>
      </c>
      <c r="N797">
        <v>66</v>
      </c>
      <c r="O797">
        <v>66</v>
      </c>
      <c r="P797">
        <v>66</v>
      </c>
      <c r="R797">
        <v>33</v>
      </c>
      <c r="S797">
        <v>33</v>
      </c>
      <c r="U797">
        <v>33</v>
      </c>
      <c r="CH797" t="str">
        <f t="shared" si="12"/>
        <v>D-0036</v>
      </c>
      <c r="CI797" s="1" t="s">
        <v>102</v>
      </c>
    </row>
    <row r="798" spans="1:87">
      <c r="A798" t="s">
        <v>2185</v>
      </c>
      <c r="B798">
        <v>192</v>
      </c>
      <c r="C798" t="s">
        <v>2176</v>
      </c>
      <c r="D798" t="s">
        <v>133</v>
      </c>
      <c r="E798" t="s">
        <v>629</v>
      </c>
      <c r="F798" t="s">
        <v>635</v>
      </c>
      <c r="G798" t="s">
        <v>2177</v>
      </c>
      <c r="M798">
        <v>12</v>
      </c>
      <c r="N798">
        <v>24</v>
      </c>
      <c r="O798">
        <v>24</v>
      </c>
      <c r="P798">
        <v>24</v>
      </c>
      <c r="Q798">
        <v>24</v>
      </c>
      <c r="R798">
        <v>24</v>
      </c>
      <c r="S798">
        <v>24</v>
      </c>
      <c r="T798">
        <v>24</v>
      </c>
      <c r="U798">
        <v>12</v>
      </c>
      <c r="CH798" t="str">
        <f t="shared" si="12"/>
        <v>D-0036</v>
      </c>
      <c r="CI798" s="1" t="s">
        <v>102</v>
      </c>
    </row>
    <row r="799" spans="1:87">
      <c r="A799" t="s">
        <v>2186</v>
      </c>
      <c r="B799">
        <v>120</v>
      </c>
      <c r="C799" t="s">
        <v>2176</v>
      </c>
      <c r="D799" t="s">
        <v>133</v>
      </c>
      <c r="E799" t="s">
        <v>629</v>
      </c>
      <c r="F799" t="s">
        <v>635</v>
      </c>
      <c r="G799" t="s">
        <v>2177</v>
      </c>
      <c r="L799">
        <v>12</v>
      </c>
      <c r="M799">
        <v>12</v>
      </c>
      <c r="N799">
        <v>24</v>
      </c>
      <c r="O799">
        <v>12</v>
      </c>
      <c r="P799">
        <v>12</v>
      </c>
      <c r="Q799">
        <v>12</v>
      </c>
      <c r="R799">
        <v>12</v>
      </c>
      <c r="S799">
        <v>12</v>
      </c>
      <c r="T799">
        <v>12</v>
      </c>
      <c r="CH799" t="str">
        <f t="shared" si="12"/>
        <v>D-0036</v>
      </c>
      <c r="CI799" s="1" t="s">
        <v>102</v>
      </c>
    </row>
    <row r="800" spans="1:87">
      <c r="A800" t="s">
        <v>2187</v>
      </c>
      <c r="B800">
        <v>240</v>
      </c>
      <c r="C800" t="s">
        <v>2176</v>
      </c>
      <c r="D800" t="s">
        <v>133</v>
      </c>
      <c r="E800" t="s">
        <v>629</v>
      </c>
      <c r="F800" t="s">
        <v>635</v>
      </c>
      <c r="G800" t="s">
        <v>2177</v>
      </c>
      <c r="M800">
        <v>20</v>
      </c>
      <c r="N800">
        <v>20</v>
      </c>
      <c r="O800">
        <v>40</v>
      </c>
      <c r="P800">
        <v>40</v>
      </c>
      <c r="Q800">
        <v>40</v>
      </c>
      <c r="R800">
        <v>40</v>
      </c>
      <c r="S800">
        <v>20</v>
      </c>
      <c r="T800">
        <v>20</v>
      </c>
      <c r="CH800" t="str">
        <f t="shared" si="12"/>
        <v>D-0036</v>
      </c>
      <c r="CI800" s="1" t="s">
        <v>102</v>
      </c>
    </row>
    <row r="801" spans="1:87">
      <c r="A801" t="s">
        <v>2188</v>
      </c>
      <c r="B801">
        <v>144</v>
      </c>
      <c r="C801" t="s">
        <v>2176</v>
      </c>
      <c r="D801" t="s">
        <v>133</v>
      </c>
      <c r="E801" t="s">
        <v>629</v>
      </c>
      <c r="F801" t="s">
        <v>635</v>
      </c>
      <c r="G801" t="s">
        <v>2177</v>
      </c>
      <c r="M801">
        <v>24</v>
      </c>
      <c r="N801">
        <v>24</v>
      </c>
      <c r="O801">
        <v>24</v>
      </c>
      <c r="P801">
        <v>12</v>
      </c>
      <c r="Q801">
        <v>24</v>
      </c>
      <c r="R801">
        <v>24</v>
      </c>
      <c r="T801">
        <v>12</v>
      </c>
      <c r="CH801" t="str">
        <f t="shared" si="12"/>
        <v>D-0036</v>
      </c>
      <c r="CI801" s="1" t="s">
        <v>102</v>
      </c>
    </row>
    <row r="802" spans="1:87">
      <c r="A802" t="s">
        <v>2189</v>
      </c>
      <c r="B802">
        <v>120</v>
      </c>
      <c r="C802" t="s">
        <v>2176</v>
      </c>
      <c r="D802" t="s">
        <v>133</v>
      </c>
      <c r="E802" t="s">
        <v>629</v>
      </c>
      <c r="F802" t="s">
        <v>635</v>
      </c>
      <c r="G802" t="s">
        <v>2177</v>
      </c>
      <c r="L802">
        <v>10</v>
      </c>
      <c r="N802">
        <v>20</v>
      </c>
      <c r="P802">
        <v>40</v>
      </c>
      <c r="R802">
        <v>30</v>
      </c>
      <c r="T802">
        <v>10</v>
      </c>
      <c r="V802">
        <v>10</v>
      </c>
      <c r="CH802" t="str">
        <f t="shared" si="12"/>
        <v>D-0036</v>
      </c>
      <c r="CI802" s="1" t="s">
        <v>102</v>
      </c>
    </row>
    <row r="803" spans="1:87">
      <c r="A803" t="s">
        <v>2190</v>
      </c>
      <c r="B803">
        <v>132</v>
      </c>
      <c r="C803" t="s">
        <v>2176</v>
      </c>
      <c r="D803" t="s">
        <v>133</v>
      </c>
      <c r="E803" t="s">
        <v>629</v>
      </c>
      <c r="F803" t="s">
        <v>635</v>
      </c>
      <c r="G803" t="s">
        <v>2177</v>
      </c>
      <c r="L803">
        <v>12</v>
      </c>
      <c r="N803">
        <v>12</v>
      </c>
      <c r="P803">
        <v>36</v>
      </c>
      <c r="R803">
        <v>36</v>
      </c>
      <c r="T803">
        <v>24</v>
      </c>
      <c r="V803">
        <v>12</v>
      </c>
      <c r="CH803" t="str">
        <f t="shared" si="12"/>
        <v>D-0036</v>
      </c>
      <c r="CI803" s="1" t="s">
        <v>102</v>
      </c>
    </row>
    <row r="804" spans="1:87">
      <c r="A804" t="s">
        <v>2191</v>
      </c>
      <c r="B804">
        <v>120</v>
      </c>
      <c r="C804" t="s">
        <v>2176</v>
      </c>
      <c r="D804" t="s">
        <v>133</v>
      </c>
      <c r="E804" t="s">
        <v>629</v>
      </c>
      <c r="F804" t="s">
        <v>635</v>
      </c>
      <c r="G804" t="s">
        <v>2177</v>
      </c>
      <c r="N804">
        <v>12</v>
      </c>
      <c r="P804">
        <v>24</v>
      </c>
      <c r="R804">
        <v>36</v>
      </c>
      <c r="T804">
        <v>24</v>
      </c>
      <c r="V804">
        <v>12</v>
      </c>
      <c r="X804">
        <v>12</v>
      </c>
      <c r="CH804" t="str">
        <f t="shared" si="12"/>
        <v>D-0036</v>
      </c>
      <c r="CI804" s="1" t="s">
        <v>102</v>
      </c>
    </row>
    <row r="805" spans="1:87">
      <c r="A805" t="s">
        <v>3193</v>
      </c>
      <c r="B805">
        <v>5003</v>
      </c>
      <c r="C805" t="s">
        <v>671</v>
      </c>
      <c r="D805" t="s">
        <v>457</v>
      </c>
      <c r="E805" t="s">
        <v>629</v>
      </c>
      <c r="F805" t="s">
        <v>672</v>
      </c>
      <c r="G805" t="s">
        <v>673</v>
      </c>
      <c r="N805">
        <v>72</v>
      </c>
      <c r="O805">
        <v>204</v>
      </c>
      <c r="P805">
        <v>186</v>
      </c>
      <c r="Q805">
        <v>402</v>
      </c>
      <c r="R805">
        <v>288</v>
      </c>
      <c r="S805">
        <v>552</v>
      </c>
      <c r="T805">
        <v>282</v>
      </c>
      <c r="U805">
        <v>384</v>
      </c>
      <c r="V805">
        <v>269</v>
      </c>
      <c r="W805">
        <v>330</v>
      </c>
      <c r="X805">
        <v>300</v>
      </c>
      <c r="Y805">
        <v>306</v>
      </c>
      <c r="Z805">
        <v>342</v>
      </c>
      <c r="AA805">
        <v>312</v>
      </c>
      <c r="AB805">
        <v>276</v>
      </c>
      <c r="AC805">
        <v>174</v>
      </c>
      <c r="AD805">
        <v>186</v>
      </c>
      <c r="AF805">
        <v>102</v>
      </c>
      <c r="AH805">
        <v>24</v>
      </c>
      <c r="AJ805">
        <v>12</v>
      </c>
      <c r="CH805" t="str">
        <f t="shared" si="12"/>
        <v>JV1-0695-3</v>
      </c>
      <c r="CI805" s="1" t="s">
        <v>102</v>
      </c>
    </row>
    <row r="806" spans="1:87">
      <c r="A806" t="s">
        <v>1297</v>
      </c>
      <c r="B806">
        <v>2573</v>
      </c>
      <c r="C806" t="s">
        <v>1165</v>
      </c>
      <c r="D806" t="s">
        <v>457</v>
      </c>
      <c r="E806" t="s">
        <v>629</v>
      </c>
      <c r="F806" t="s">
        <v>672</v>
      </c>
      <c r="G806" t="s">
        <v>673</v>
      </c>
      <c r="O806">
        <v>12</v>
      </c>
      <c r="P806">
        <v>60</v>
      </c>
      <c r="Q806">
        <v>180</v>
      </c>
      <c r="R806">
        <v>228</v>
      </c>
      <c r="S806">
        <v>168</v>
      </c>
      <c r="T806">
        <v>60</v>
      </c>
      <c r="U806">
        <v>72</v>
      </c>
      <c r="V806">
        <v>204</v>
      </c>
      <c r="W806">
        <v>348</v>
      </c>
      <c r="X806">
        <v>473</v>
      </c>
      <c r="Y806">
        <v>420</v>
      </c>
      <c r="Z806">
        <v>324</v>
      </c>
      <c r="AA806">
        <v>12</v>
      </c>
      <c r="AD806">
        <v>12</v>
      </c>
      <c r="CH806" t="str">
        <f t="shared" si="12"/>
        <v>JV1-0695-3</v>
      </c>
      <c r="CI806" s="1" t="s">
        <v>102</v>
      </c>
    </row>
    <row r="807" spans="1:87">
      <c r="A807" t="s">
        <v>3190</v>
      </c>
      <c r="B807">
        <v>1565</v>
      </c>
      <c r="C807" t="s">
        <v>671</v>
      </c>
      <c r="D807" t="s">
        <v>457</v>
      </c>
      <c r="E807" t="s">
        <v>629</v>
      </c>
      <c r="F807" t="s">
        <v>672</v>
      </c>
      <c r="G807" t="s">
        <v>673</v>
      </c>
      <c r="N807">
        <v>130</v>
      </c>
      <c r="O807">
        <v>130</v>
      </c>
      <c r="P807">
        <v>260</v>
      </c>
      <c r="Q807">
        <v>260</v>
      </c>
      <c r="R807">
        <v>260</v>
      </c>
      <c r="S807">
        <v>260</v>
      </c>
      <c r="T807">
        <v>130</v>
      </c>
      <c r="U807">
        <v>135</v>
      </c>
      <c r="CH807" t="str">
        <f t="shared" si="12"/>
        <v>JV1-0695-3</v>
      </c>
      <c r="CI807" s="1" t="s">
        <v>102</v>
      </c>
    </row>
    <row r="808" spans="1:87">
      <c r="A808" t="s">
        <v>3187</v>
      </c>
      <c r="B808">
        <v>641</v>
      </c>
      <c r="C808" t="s">
        <v>671</v>
      </c>
      <c r="D808" t="s">
        <v>457</v>
      </c>
      <c r="E808" t="s">
        <v>629</v>
      </c>
      <c r="F808" t="s">
        <v>672</v>
      </c>
      <c r="G808" t="s">
        <v>673</v>
      </c>
      <c r="N808">
        <v>42</v>
      </c>
      <c r="O808">
        <v>60</v>
      </c>
      <c r="P808">
        <v>48</v>
      </c>
      <c r="Q808">
        <v>48</v>
      </c>
      <c r="R808">
        <v>54</v>
      </c>
      <c r="S808">
        <v>36</v>
      </c>
      <c r="T808">
        <v>54</v>
      </c>
      <c r="U808">
        <v>48</v>
      </c>
      <c r="V808">
        <v>59</v>
      </c>
      <c r="W808">
        <v>66</v>
      </c>
      <c r="X808">
        <v>66</v>
      </c>
      <c r="Y808">
        <v>30</v>
      </c>
      <c r="Z808">
        <v>30</v>
      </c>
      <c r="CH808" t="str">
        <f t="shared" si="12"/>
        <v>JV1-0695-3</v>
      </c>
      <c r="CI808" s="1" t="s">
        <v>102</v>
      </c>
    </row>
    <row r="809" spans="1:87">
      <c r="A809" t="s">
        <v>2256</v>
      </c>
      <c r="B809">
        <v>30</v>
      </c>
      <c r="C809" t="s">
        <v>2155</v>
      </c>
      <c r="D809" t="s">
        <v>133</v>
      </c>
      <c r="E809" t="s">
        <v>629</v>
      </c>
      <c r="F809" t="s">
        <v>635</v>
      </c>
      <c r="G809" t="s">
        <v>2156</v>
      </c>
      <c r="V809">
        <v>15</v>
      </c>
      <c r="X809">
        <v>15</v>
      </c>
      <c r="CH809" t="str">
        <f t="shared" si="12"/>
        <v>D-0036</v>
      </c>
      <c r="CI809" s="1" t="s">
        <v>102</v>
      </c>
    </row>
    <row r="810" spans="1:87">
      <c r="A810" t="s">
        <v>2154</v>
      </c>
      <c r="B810">
        <v>3060</v>
      </c>
      <c r="C810" t="s">
        <v>2155</v>
      </c>
      <c r="D810" t="s">
        <v>133</v>
      </c>
      <c r="E810" t="s">
        <v>629</v>
      </c>
      <c r="F810" t="s">
        <v>635</v>
      </c>
      <c r="G810" t="s">
        <v>2156</v>
      </c>
      <c r="L810">
        <v>72</v>
      </c>
      <c r="M810">
        <v>144</v>
      </c>
      <c r="N810">
        <v>156</v>
      </c>
      <c r="O810">
        <v>276</v>
      </c>
      <c r="P810">
        <v>324</v>
      </c>
      <c r="Q810">
        <v>504</v>
      </c>
      <c r="R810">
        <v>564</v>
      </c>
      <c r="S810">
        <v>228</v>
      </c>
      <c r="T810">
        <v>348</v>
      </c>
      <c r="U810">
        <v>192</v>
      </c>
      <c r="V810">
        <v>108</v>
      </c>
      <c r="W810">
        <v>84</v>
      </c>
      <c r="X810">
        <v>60</v>
      </c>
      <c r="CH810" t="str">
        <f t="shared" si="12"/>
        <v>D-0036</v>
      </c>
      <c r="CI810" s="1" t="s">
        <v>102</v>
      </c>
    </row>
    <row r="811" spans="1:87">
      <c r="A811" t="s">
        <v>2162</v>
      </c>
      <c r="B811">
        <v>384</v>
      </c>
      <c r="C811" t="s">
        <v>2155</v>
      </c>
      <c r="D811" t="s">
        <v>133</v>
      </c>
      <c r="E811" t="s">
        <v>629</v>
      </c>
      <c r="F811" t="s">
        <v>635</v>
      </c>
      <c r="G811" t="s">
        <v>2156</v>
      </c>
      <c r="M811">
        <v>72</v>
      </c>
      <c r="N811">
        <v>48</v>
      </c>
      <c r="O811">
        <v>84</v>
      </c>
      <c r="P811">
        <v>48</v>
      </c>
      <c r="Q811">
        <v>72</v>
      </c>
      <c r="R811">
        <v>36</v>
      </c>
      <c r="S811">
        <v>24</v>
      </c>
      <c r="CH811" t="str">
        <f t="shared" si="12"/>
        <v>D-0036</v>
      </c>
      <c r="CI811" s="1" t="s">
        <v>102</v>
      </c>
    </row>
    <row r="812" spans="1:87">
      <c r="A812" t="s">
        <v>2163</v>
      </c>
      <c r="B812">
        <v>396</v>
      </c>
      <c r="C812" t="s">
        <v>2155</v>
      </c>
      <c r="D812" t="s">
        <v>133</v>
      </c>
      <c r="E812" t="s">
        <v>629</v>
      </c>
      <c r="F812" t="s">
        <v>635</v>
      </c>
      <c r="G812" t="s">
        <v>2156</v>
      </c>
      <c r="L812">
        <v>66</v>
      </c>
      <c r="M812">
        <v>33</v>
      </c>
      <c r="N812">
        <v>66</v>
      </c>
      <c r="O812">
        <v>66</v>
      </c>
      <c r="P812">
        <v>66</v>
      </c>
      <c r="R812">
        <v>33</v>
      </c>
      <c r="S812">
        <v>33</v>
      </c>
      <c r="U812">
        <v>33</v>
      </c>
      <c r="CH812" t="str">
        <f t="shared" si="12"/>
        <v>D-0036</v>
      </c>
      <c r="CI812" s="1" t="s">
        <v>102</v>
      </c>
    </row>
    <row r="813" spans="1:87">
      <c r="A813" t="s">
        <v>2164</v>
      </c>
      <c r="B813">
        <v>156</v>
      </c>
      <c r="C813" t="s">
        <v>2155</v>
      </c>
      <c r="D813" t="s">
        <v>133</v>
      </c>
      <c r="E813" t="s">
        <v>629</v>
      </c>
      <c r="F813" t="s">
        <v>635</v>
      </c>
      <c r="G813" t="s">
        <v>2156</v>
      </c>
      <c r="N813">
        <v>12</v>
      </c>
      <c r="O813">
        <v>24</v>
      </c>
      <c r="P813">
        <v>24</v>
      </c>
      <c r="Q813">
        <v>36</v>
      </c>
      <c r="R813">
        <v>24</v>
      </c>
      <c r="S813">
        <v>24</v>
      </c>
      <c r="T813">
        <v>12</v>
      </c>
      <c r="CH813" t="str">
        <f t="shared" si="12"/>
        <v>D-0036</v>
      </c>
      <c r="CI813" s="1" t="s">
        <v>102</v>
      </c>
    </row>
    <row r="814" spans="1:87">
      <c r="A814" t="s">
        <v>2165</v>
      </c>
      <c r="B814">
        <v>240</v>
      </c>
      <c r="C814" t="s">
        <v>2155</v>
      </c>
      <c r="D814" t="s">
        <v>133</v>
      </c>
      <c r="E814" t="s">
        <v>629</v>
      </c>
      <c r="F814" t="s">
        <v>635</v>
      </c>
      <c r="G814" t="s">
        <v>2156</v>
      </c>
      <c r="M814">
        <v>20</v>
      </c>
      <c r="N814">
        <v>20</v>
      </c>
      <c r="O814">
        <v>40</v>
      </c>
      <c r="P814">
        <v>40</v>
      </c>
      <c r="Q814">
        <v>40</v>
      </c>
      <c r="R814">
        <v>40</v>
      </c>
      <c r="S814">
        <v>20</v>
      </c>
      <c r="T814">
        <v>20</v>
      </c>
      <c r="CH814" t="str">
        <f t="shared" si="12"/>
        <v>D-0036</v>
      </c>
      <c r="CI814" s="1" t="s">
        <v>102</v>
      </c>
    </row>
    <row r="815" spans="1:87">
      <c r="A815" t="s">
        <v>2166</v>
      </c>
      <c r="B815">
        <v>144</v>
      </c>
      <c r="C815" t="s">
        <v>2155</v>
      </c>
      <c r="D815" t="s">
        <v>133</v>
      </c>
      <c r="E815" t="s">
        <v>629</v>
      </c>
      <c r="F815" t="s">
        <v>635</v>
      </c>
      <c r="G815" t="s">
        <v>2156</v>
      </c>
      <c r="M815">
        <v>24</v>
      </c>
      <c r="N815">
        <v>24</v>
      </c>
      <c r="O815">
        <v>24</v>
      </c>
      <c r="P815">
        <v>12</v>
      </c>
      <c r="Q815">
        <v>24</v>
      </c>
      <c r="R815">
        <v>24</v>
      </c>
      <c r="T815">
        <v>12</v>
      </c>
      <c r="CH815" t="str">
        <f t="shared" si="12"/>
        <v>D-0036</v>
      </c>
      <c r="CI815" s="1" t="s">
        <v>102</v>
      </c>
    </row>
    <row r="816" spans="1:87">
      <c r="A816" t="s">
        <v>2167</v>
      </c>
      <c r="B816">
        <v>120</v>
      </c>
      <c r="C816" t="s">
        <v>2155</v>
      </c>
      <c r="D816" t="s">
        <v>133</v>
      </c>
      <c r="E816" t="s">
        <v>629</v>
      </c>
      <c r="F816" t="s">
        <v>635</v>
      </c>
      <c r="G816" t="s">
        <v>2156</v>
      </c>
      <c r="L816">
        <v>10</v>
      </c>
      <c r="N816">
        <v>20</v>
      </c>
      <c r="P816">
        <v>40</v>
      </c>
      <c r="R816">
        <v>30</v>
      </c>
      <c r="T816">
        <v>10</v>
      </c>
      <c r="V816">
        <v>10</v>
      </c>
      <c r="CH816" t="str">
        <f t="shared" si="12"/>
        <v>D-0036</v>
      </c>
      <c r="CI816" s="1" t="s">
        <v>102</v>
      </c>
    </row>
    <row r="817" spans="1:87">
      <c r="A817" t="s">
        <v>2168</v>
      </c>
      <c r="B817">
        <v>180</v>
      </c>
      <c r="C817" t="s">
        <v>2155</v>
      </c>
      <c r="D817" t="s">
        <v>133</v>
      </c>
      <c r="E817" t="s">
        <v>629</v>
      </c>
      <c r="F817" t="s">
        <v>635</v>
      </c>
      <c r="G817" t="s">
        <v>2156</v>
      </c>
      <c r="L817">
        <v>12</v>
      </c>
      <c r="N817">
        <v>24</v>
      </c>
      <c r="P817">
        <v>48</v>
      </c>
      <c r="R817">
        <v>48</v>
      </c>
      <c r="T817">
        <v>36</v>
      </c>
      <c r="V817">
        <v>12</v>
      </c>
      <c r="CH817" t="str">
        <f t="shared" si="12"/>
        <v>D-0036</v>
      </c>
      <c r="CI817" s="1" t="s">
        <v>102</v>
      </c>
    </row>
    <row r="818" spans="1:87">
      <c r="A818" t="s">
        <v>2169</v>
      </c>
      <c r="B818">
        <v>120</v>
      </c>
      <c r="C818" t="s">
        <v>2155</v>
      </c>
      <c r="D818" t="s">
        <v>133</v>
      </c>
      <c r="E818" t="s">
        <v>629</v>
      </c>
      <c r="F818" t="s">
        <v>635</v>
      </c>
      <c r="G818" t="s">
        <v>2156</v>
      </c>
      <c r="N818">
        <v>12</v>
      </c>
      <c r="P818">
        <v>24</v>
      </c>
      <c r="R818">
        <v>36</v>
      </c>
      <c r="T818">
        <v>24</v>
      </c>
      <c r="V818">
        <v>12</v>
      </c>
      <c r="X818">
        <v>12</v>
      </c>
      <c r="CH818" t="str">
        <f t="shared" si="12"/>
        <v>D-0036</v>
      </c>
      <c r="CI818" s="1" t="s">
        <v>102</v>
      </c>
    </row>
    <row r="819" spans="1:87">
      <c r="A819" t="s">
        <v>1552</v>
      </c>
      <c r="B819">
        <v>3180</v>
      </c>
      <c r="C819" t="s">
        <v>1553</v>
      </c>
      <c r="D819" t="s">
        <v>261</v>
      </c>
      <c r="E819" t="s">
        <v>629</v>
      </c>
      <c r="F819" t="s">
        <v>635</v>
      </c>
      <c r="G819" t="s">
        <v>1516</v>
      </c>
      <c r="L819">
        <v>108</v>
      </c>
      <c r="M819">
        <v>228</v>
      </c>
      <c r="N819">
        <v>228</v>
      </c>
      <c r="O819">
        <v>300</v>
      </c>
      <c r="P819">
        <v>264</v>
      </c>
      <c r="Q819">
        <v>312</v>
      </c>
      <c r="R819">
        <v>264</v>
      </c>
      <c r="S819">
        <v>168</v>
      </c>
      <c r="T819">
        <v>252</v>
      </c>
      <c r="U819">
        <v>264</v>
      </c>
      <c r="V819">
        <v>144</v>
      </c>
      <c r="W819">
        <v>216</v>
      </c>
      <c r="X819">
        <v>144</v>
      </c>
      <c r="Y819">
        <v>144</v>
      </c>
      <c r="Z819">
        <v>72</v>
      </c>
      <c r="AA819">
        <v>36</v>
      </c>
      <c r="AB819">
        <v>36</v>
      </c>
      <c r="CH819" t="str">
        <f t="shared" si="12"/>
        <v>D-0310</v>
      </c>
      <c r="CI819" s="1" t="s">
        <v>102</v>
      </c>
    </row>
    <row r="820" spans="1:87">
      <c r="A820" t="s">
        <v>2257</v>
      </c>
      <c r="B820">
        <v>10</v>
      </c>
      <c r="C820" t="s">
        <v>2171</v>
      </c>
      <c r="D820" t="s">
        <v>133</v>
      </c>
      <c r="E820" t="s">
        <v>629</v>
      </c>
      <c r="F820" t="s">
        <v>635</v>
      </c>
      <c r="G820" t="s">
        <v>2172</v>
      </c>
      <c r="V820">
        <v>5</v>
      </c>
      <c r="X820">
        <v>5</v>
      </c>
      <c r="CH820" t="str">
        <f t="shared" si="12"/>
        <v>D-0036</v>
      </c>
      <c r="CI820" s="1" t="s">
        <v>102</v>
      </c>
    </row>
    <row r="821" spans="1:87">
      <c r="A821" t="s">
        <v>2254</v>
      </c>
      <c r="B821">
        <v>10</v>
      </c>
      <c r="C821" t="s">
        <v>2032</v>
      </c>
      <c r="D821" t="s">
        <v>133</v>
      </c>
      <c r="E821" t="s">
        <v>642</v>
      </c>
      <c r="F821" t="s">
        <v>635</v>
      </c>
      <c r="G821" t="s">
        <v>2033</v>
      </c>
      <c r="V821">
        <v>5</v>
      </c>
      <c r="X821">
        <v>5</v>
      </c>
      <c r="CH821" t="str">
        <f t="shared" si="12"/>
        <v>D-0036</v>
      </c>
      <c r="CI821" s="1" t="s">
        <v>102</v>
      </c>
    </row>
    <row r="822" spans="1:87">
      <c r="A822" t="s">
        <v>2255</v>
      </c>
      <c r="B822">
        <v>10</v>
      </c>
      <c r="C822" t="s">
        <v>2032</v>
      </c>
      <c r="D822" t="s">
        <v>133</v>
      </c>
      <c r="E822" t="s">
        <v>642</v>
      </c>
      <c r="F822" t="s">
        <v>635</v>
      </c>
      <c r="G822" t="s">
        <v>2033</v>
      </c>
      <c r="V822">
        <v>5</v>
      </c>
      <c r="X822">
        <v>5</v>
      </c>
      <c r="CH822" t="str">
        <f t="shared" si="12"/>
        <v>D-0036</v>
      </c>
      <c r="CI822" s="1" t="s">
        <v>102</v>
      </c>
    </row>
    <row r="823" spans="1:87">
      <c r="A823" t="s">
        <v>2031</v>
      </c>
      <c r="B823">
        <v>204</v>
      </c>
      <c r="C823" t="s">
        <v>2032</v>
      </c>
      <c r="D823" t="s">
        <v>133</v>
      </c>
      <c r="E823" t="s">
        <v>642</v>
      </c>
      <c r="F823" t="s">
        <v>635</v>
      </c>
      <c r="G823" t="s">
        <v>2033</v>
      </c>
      <c r="N823">
        <v>24</v>
      </c>
      <c r="P823">
        <v>84</v>
      </c>
      <c r="R823">
        <v>96</v>
      </c>
      <c r="CH823" t="str">
        <f t="shared" si="12"/>
        <v>D-0036</v>
      </c>
      <c r="CI823" s="1" t="s">
        <v>102</v>
      </c>
    </row>
    <row r="824" spans="1:87">
      <c r="A824" t="s">
        <v>2035</v>
      </c>
      <c r="B824">
        <v>492</v>
      </c>
      <c r="C824" t="s">
        <v>2032</v>
      </c>
      <c r="D824" t="s">
        <v>133</v>
      </c>
      <c r="E824" t="s">
        <v>642</v>
      </c>
      <c r="F824" t="s">
        <v>635</v>
      </c>
      <c r="G824" t="s">
        <v>2033</v>
      </c>
      <c r="L824">
        <v>24</v>
      </c>
      <c r="N824">
        <v>60</v>
      </c>
      <c r="P824">
        <v>180</v>
      </c>
      <c r="R824">
        <v>156</v>
      </c>
      <c r="T824">
        <v>60</v>
      </c>
      <c r="V824">
        <v>12</v>
      </c>
      <c r="CH824" t="str">
        <f t="shared" si="12"/>
        <v>D-0036</v>
      </c>
      <c r="CI824" s="1" t="s">
        <v>102</v>
      </c>
    </row>
    <row r="825" spans="1:87">
      <c r="A825" t="s">
        <v>2036</v>
      </c>
      <c r="B825">
        <v>240</v>
      </c>
      <c r="C825" t="s">
        <v>2032</v>
      </c>
      <c r="D825" t="s">
        <v>133</v>
      </c>
      <c r="E825" t="s">
        <v>642</v>
      </c>
      <c r="F825" t="s">
        <v>635</v>
      </c>
      <c r="G825" t="s">
        <v>2033</v>
      </c>
      <c r="L825">
        <v>12</v>
      </c>
      <c r="N825">
        <v>48</v>
      </c>
      <c r="P825">
        <v>72</v>
      </c>
      <c r="R825">
        <v>24</v>
      </c>
      <c r="T825">
        <v>48</v>
      </c>
      <c r="V825">
        <v>24</v>
      </c>
      <c r="X825">
        <v>12</v>
      </c>
      <c r="CH825" t="str">
        <f t="shared" si="12"/>
        <v>D-0036</v>
      </c>
      <c r="CI825" s="1" t="s">
        <v>102</v>
      </c>
    </row>
    <row r="826" spans="1:87">
      <c r="A826" t="s">
        <v>2037</v>
      </c>
      <c r="B826">
        <v>360</v>
      </c>
      <c r="C826" t="s">
        <v>2032</v>
      </c>
      <c r="D826" t="s">
        <v>133</v>
      </c>
      <c r="E826" t="s">
        <v>642</v>
      </c>
      <c r="F826" t="s">
        <v>635</v>
      </c>
      <c r="G826" t="s">
        <v>2033</v>
      </c>
      <c r="L826">
        <v>30</v>
      </c>
      <c r="M826">
        <v>30</v>
      </c>
      <c r="N826">
        <v>30</v>
      </c>
      <c r="O826">
        <v>30</v>
      </c>
      <c r="P826">
        <v>60</v>
      </c>
      <c r="Q826">
        <v>60</v>
      </c>
      <c r="R826">
        <v>60</v>
      </c>
      <c r="S826">
        <v>30</v>
      </c>
      <c r="T826">
        <v>30</v>
      </c>
      <c r="CH826" t="str">
        <f t="shared" si="12"/>
        <v>D-0036</v>
      </c>
      <c r="CI826" s="1" t="s">
        <v>102</v>
      </c>
    </row>
    <row r="827" spans="1:87">
      <c r="A827" t="s">
        <v>2038</v>
      </c>
      <c r="B827">
        <v>252</v>
      </c>
      <c r="C827" t="s">
        <v>2032</v>
      </c>
      <c r="D827" t="s">
        <v>133</v>
      </c>
      <c r="E827" t="s">
        <v>642</v>
      </c>
      <c r="F827" t="s">
        <v>635</v>
      </c>
      <c r="G827" t="s">
        <v>2033</v>
      </c>
      <c r="L827">
        <v>42</v>
      </c>
      <c r="M827">
        <v>42</v>
      </c>
      <c r="N827">
        <v>42</v>
      </c>
      <c r="O827">
        <v>42</v>
      </c>
      <c r="P827">
        <v>42</v>
      </c>
      <c r="Q827">
        <v>21</v>
      </c>
      <c r="R827">
        <v>21</v>
      </c>
      <c r="CH827" t="str">
        <f t="shared" si="12"/>
        <v>D-0036</v>
      </c>
      <c r="CI827" s="1" t="s">
        <v>102</v>
      </c>
    </row>
    <row r="828" spans="1:87">
      <c r="A828" t="s">
        <v>2039</v>
      </c>
      <c r="B828">
        <v>396</v>
      </c>
      <c r="C828" t="s">
        <v>2032</v>
      </c>
      <c r="D828" t="s">
        <v>133</v>
      </c>
      <c r="E828" t="s">
        <v>642</v>
      </c>
      <c r="F828" t="s">
        <v>635</v>
      </c>
      <c r="G828" t="s">
        <v>2033</v>
      </c>
      <c r="L828">
        <v>66</v>
      </c>
      <c r="M828">
        <v>66</v>
      </c>
      <c r="N828">
        <v>66</v>
      </c>
      <c r="O828">
        <v>66</v>
      </c>
      <c r="P828">
        <v>66</v>
      </c>
      <c r="Q828">
        <v>33</v>
      </c>
      <c r="R828">
        <v>33</v>
      </c>
      <c r="CH828" t="str">
        <f t="shared" si="12"/>
        <v>D-0036</v>
      </c>
      <c r="CI828" s="1" t="s">
        <v>102</v>
      </c>
    </row>
    <row r="829" spans="1:87">
      <c r="A829" t="s">
        <v>2040</v>
      </c>
      <c r="B829">
        <v>372</v>
      </c>
      <c r="C829" t="s">
        <v>2032</v>
      </c>
      <c r="D829" t="s">
        <v>133</v>
      </c>
      <c r="E829" t="s">
        <v>642</v>
      </c>
      <c r="F829" t="s">
        <v>635</v>
      </c>
      <c r="G829" t="s">
        <v>2033</v>
      </c>
      <c r="L829">
        <v>36</v>
      </c>
      <c r="M829">
        <v>48</v>
      </c>
      <c r="N829">
        <v>36</v>
      </c>
      <c r="O829">
        <v>84</v>
      </c>
      <c r="P829">
        <v>60</v>
      </c>
      <c r="Q829">
        <v>36</v>
      </c>
      <c r="R829">
        <v>36</v>
      </c>
      <c r="S829">
        <v>36</v>
      </c>
      <c r="CH829" t="str">
        <f t="shared" si="12"/>
        <v>D-0036</v>
      </c>
      <c r="CI829" s="1" t="s">
        <v>102</v>
      </c>
    </row>
    <row r="830" spans="1:87">
      <c r="A830" t="s">
        <v>2041</v>
      </c>
      <c r="B830">
        <v>432</v>
      </c>
      <c r="C830" t="s">
        <v>2032</v>
      </c>
      <c r="D830" t="s">
        <v>133</v>
      </c>
      <c r="E830" t="s">
        <v>642</v>
      </c>
      <c r="F830" t="s">
        <v>635</v>
      </c>
      <c r="G830" t="s">
        <v>2033</v>
      </c>
      <c r="L830">
        <v>24</v>
      </c>
      <c r="N830">
        <v>72</v>
      </c>
      <c r="P830">
        <v>108</v>
      </c>
      <c r="R830">
        <v>120</v>
      </c>
      <c r="T830">
        <v>72</v>
      </c>
      <c r="V830">
        <v>36</v>
      </c>
      <c r="CH830" t="str">
        <f t="shared" si="12"/>
        <v>D-0036</v>
      </c>
      <c r="CI830" s="1" t="s">
        <v>102</v>
      </c>
    </row>
    <row r="831" spans="1:87">
      <c r="A831" t="s">
        <v>2042</v>
      </c>
      <c r="B831">
        <v>408</v>
      </c>
      <c r="C831" t="s">
        <v>2032</v>
      </c>
      <c r="D831" t="s">
        <v>133</v>
      </c>
      <c r="E831" t="s">
        <v>642</v>
      </c>
      <c r="F831" t="s">
        <v>635</v>
      </c>
      <c r="G831" t="s">
        <v>2033</v>
      </c>
      <c r="L831">
        <v>24</v>
      </c>
      <c r="N831">
        <v>72</v>
      </c>
      <c r="P831">
        <v>120</v>
      </c>
      <c r="R831">
        <v>108</v>
      </c>
      <c r="T831">
        <v>60</v>
      </c>
      <c r="V831">
        <v>24</v>
      </c>
      <c r="CH831" t="str">
        <f t="shared" si="12"/>
        <v>D-0036</v>
      </c>
      <c r="CI831" s="1" t="s">
        <v>102</v>
      </c>
    </row>
    <row r="832" spans="1:87">
      <c r="A832" t="s">
        <v>2043</v>
      </c>
      <c r="B832">
        <v>360</v>
      </c>
      <c r="C832" t="s">
        <v>2032</v>
      </c>
      <c r="D832" t="s">
        <v>133</v>
      </c>
      <c r="E832" t="s">
        <v>642</v>
      </c>
      <c r="F832" t="s">
        <v>635</v>
      </c>
      <c r="G832" t="s">
        <v>2033</v>
      </c>
      <c r="L832">
        <v>36</v>
      </c>
      <c r="M832">
        <v>48</v>
      </c>
      <c r="N832">
        <v>36</v>
      </c>
      <c r="O832">
        <v>84</v>
      </c>
      <c r="P832">
        <v>48</v>
      </c>
      <c r="Q832">
        <v>36</v>
      </c>
      <c r="R832">
        <v>36</v>
      </c>
      <c r="S832">
        <v>36</v>
      </c>
      <c r="CH832" t="str">
        <f t="shared" si="12"/>
        <v>D-0036</v>
      </c>
      <c r="CI832" s="1" t="s">
        <v>102</v>
      </c>
    </row>
    <row r="833" spans="1:87">
      <c r="A833" t="s">
        <v>3184</v>
      </c>
      <c r="B833">
        <v>419</v>
      </c>
      <c r="C833" t="s">
        <v>1384</v>
      </c>
      <c r="D833" t="s">
        <v>457</v>
      </c>
      <c r="E833" t="s">
        <v>629</v>
      </c>
      <c r="F833" t="s">
        <v>672</v>
      </c>
      <c r="G833" t="s">
        <v>673</v>
      </c>
      <c r="Q833">
        <v>12</v>
      </c>
      <c r="R833">
        <v>36</v>
      </c>
      <c r="S833">
        <v>48</v>
      </c>
      <c r="T833">
        <v>60</v>
      </c>
      <c r="U833">
        <v>60</v>
      </c>
      <c r="V833">
        <v>77</v>
      </c>
      <c r="W833">
        <v>42</v>
      </c>
      <c r="X833">
        <v>42</v>
      </c>
      <c r="Y833">
        <v>12</v>
      </c>
      <c r="Z833">
        <v>24</v>
      </c>
      <c r="AB833">
        <v>6</v>
      </c>
      <c r="CH833" t="str">
        <f t="shared" si="12"/>
        <v>JV1-0695-3</v>
      </c>
      <c r="CI833" s="1" t="s">
        <v>102</v>
      </c>
    </row>
    <row r="834" spans="1:87">
      <c r="A834" t="s">
        <v>3191</v>
      </c>
      <c r="B834">
        <v>905</v>
      </c>
      <c r="C834" t="s">
        <v>671</v>
      </c>
      <c r="D834" t="s">
        <v>457</v>
      </c>
      <c r="E834" t="s">
        <v>629</v>
      </c>
      <c r="F834" t="s">
        <v>672</v>
      </c>
      <c r="G834" t="s">
        <v>673</v>
      </c>
      <c r="U834">
        <v>75</v>
      </c>
      <c r="V834">
        <v>80</v>
      </c>
      <c r="W834">
        <v>150</v>
      </c>
      <c r="X834">
        <v>75</v>
      </c>
      <c r="Y834">
        <v>150</v>
      </c>
      <c r="Z834">
        <v>150</v>
      </c>
      <c r="AA834">
        <v>75</v>
      </c>
      <c r="AB834">
        <v>75</v>
      </c>
      <c r="AD834">
        <v>75</v>
      </c>
      <c r="CH834" t="str">
        <f t="shared" ref="CH834:CH897" si="13">TRIM(IFERROR(IFERROR(MID($D834,FIND("(D-",$D834)+1,6),LEFT($D834,FIND("(",$D834)-1)),$D834))</f>
        <v>JV1-0695-3</v>
      </c>
      <c r="CI834" s="1" t="s">
        <v>102</v>
      </c>
    </row>
    <row r="835" spans="1:87">
      <c r="A835" t="s">
        <v>3192</v>
      </c>
      <c r="B835">
        <v>1115</v>
      </c>
      <c r="C835" t="s">
        <v>1387</v>
      </c>
      <c r="D835" t="s">
        <v>457</v>
      </c>
      <c r="E835" t="s">
        <v>629</v>
      </c>
      <c r="F835" t="s">
        <v>672</v>
      </c>
      <c r="G835" t="s">
        <v>673</v>
      </c>
      <c r="N835">
        <v>6</v>
      </c>
      <c r="O835">
        <v>12</v>
      </c>
      <c r="P835">
        <v>24</v>
      </c>
      <c r="Q835">
        <v>36</v>
      </c>
      <c r="R835">
        <v>42</v>
      </c>
      <c r="S835">
        <v>42</v>
      </c>
      <c r="T835">
        <v>30</v>
      </c>
      <c r="U835">
        <v>36</v>
      </c>
      <c r="V835">
        <v>35</v>
      </c>
      <c r="W835">
        <v>90</v>
      </c>
      <c r="X835">
        <v>84</v>
      </c>
      <c r="Y835">
        <v>102</v>
      </c>
      <c r="Z835">
        <v>132</v>
      </c>
      <c r="AA835">
        <v>132</v>
      </c>
      <c r="AB835">
        <v>114</v>
      </c>
      <c r="AC835">
        <v>66</v>
      </c>
      <c r="AD835">
        <v>66</v>
      </c>
      <c r="AF835">
        <v>42</v>
      </c>
      <c r="AH835">
        <v>24</v>
      </c>
      <c r="CH835" t="str">
        <f t="shared" si="13"/>
        <v>JV1-0695-3</v>
      </c>
      <c r="CI835" s="1" t="s">
        <v>102</v>
      </c>
    </row>
    <row r="836" spans="1:87">
      <c r="A836" t="s">
        <v>1229</v>
      </c>
      <c r="B836">
        <v>881</v>
      </c>
      <c r="C836" t="s">
        <v>1165</v>
      </c>
      <c r="D836" t="s">
        <v>457</v>
      </c>
      <c r="E836" t="s">
        <v>629</v>
      </c>
      <c r="F836" t="s">
        <v>672</v>
      </c>
      <c r="G836" t="s">
        <v>673</v>
      </c>
      <c r="N836">
        <v>36</v>
      </c>
      <c r="O836">
        <v>60</v>
      </c>
      <c r="P836">
        <v>96</v>
      </c>
      <c r="Q836">
        <v>120</v>
      </c>
      <c r="R836">
        <v>102</v>
      </c>
      <c r="S836">
        <v>108</v>
      </c>
      <c r="T836">
        <v>72</v>
      </c>
      <c r="U836">
        <v>59</v>
      </c>
      <c r="V836">
        <v>54</v>
      </c>
      <c r="W836">
        <v>48</v>
      </c>
      <c r="X836">
        <v>42</v>
      </c>
      <c r="Y836">
        <v>30</v>
      </c>
      <c r="Z836">
        <v>30</v>
      </c>
      <c r="AA836">
        <v>12</v>
      </c>
      <c r="AB836">
        <v>6</v>
      </c>
      <c r="AD836">
        <v>6</v>
      </c>
      <c r="CH836" t="str">
        <f t="shared" si="13"/>
        <v>JV1-0695-3</v>
      </c>
      <c r="CI836" s="1" t="s">
        <v>102</v>
      </c>
    </row>
    <row r="837" spans="1:87">
      <c r="A837" t="s">
        <v>1230</v>
      </c>
      <c r="B837">
        <v>221</v>
      </c>
      <c r="C837" t="s">
        <v>1168</v>
      </c>
      <c r="D837" t="s">
        <v>457</v>
      </c>
      <c r="E837" t="s">
        <v>629</v>
      </c>
      <c r="F837" t="s">
        <v>672</v>
      </c>
      <c r="G837" t="s">
        <v>673</v>
      </c>
      <c r="N837">
        <v>6</v>
      </c>
      <c r="O837">
        <v>6</v>
      </c>
      <c r="P837">
        <v>6</v>
      </c>
      <c r="Q837">
        <v>6</v>
      </c>
      <c r="R837">
        <v>6</v>
      </c>
      <c r="S837">
        <v>6</v>
      </c>
      <c r="T837">
        <v>18</v>
      </c>
      <c r="U837">
        <v>11</v>
      </c>
      <c r="V837">
        <v>18</v>
      </c>
      <c r="W837">
        <v>6</v>
      </c>
      <c r="X837">
        <v>30</v>
      </c>
      <c r="Y837">
        <v>6</v>
      </c>
      <c r="Z837">
        <v>30</v>
      </c>
      <c r="AA837">
        <v>6</v>
      </c>
      <c r="AB837">
        <v>30</v>
      </c>
      <c r="AD837">
        <v>18</v>
      </c>
      <c r="AF837">
        <v>12</v>
      </c>
      <c r="CH837" t="str">
        <f t="shared" si="13"/>
        <v>JV1-0695-3</v>
      </c>
      <c r="CI837" s="1" t="s">
        <v>102</v>
      </c>
    </row>
    <row r="838" spans="1:87">
      <c r="A838" t="s">
        <v>1292</v>
      </c>
      <c r="B838">
        <v>1499</v>
      </c>
      <c r="C838" t="s">
        <v>718</v>
      </c>
      <c r="D838" t="s">
        <v>457</v>
      </c>
      <c r="E838" t="s">
        <v>629</v>
      </c>
      <c r="F838" t="s">
        <v>672</v>
      </c>
      <c r="G838" t="s">
        <v>673</v>
      </c>
      <c r="O838">
        <v>24</v>
      </c>
      <c r="Q838">
        <v>24</v>
      </c>
      <c r="S838">
        <v>252</v>
      </c>
      <c r="U838">
        <v>378</v>
      </c>
      <c r="W838">
        <v>389</v>
      </c>
      <c r="Y838">
        <v>270</v>
      </c>
      <c r="AA838">
        <v>96</v>
      </c>
      <c r="AC838">
        <v>54</v>
      </c>
      <c r="AE838">
        <v>12</v>
      </c>
      <c r="CH838" t="str">
        <f t="shared" si="13"/>
        <v>JV1-0695-3</v>
      </c>
      <c r="CI838" s="1" t="s">
        <v>102</v>
      </c>
    </row>
    <row r="839" spans="1:87">
      <c r="A839" t="s">
        <v>1293</v>
      </c>
      <c r="B839">
        <v>149</v>
      </c>
      <c r="C839" t="s">
        <v>1165</v>
      </c>
      <c r="D839" t="s">
        <v>457</v>
      </c>
      <c r="E839" t="s">
        <v>629</v>
      </c>
      <c r="F839" t="s">
        <v>672</v>
      </c>
      <c r="G839" t="s">
        <v>673</v>
      </c>
      <c r="U839">
        <v>12</v>
      </c>
      <c r="V839">
        <v>24</v>
      </c>
      <c r="W839">
        <v>36</v>
      </c>
      <c r="X839">
        <v>41</v>
      </c>
      <c r="Y839">
        <v>18</v>
      </c>
      <c r="Z839">
        <v>12</v>
      </c>
      <c r="AA839">
        <v>6</v>
      </c>
      <c r="CH839" t="str">
        <f t="shared" si="13"/>
        <v>JV1-0695-3</v>
      </c>
      <c r="CI839" s="1" t="s">
        <v>102</v>
      </c>
    </row>
    <row r="840" spans="1:87">
      <c r="A840" t="s">
        <v>1294</v>
      </c>
      <c r="B840">
        <v>2573</v>
      </c>
      <c r="C840" t="s">
        <v>1165</v>
      </c>
      <c r="D840" t="s">
        <v>457</v>
      </c>
      <c r="E840" t="s">
        <v>629</v>
      </c>
      <c r="F840" t="s">
        <v>672</v>
      </c>
      <c r="G840" t="s">
        <v>673</v>
      </c>
      <c r="O840">
        <v>12</v>
      </c>
      <c r="P840">
        <v>60</v>
      </c>
      <c r="Q840">
        <v>180</v>
      </c>
      <c r="R840">
        <v>240</v>
      </c>
      <c r="S840">
        <v>156</v>
      </c>
      <c r="T840">
        <v>60</v>
      </c>
      <c r="U840">
        <v>72</v>
      </c>
      <c r="V840">
        <v>204</v>
      </c>
      <c r="W840">
        <v>348</v>
      </c>
      <c r="X840">
        <v>473</v>
      </c>
      <c r="Y840">
        <v>420</v>
      </c>
      <c r="Z840">
        <v>336</v>
      </c>
      <c r="AB840">
        <v>12</v>
      </c>
      <c r="CH840" t="str">
        <f t="shared" si="13"/>
        <v>JV1-0695-3</v>
      </c>
      <c r="CI840" s="1" t="s">
        <v>102</v>
      </c>
    </row>
    <row r="841" spans="1:87">
      <c r="A841" t="s">
        <v>1295</v>
      </c>
      <c r="B841">
        <v>299</v>
      </c>
      <c r="C841" t="s">
        <v>1165</v>
      </c>
      <c r="D841" t="s">
        <v>457</v>
      </c>
      <c r="E841" t="s">
        <v>629</v>
      </c>
      <c r="F841" t="s">
        <v>672</v>
      </c>
      <c r="G841" t="s">
        <v>673</v>
      </c>
      <c r="N841">
        <v>18</v>
      </c>
      <c r="P841">
        <v>30</v>
      </c>
      <c r="Q841">
        <v>18</v>
      </c>
      <c r="R841">
        <v>48</v>
      </c>
      <c r="S841">
        <v>18</v>
      </c>
      <c r="T841">
        <v>42</v>
      </c>
      <c r="U841">
        <v>12</v>
      </c>
      <c r="V841">
        <v>30</v>
      </c>
      <c r="W841">
        <v>12</v>
      </c>
      <c r="X841">
        <v>35</v>
      </c>
      <c r="Z841">
        <v>18</v>
      </c>
      <c r="AB841">
        <v>12</v>
      </c>
      <c r="AD841">
        <v>6</v>
      </c>
      <c r="CH841" t="str">
        <f t="shared" si="13"/>
        <v>JV1-0695-3</v>
      </c>
      <c r="CI841" s="1" t="s">
        <v>102</v>
      </c>
    </row>
    <row r="842" spans="1:87">
      <c r="A842" t="s">
        <v>1296</v>
      </c>
      <c r="B842">
        <v>395</v>
      </c>
      <c r="C842" t="s">
        <v>1166</v>
      </c>
      <c r="D842" t="s">
        <v>457</v>
      </c>
      <c r="E842" t="s">
        <v>629</v>
      </c>
      <c r="F842" t="s">
        <v>672</v>
      </c>
      <c r="G842" t="s">
        <v>673</v>
      </c>
      <c r="N842">
        <v>12</v>
      </c>
      <c r="P842">
        <v>30</v>
      </c>
      <c r="Q842">
        <v>12</v>
      </c>
      <c r="R842">
        <v>42</v>
      </c>
      <c r="S842">
        <v>18</v>
      </c>
      <c r="T842">
        <v>48</v>
      </c>
      <c r="U842">
        <v>30</v>
      </c>
      <c r="V842">
        <v>54</v>
      </c>
      <c r="W842">
        <v>12</v>
      </c>
      <c r="X842">
        <v>47</v>
      </c>
      <c r="Y842">
        <v>12</v>
      </c>
      <c r="Z842">
        <v>42</v>
      </c>
      <c r="AB842">
        <v>30</v>
      </c>
      <c r="AD842">
        <v>6</v>
      </c>
      <c r="CH842" t="str">
        <f t="shared" si="13"/>
        <v>JV1-0695-3</v>
      </c>
      <c r="CI842" s="1" t="s">
        <v>102</v>
      </c>
    </row>
    <row r="843" spans="1:87">
      <c r="A843" t="s">
        <v>1298</v>
      </c>
      <c r="B843">
        <v>329</v>
      </c>
      <c r="C843" t="s">
        <v>1166</v>
      </c>
      <c r="D843" t="s">
        <v>457</v>
      </c>
      <c r="E843" t="s">
        <v>629</v>
      </c>
      <c r="F843" t="s">
        <v>672</v>
      </c>
      <c r="G843" t="s">
        <v>673</v>
      </c>
      <c r="N843">
        <v>12</v>
      </c>
      <c r="P843">
        <v>30</v>
      </c>
      <c r="R843">
        <v>36</v>
      </c>
      <c r="T843">
        <v>42</v>
      </c>
      <c r="U843">
        <v>12</v>
      </c>
      <c r="V843">
        <v>48</v>
      </c>
      <c r="W843">
        <v>12</v>
      </c>
      <c r="X843">
        <v>53</v>
      </c>
      <c r="Z843">
        <v>48</v>
      </c>
      <c r="AB843">
        <v>30</v>
      </c>
      <c r="AD843">
        <v>6</v>
      </c>
      <c r="CH843" t="str">
        <f t="shared" si="13"/>
        <v>JV1-0695-3</v>
      </c>
      <c r="CI843" s="1" t="s">
        <v>102</v>
      </c>
    </row>
    <row r="844" spans="1:87">
      <c r="A844" t="s">
        <v>1299</v>
      </c>
      <c r="B844">
        <v>395</v>
      </c>
      <c r="C844" t="s">
        <v>1168</v>
      </c>
      <c r="D844" t="s">
        <v>457</v>
      </c>
      <c r="E844" t="s">
        <v>629</v>
      </c>
      <c r="F844" t="s">
        <v>672</v>
      </c>
      <c r="G844" t="s">
        <v>673</v>
      </c>
      <c r="N844">
        <v>12</v>
      </c>
      <c r="P844">
        <v>24</v>
      </c>
      <c r="R844">
        <v>30</v>
      </c>
      <c r="T844">
        <v>36</v>
      </c>
      <c r="U844">
        <v>12</v>
      </c>
      <c r="V844">
        <v>54</v>
      </c>
      <c r="W844">
        <v>30</v>
      </c>
      <c r="X844">
        <v>59</v>
      </c>
      <c r="Y844">
        <v>30</v>
      </c>
      <c r="Z844">
        <v>54</v>
      </c>
      <c r="AA844">
        <v>6</v>
      </c>
      <c r="AB844">
        <v>36</v>
      </c>
      <c r="AD844">
        <v>12</v>
      </c>
      <c r="CH844" t="str">
        <f t="shared" si="13"/>
        <v>JV1-0695-3</v>
      </c>
      <c r="CI844" s="1" t="s">
        <v>102</v>
      </c>
    </row>
    <row r="845" spans="1:87">
      <c r="A845" t="s">
        <v>1300</v>
      </c>
      <c r="B845">
        <v>665</v>
      </c>
      <c r="C845" t="s">
        <v>1166</v>
      </c>
      <c r="D845" t="s">
        <v>457</v>
      </c>
      <c r="E845" t="s">
        <v>629</v>
      </c>
      <c r="F845" t="s">
        <v>672</v>
      </c>
      <c r="G845" t="s">
        <v>673</v>
      </c>
      <c r="N845">
        <v>6</v>
      </c>
      <c r="O845">
        <v>12</v>
      </c>
      <c r="P845">
        <v>24</v>
      </c>
      <c r="Q845">
        <v>42</v>
      </c>
      <c r="R845">
        <v>60</v>
      </c>
      <c r="S845">
        <v>66</v>
      </c>
      <c r="T845">
        <v>66</v>
      </c>
      <c r="U845">
        <v>48</v>
      </c>
      <c r="V845">
        <v>36</v>
      </c>
      <c r="W845">
        <v>36</v>
      </c>
      <c r="X845">
        <v>41</v>
      </c>
      <c r="Y845">
        <v>42</v>
      </c>
      <c r="Z845">
        <v>42</v>
      </c>
      <c r="AA845">
        <v>42</v>
      </c>
      <c r="AB845">
        <v>36</v>
      </c>
      <c r="AC845">
        <v>30</v>
      </c>
      <c r="AD845">
        <v>24</v>
      </c>
      <c r="AF845">
        <v>12</v>
      </c>
      <c r="CH845" t="str">
        <f t="shared" si="13"/>
        <v>JV1-0695-3</v>
      </c>
      <c r="CI845" s="1" t="s">
        <v>102</v>
      </c>
    </row>
    <row r="846" spans="1:87">
      <c r="A846" t="s">
        <v>2212</v>
      </c>
      <c r="B846">
        <v>6</v>
      </c>
      <c r="C846" t="s">
        <v>1739</v>
      </c>
      <c r="D846" t="s">
        <v>261</v>
      </c>
      <c r="E846" t="s">
        <v>629</v>
      </c>
      <c r="F846" t="s">
        <v>652</v>
      </c>
      <c r="G846" t="s">
        <v>1003</v>
      </c>
      <c r="V846">
        <v>3</v>
      </c>
      <c r="X846">
        <v>3</v>
      </c>
      <c r="CH846" t="str">
        <f t="shared" si="13"/>
        <v>D-0310</v>
      </c>
      <c r="CI846" s="1" t="s">
        <v>102</v>
      </c>
    </row>
    <row r="847" spans="1:87">
      <c r="A847" t="s">
        <v>4328</v>
      </c>
      <c r="B847">
        <v>4030</v>
      </c>
      <c r="C847" t="s">
        <v>2383</v>
      </c>
      <c r="D847" t="s">
        <v>249</v>
      </c>
      <c r="E847" t="s">
        <v>629</v>
      </c>
      <c r="F847" t="s">
        <v>657</v>
      </c>
      <c r="G847" t="s">
        <v>2384</v>
      </c>
      <c r="T847">
        <v>97</v>
      </c>
      <c r="V847">
        <v>361</v>
      </c>
      <c r="W847">
        <v>204</v>
      </c>
      <c r="X847">
        <v>602</v>
      </c>
      <c r="Y847">
        <v>240</v>
      </c>
      <c r="Z847">
        <v>780</v>
      </c>
      <c r="AA847">
        <v>240</v>
      </c>
      <c r="AB847">
        <v>660</v>
      </c>
      <c r="AC847">
        <v>204</v>
      </c>
      <c r="AD847">
        <v>420</v>
      </c>
      <c r="AF847">
        <v>222</v>
      </c>
      <c r="CH847" t="str">
        <f t="shared" si="13"/>
        <v>D-0271</v>
      </c>
      <c r="CI847" s="1" t="s">
        <v>102</v>
      </c>
    </row>
    <row r="848" spans="1:87">
      <c r="A848" t="s">
        <v>4331</v>
      </c>
      <c r="B848">
        <v>4315</v>
      </c>
      <c r="C848" t="s">
        <v>2383</v>
      </c>
      <c r="D848" t="s">
        <v>249</v>
      </c>
      <c r="E848" t="s">
        <v>629</v>
      </c>
      <c r="F848" t="s">
        <v>657</v>
      </c>
      <c r="G848" t="s">
        <v>2384</v>
      </c>
      <c r="T848">
        <v>230</v>
      </c>
      <c r="U848">
        <v>40</v>
      </c>
      <c r="V848">
        <v>421</v>
      </c>
      <c r="W848">
        <v>300</v>
      </c>
      <c r="X848">
        <v>602</v>
      </c>
      <c r="Y848">
        <v>384</v>
      </c>
      <c r="Z848">
        <v>720</v>
      </c>
      <c r="AA848">
        <v>240</v>
      </c>
      <c r="AB848">
        <v>540</v>
      </c>
      <c r="AC848">
        <v>204</v>
      </c>
      <c r="AD848">
        <v>360</v>
      </c>
      <c r="AE848">
        <v>30</v>
      </c>
      <c r="AF848">
        <v>204</v>
      </c>
      <c r="AH848">
        <v>40</v>
      </c>
      <c r="CH848" t="str">
        <f t="shared" si="13"/>
        <v>D-0271</v>
      </c>
      <c r="CI848" s="1" t="s">
        <v>102</v>
      </c>
    </row>
    <row r="849" spans="1:87">
      <c r="A849" t="s">
        <v>4327</v>
      </c>
      <c r="B849">
        <v>5195</v>
      </c>
      <c r="C849" t="s">
        <v>2383</v>
      </c>
      <c r="D849" t="s">
        <v>249</v>
      </c>
      <c r="E849" t="s">
        <v>629</v>
      </c>
      <c r="F849" t="s">
        <v>657</v>
      </c>
      <c r="G849" t="s">
        <v>2384</v>
      </c>
      <c r="N849">
        <v>11</v>
      </c>
      <c r="O849">
        <v>18</v>
      </c>
      <c r="P849">
        <v>31</v>
      </c>
      <c r="Q849">
        <v>46</v>
      </c>
      <c r="R849">
        <v>86</v>
      </c>
      <c r="S849">
        <v>113</v>
      </c>
      <c r="T849">
        <v>216</v>
      </c>
      <c r="U849">
        <v>147</v>
      </c>
      <c r="V849">
        <v>373</v>
      </c>
      <c r="W849">
        <v>240</v>
      </c>
      <c r="X849">
        <v>662</v>
      </c>
      <c r="Y849">
        <v>300</v>
      </c>
      <c r="Z849">
        <v>840</v>
      </c>
      <c r="AA849">
        <v>300</v>
      </c>
      <c r="AB849">
        <v>660</v>
      </c>
      <c r="AC849">
        <v>240</v>
      </c>
      <c r="AD849">
        <v>420</v>
      </c>
      <c r="AE849">
        <v>106</v>
      </c>
      <c r="AF849">
        <v>240</v>
      </c>
      <c r="AH849">
        <v>106</v>
      </c>
      <c r="AJ849">
        <v>40</v>
      </c>
      <c r="CH849" t="str">
        <f t="shared" si="13"/>
        <v>D-0271</v>
      </c>
      <c r="CI849" s="1" t="s">
        <v>102</v>
      </c>
    </row>
    <row r="850" spans="1:87">
      <c r="A850" t="s">
        <v>2476</v>
      </c>
      <c r="B850">
        <v>2679</v>
      </c>
      <c r="C850" t="s">
        <v>2429</v>
      </c>
      <c r="D850" t="s">
        <v>238</v>
      </c>
      <c r="E850" t="s">
        <v>642</v>
      </c>
      <c r="F850" t="s">
        <v>645</v>
      </c>
      <c r="G850" t="s">
        <v>2430</v>
      </c>
      <c r="P850">
        <v>24</v>
      </c>
      <c r="Q850">
        <v>30</v>
      </c>
      <c r="R850">
        <v>186</v>
      </c>
      <c r="S850">
        <v>282</v>
      </c>
      <c r="T850">
        <v>453</v>
      </c>
      <c r="U850">
        <v>246</v>
      </c>
      <c r="V850">
        <v>384</v>
      </c>
      <c r="W850">
        <v>366</v>
      </c>
      <c r="X850">
        <v>330</v>
      </c>
      <c r="Y850">
        <v>66</v>
      </c>
      <c r="Z850">
        <v>102</v>
      </c>
      <c r="AB850">
        <v>192</v>
      </c>
      <c r="AD850">
        <v>18</v>
      </c>
      <c r="CH850" t="str">
        <f t="shared" si="13"/>
        <v>D-0267</v>
      </c>
      <c r="CI850" s="1" t="s">
        <v>102</v>
      </c>
    </row>
    <row r="851" spans="1:87">
      <c r="A851" t="s">
        <v>2477</v>
      </c>
      <c r="B851">
        <v>1773</v>
      </c>
      <c r="C851" t="s">
        <v>2429</v>
      </c>
      <c r="D851" t="s">
        <v>238</v>
      </c>
      <c r="E851" t="s">
        <v>642</v>
      </c>
      <c r="F851" t="s">
        <v>645</v>
      </c>
      <c r="G851" t="s">
        <v>2430</v>
      </c>
      <c r="P851">
        <v>18</v>
      </c>
      <c r="Q851">
        <v>24</v>
      </c>
      <c r="R851">
        <v>120</v>
      </c>
      <c r="S851">
        <v>186</v>
      </c>
      <c r="T851">
        <v>303</v>
      </c>
      <c r="U851">
        <v>162</v>
      </c>
      <c r="V851">
        <v>252</v>
      </c>
      <c r="W851">
        <v>240</v>
      </c>
      <c r="X851">
        <v>216</v>
      </c>
      <c r="Y851">
        <v>48</v>
      </c>
      <c r="Z851">
        <v>66</v>
      </c>
      <c r="AB851">
        <v>126</v>
      </c>
      <c r="AD851">
        <v>12</v>
      </c>
      <c r="CH851" t="str">
        <f t="shared" si="13"/>
        <v>D-0267</v>
      </c>
      <c r="CI851" s="1" t="s">
        <v>102</v>
      </c>
    </row>
    <row r="852" spans="1:87">
      <c r="A852" t="s">
        <v>2478</v>
      </c>
      <c r="B852">
        <v>2013</v>
      </c>
      <c r="C852" t="s">
        <v>2429</v>
      </c>
      <c r="D852" t="s">
        <v>238</v>
      </c>
      <c r="E852" t="s">
        <v>642</v>
      </c>
      <c r="F852" t="s">
        <v>645</v>
      </c>
      <c r="G852" t="s">
        <v>2430</v>
      </c>
      <c r="U852">
        <v>338</v>
      </c>
      <c r="V852">
        <v>335</v>
      </c>
      <c r="W852">
        <v>335</v>
      </c>
      <c r="X852">
        <v>335</v>
      </c>
      <c r="Y852">
        <v>335</v>
      </c>
      <c r="Z852">
        <v>335</v>
      </c>
      <c r="CH852" t="str">
        <f t="shared" si="13"/>
        <v>D-0267</v>
      </c>
      <c r="CI852" s="1" t="s">
        <v>102</v>
      </c>
    </row>
    <row r="853" spans="1:87">
      <c r="A853" t="s">
        <v>2149</v>
      </c>
      <c r="B853">
        <v>272</v>
      </c>
      <c r="C853" t="s">
        <v>2099</v>
      </c>
      <c r="D853" t="s">
        <v>410</v>
      </c>
      <c r="E853" t="s">
        <v>629</v>
      </c>
      <c r="F853" t="s">
        <v>652</v>
      </c>
      <c r="G853" t="s">
        <v>1736</v>
      </c>
      <c r="U853">
        <v>40</v>
      </c>
      <c r="W853">
        <v>66</v>
      </c>
      <c r="X853">
        <v>6</v>
      </c>
      <c r="Y853">
        <v>62</v>
      </c>
      <c r="Z853">
        <v>6</v>
      </c>
      <c r="AA853">
        <v>48</v>
      </c>
      <c r="AC853">
        <v>24</v>
      </c>
      <c r="AE853">
        <v>20</v>
      </c>
      <c r="CH853" t="str">
        <f t="shared" si="13"/>
        <v>D-0591</v>
      </c>
      <c r="CI853" s="1" t="s">
        <v>102</v>
      </c>
    </row>
    <row r="854" spans="1:87">
      <c r="A854" t="s">
        <v>2146</v>
      </c>
      <c r="B854">
        <v>120</v>
      </c>
      <c r="C854" t="s">
        <v>2099</v>
      </c>
      <c r="D854" t="s">
        <v>410</v>
      </c>
      <c r="E854" t="s">
        <v>629</v>
      </c>
      <c r="F854" t="s">
        <v>652</v>
      </c>
      <c r="G854" t="s">
        <v>1736</v>
      </c>
      <c r="S854">
        <v>24</v>
      </c>
      <c r="U854">
        <v>24</v>
      </c>
      <c r="W854">
        <v>24</v>
      </c>
      <c r="Y854">
        <v>24</v>
      </c>
      <c r="AA854">
        <v>12</v>
      </c>
      <c r="AC854">
        <v>12</v>
      </c>
      <c r="CH854" t="str">
        <f t="shared" si="13"/>
        <v>D-0591</v>
      </c>
      <c r="CI854" s="1" t="s">
        <v>102</v>
      </c>
    </row>
    <row r="855" spans="1:87">
      <c r="A855" t="s">
        <v>2236</v>
      </c>
      <c r="B855">
        <v>68</v>
      </c>
      <c r="C855" t="s">
        <v>2099</v>
      </c>
      <c r="D855" t="s">
        <v>410</v>
      </c>
      <c r="E855" t="s">
        <v>629</v>
      </c>
      <c r="F855" t="s">
        <v>652</v>
      </c>
      <c r="G855" t="s">
        <v>1736</v>
      </c>
      <c r="V855">
        <v>34</v>
      </c>
      <c r="X855">
        <v>34</v>
      </c>
      <c r="CH855" t="str">
        <f t="shared" si="13"/>
        <v>D-0591</v>
      </c>
      <c r="CI855" s="1" t="s">
        <v>102</v>
      </c>
    </row>
    <row r="856" spans="1:87">
      <c r="A856" t="s">
        <v>2237</v>
      </c>
      <c r="B856">
        <v>56</v>
      </c>
      <c r="C856" t="s">
        <v>2099</v>
      </c>
      <c r="D856" t="s">
        <v>410</v>
      </c>
      <c r="E856" t="s">
        <v>629</v>
      </c>
      <c r="F856" t="s">
        <v>652</v>
      </c>
      <c r="G856" t="s">
        <v>1736</v>
      </c>
      <c r="V856">
        <v>28</v>
      </c>
      <c r="X856">
        <v>28</v>
      </c>
      <c r="CH856" t="str">
        <f t="shared" si="13"/>
        <v>D-0591</v>
      </c>
      <c r="CI856" s="1" t="s">
        <v>102</v>
      </c>
    </row>
    <row r="857" spans="1:87">
      <c r="A857" t="s">
        <v>2103</v>
      </c>
      <c r="B857">
        <v>180</v>
      </c>
      <c r="C857" t="s">
        <v>2099</v>
      </c>
      <c r="D857" t="s">
        <v>410</v>
      </c>
      <c r="E857" t="s">
        <v>629</v>
      </c>
      <c r="F857" t="s">
        <v>652</v>
      </c>
      <c r="G857" t="s">
        <v>1736</v>
      </c>
      <c r="W857">
        <v>12</v>
      </c>
      <c r="X857">
        <v>12</v>
      </c>
      <c r="Y857">
        <v>36</v>
      </c>
      <c r="Z857">
        <v>24</v>
      </c>
      <c r="AA857">
        <v>36</v>
      </c>
      <c r="AB857">
        <v>24</v>
      </c>
      <c r="AC857">
        <v>24</v>
      </c>
      <c r="AE857">
        <v>12</v>
      </c>
      <c r="CH857" t="str">
        <f t="shared" si="13"/>
        <v>D-0591</v>
      </c>
      <c r="CI857" s="1" t="s">
        <v>102</v>
      </c>
    </row>
    <row r="858" spans="1:87">
      <c r="A858" t="s">
        <v>2238</v>
      </c>
      <c r="B858">
        <v>12</v>
      </c>
      <c r="C858" t="s">
        <v>2099</v>
      </c>
      <c r="D858" t="s">
        <v>410</v>
      </c>
      <c r="E858" t="s">
        <v>629</v>
      </c>
      <c r="F858" t="s">
        <v>652</v>
      </c>
      <c r="G858" t="s">
        <v>1736</v>
      </c>
      <c r="V858">
        <v>6</v>
      </c>
      <c r="X858">
        <v>6</v>
      </c>
      <c r="CH858" t="str">
        <f t="shared" si="13"/>
        <v>D-0591</v>
      </c>
      <c r="CI858" s="1" t="s">
        <v>102</v>
      </c>
    </row>
    <row r="859" spans="1:87">
      <c r="A859" t="s">
        <v>2239</v>
      </c>
      <c r="B859">
        <v>4</v>
      </c>
      <c r="C859" t="s">
        <v>2099</v>
      </c>
      <c r="D859" t="s">
        <v>410</v>
      </c>
      <c r="E859" t="s">
        <v>629</v>
      </c>
      <c r="F859" t="s">
        <v>652</v>
      </c>
      <c r="G859" t="s">
        <v>1736</v>
      </c>
      <c r="V859">
        <v>2</v>
      </c>
      <c r="X859">
        <v>2</v>
      </c>
      <c r="CH859" t="str">
        <f t="shared" si="13"/>
        <v>D-0591</v>
      </c>
      <c r="CI859" s="1" t="s">
        <v>102</v>
      </c>
    </row>
    <row r="860" spans="1:87">
      <c r="A860" t="s">
        <v>2240</v>
      </c>
      <c r="B860">
        <v>4</v>
      </c>
      <c r="C860" t="s">
        <v>2099</v>
      </c>
      <c r="D860" t="s">
        <v>410</v>
      </c>
      <c r="E860" t="s">
        <v>629</v>
      </c>
      <c r="F860" t="s">
        <v>652</v>
      </c>
      <c r="G860" t="s">
        <v>1736</v>
      </c>
      <c r="V860">
        <v>2</v>
      </c>
      <c r="X860">
        <v>2</v>
      </c>
      <c r="CH860" t="str">
        <f t="shared" si="13"/>
        <v>D-0591</v>
      </c>
      <c r="CI860" s="1" t="s">
        <v>102</v>
      </c>
    </row>
    <row r="861" spans="1:87">
      <c r="A861" t="s">
        <v>2241</v>
      </c>
      <c r="B861">
        <v>6</v>
      </c>
      <c r="C861" t="s">
        <v>2099</v>
      </c>
      <c r="D861" t="s">
        <v>410</v>
      </c>
      <c r="E861" t="s">
        <v>629</v>
      </c>
      <c r="F861" t="s">
        <v>652</v>
      </c>
      <c r="G861" t="s">
        <v>1736</v>
      </c>
      <c r="V861">
        <v>3</v>
      </c>
      <c r="X861">
        <v>3</v>
      </c>
      <c r="CH861" t="str">
        <f t="shared" si="13"/>
        <v>D-0591</v>
      </c>
      <c r="CI861" s="1" t="s">
        <v>102</v>
      </c>
    </row>
    <row r="862" spans="1:87">
      <c r="A862" t="s">
        <v>2105</v>
      </c>
      <c r="B862">
        <v>132</v>
      </c>
      <c r="C862" t="s">
        <v>2099</v>
      </c>
      <c r="D862" t="s">
        <v>410</v>
      </c>
      <c r="E862" t="s">
        <v>629</v>
      </c>
      <c r="F862" t="s">
        <v>652</v>
      </c>
      <c r="G862" t="s">
        <v>1736</v>
      </c>
      <c r="V862">
        <v>12</v>
      </c>
      <c r="W862">
        <v>12</v>
      </c>
      <c r="X862">
        <v>12</v>
      </c>
      <c r="Y862">
        <v>24</v>
      </c>
      <c r="Z862">
        <v>12</v>
      </c>
      <c r="AA862">
        <v>12</v>
      </c>
      <c r="AB862">
        <v>24</v>
      </c>
      <c r="AC862">
        <v>12</v>
      </c>
      <c r="AE862">
        <v>12</v>
      </c>
      <c r="CH862" t="str">
        <f t="shared" si="13"/>
        <v>D-0591</v>
      </c>
      <c r="CI862" s="1" t="s">
        <v>102</v>
      </c>
    </row>
    <row r="863" spans="1:87">
      <c r="A863" t="s">
        <v>2106</v>
      </c>
      <c r="B863">
        <v>312</v>
      </c>
      <c r="C863" t="s">
        <v>2099</v>
      </c>
      <c r="D863" t="s">
        <v>410</v>
      </c>
      <c r="E863" t="s">
        <v>629</v>
      </c>
      <c r="F863" t="s">
        <v>652</v>
      </c>
      <c r="G863" t="s">
        <v>1736</v>
      </c>
      <c r="N863">
        <v>72</v>
      </c>
      <c r="P863">
        <v>120</v>
      </c>
      <c r="R863">
        <v>120</v>
      </c>
      <c r="CH863" t="str">
        <f t="shared" si="13"/>
        <v>D-0591</v>
      </c>
      <c r="CI863" s="1" t="s">
        <v>102</v>
      </c>
    </row>
    <row r="864" spans="1:87">
      <c r="A864" t="s">
        <v>2107</v>
      </c>
      <c r="B864">
        <v>216</v>
      </c>
      <c r="C864" t="s">
        <v>2099</v>
      </c>
      <c r="D864" t="s">
        <v>410</v>
      </c>
      <c r="E864" t="s">
        <v>629</v>
      </c>
      <c r="F864" t="s">
        <v>652</v>
      </c>
      <c r="G864" t="s">
        <v>1736</v>
      </c>
      <c r="W864">
        <v>24</v>
      </c>
      <c r="X864">
        <v>12</v>
      </c>
      <c r="Y864">
        <v>36</v>
      </c>
      <c r="Z864">
        <v>24</v>
      </c>
      <c r="AA864">
        <v>36</v>
      </c>
      <c r="AB864">
        <v>24</v>
      </c>
      <c r="AC864">
        <v>36</v>
      </c>
      <c r="AD864">
        <v>24</v>
      </c>
      <c r="CH864" t="str">
        <f t="shared" si="13"/>
        <v>D-0591</v>
      </c>
      <c r="CI864" s="1" t="s">
        <v>102</v>
      </c>
    </row>
    <row r="865" spans="1:87">
      <c r="A865" t="s">
        <v>2108</v>
      </c>
      <c r="B865">
        <v>2088</v>
      </c>
      <c r="C865" t="s">
        <v>2099</v>
      </c>
      <c r="D865" t="s">
        <v>410</v>
      </c>
      <c r="E865" t="s">
        <v>629</v>
      </c>
      <c r="F865" t="s">
        <v>652</v>
      </c>
      <c r="G865" t="s">
        <v>1736</v>
      </c>
      <c r="W865">
        <v>348</v>
      </c>
      <c r="X865">
        <v>348</v>
      </c>
      <c r="Y865">
        <v>348</v>
      </c>
      <c r="Z865">
        <v>348</v>
      </c>
      <c r="AA865">
        <v>348</v>
      </c>
      <c r="AC865">
        <v>348</v>
      </c>
      <c r="CH865" t="str">
        <f t="shared" si="13"/>
        <v>D-0591</v>
      </c>
      <c r="CI865" s="1" t="s">
        <v>102</v>
      </c>
    </row>
    <row r="866" spans="1:87">
      <c r="A866" t="s">
        <v>2109</v>
      </c>
      <c r="B866">
        <v>716</v>
      </c>
      <c r="C866" t="s">
        <v>2099</v>
      </c>
      <c r="D866" t="s">
        <v>410</v>
      </c>
      <c r="E866" t="s">
        <v>629</v>
      </c>
      <c r="F866" t="s">
        <v>652</v>
      </c>
      <c r="G866" t="s">
        <v>1736</v>
      </c>
      <c r="M866">
        <v>5</v>
      </c>
      <c r="N866">
        <v>13</v>
      </c>
      <c r="O866">
        <v>5</v>
      </c>
      <c r="P866">
        <v>23</v>
      </c>
      <c r="Q866">
        <v>11</v>
      </c>
      <c r="R866">
        <v>32</v>
      </c>
      <c r="S866">
        <v>32</v>
      </c>
      <c r="T866">
        <v>13</v>
      </c>
      <c r="U866">
        <v>36</v>
      </c>
      <c r="V866">
        <v>42</v>
      </c>
      <c r="W866">
        <v>42</v>
      </c>
      <c r="X866">
        <v>80</v>
      </c>
      <c r="Y866">
        <v>74</v>
      </c>
      <c r="Z866">
        <v>102</v>
      </c>
      <c r="AA866">
        <v>85</v>
      </c>
      <c r="AB866">
        <v>37</v>
      </c>
      <c r="AC866">
        <v>39</v>
      </c>
      <c r="AD866">
        <v>29</v>
      </c>
      <c r="AE866">
        <v>7</v>
      </c>
      <c r="AG866">
        <v>6</v>
      </c>
      <c r="AI866">
        <v>1</v>
      </c>
      <c r="AK866">
        <v>1</v>
      </c>
      <c r="AM866">
        <v>1</v>
      </c>
      <c r="CH866" t="str">
        <f t="shared" si="13"/>
        <v>D-0591</v>
      </c>
      <c r="CI866" s="1" t="s">
        <v>102</v>
      </c>
    </row>
    <row r="867" spans="1:87">
      <c r="A867" t="s">
        <v>2110</v>
      </c>
      <c r="B867">
        <v>559</v>
      </c>
      <c r="C867" t="s">
        <v>2099</v>
      </c>
      <c r="D867" t="s">
        <v>410</v>
      </c>
      <c r="E867" t="s">
        <v>629</v>
      </c>
      <c r="F867" t="s">
        <v>652</v>
      </c>
      <c r="G867" t="s">
        <v>1736</v>
      </c>
      <c r="M867">
        <v>5</v>
      </c>
      <c r="N867">
        <v>11</v>
      </c>
      <c r="O867">
        <v>5</v>
      </c>
      <c r="P867">
        <v>21</v>
      </c>
      <c r="Q867">
        <v>12</v>
      </c>
      <c r="R867">
        <v>31</v>
      </c>
      <c r="S867">
        <v>31</v>
      </c>
      <c r="T867">
        <v>12</v>
      </c>
      <c r="U867">
        <v>30</v>
      </c>
      <c r="V867">
        <v>32</v>
      </c>
      <c r="W867">
        <v>30</v>
      </c>
      <c r="X867">
        <v>59</v>
      </c>
      <c r="Y867">
        <v>50</v>
      </c>
      <c r="Z867">
        <v>74</v>
      </c>
      <c r="AA867">
        <v>64</v>
      </c>
      <c r="AB867">
        <v>30</v>
      </c>
      <c r="AC867">
        <v>29</v>
      </c>
      <c r="AD867">
        <v>22</v>
      </c>
      <c r="AE867">
        <v>6</v>
      </c>
      <c r="AG867">
        <v>5</v>
      </c>
      <c r="CH867" t="str">
        <f t="shared" si="13"/>
        <v>D-0591</v>
      </c>
      <c r="CI867" s="1" t="s">
        <v>102</v>
      </c>
    </row>
    <row r="868" spans="1:87">
      <c r="A868" t="s">
        <v>2111</v>
      </c>
      <c r="B868">
        <v>72</v>
      </c>
      <c r="C868" t="s">
        <v>2099</v>
      </c>
      <c r="D868" t="s">
        <v>410</v>
      </c>
      <c r="E868" t="s">
        <v>629</v>
      </c>
      <c r="F868" t="s">
        <v>652</v>
      </c>
      <c r="G868" t="s">
        <v>1736</v>
      </c>
      <c r="W868">
        <v>8</v>
      </c>
      <c r="X868">
        <v>11</v>
      </c>
      <c r="Y868">
        <v>8</v>
      </c>
      <c r="Z868">
        <v>9</v>
      </c>
      <c r="AA868">
        <v>12</v>
      </c>
      <c r="AB868">
        <v>7</v>
      </c>
      <c r="AC868">
        <v>8</v>
      </c>
      <c r="AD868">
        <v>7</v>
      </c>
      <c r="AE868">
        <v>1</v>
      </c>
      <c r="AG868">
        <v>1</v>
      </c>
      <c r="CH868" t="str">
        <f t="shared" si="13"/>
        <v>D-0591</v>
      </c>
      <c r="CI868" s="1" t="s">
        <v>102</v>
      </c>
    </row>
    <row r="869" spans="1:87">
      <c r="A869" t="s">
        <v>2112</v>
      </c>
      <c r="B869">
        <v>54</v>
      </c>
      <c r="C869" t="s">
        <v>2099</v>
      </c>
      <c r="D869" t="s">
        <v>410</v>
      </c>
      <c r="E869" t="s">
        <v>629</v>
      </c>
      <c r="F869" t="s">
        <v>652</v>
      </c>
      <c r="G869" t="s">
        <v>1736</v>
      </c>
      <c r="W869">
        <v>6</v>
      </c>
      <c r="X869">
        <v>8</v>
      </c>
      <c r="Y869">
        <v>6</v>
      </c>
      <c r="Z869">
        <v>7</v>
      </c>
      <c r="AA869">
        <v>9</v>
      </c>
      <c r="AB869">
        <v>5</v>
      </c>
      <c r="AC869">
        <v>6</v>
      </c>
      <c r="AD869">
        <v>5</v>
      </c>
      <c r="AE869">
        <v>1</v>
      </c>
      <c r="AG869">
        <v>1</v>
      </c>
      <c r="CH869" t="str">
        <f t="shared" si="13"/>
        <v>D-0591</v>
      </c>
      <c r="CI869" s="1" t="s">
        <v>102</v>
      </c>
    </row>
    <row r="870" spans="1:87">
      <c r="A870" t="s">
        <v>2113</v>
      </c>
      <c r="B870">
        <v>76</v>
      </c>
      <c r="C870" t="s">
        <v>2099</v>
      </c>
      <c r="D870" t="s">
        <v>410</v>
      </c>
      <c r="E870" t="s">
        <v>629</v>
      </c>
      <c r="F870" t="s">
        <v>652</v>
      </c>
      <c r="G870" t="s">
        <v>1736</v>
      </c>
      <c r="W870">
        <v>7</v>
      </c>
      <c r="X870">
        <v>14</v>
      </c>
      <c r="Y870">
        <v>10</v>
      </c>
      <c r="Z870">
        <v>10</v>
      </c>
      <c r="AA870">
        <v>14</v>
      </c>
      <c r="AB870">
        <v>7</v>
      </c>
      <c r="AC870">
        <v>7</v>
      </c>
      <c r="AD870">
        <v>7</v>
      </c>
      <c r="CH870" t="str">
        <f t="shared" si="13"/>
        <v>D-0591</v>
      </c>
      <c r="CI870" s="1" t="s">
        <v>102</v>
      </c>
    </row>
    <row r="871" spans="1:87">
      <c r="A871" t="s">
        <v>2114</v>
      </c>
      <c r="B871">
        <v>52</v>
      </c>
      <c r="C871" t="s">
        <v>2099</v>
      </c>
      <c r="D871" t="s">
        <v>410</v>
      </c>
      <c r="E871" t="s">
        <v>629</v>
      </c>
      <c r="F871" t="s">
        <v>652</v>
      </c>
      <c r="G871" t="s">
        <v>1736</v>
      </c>
      <c r="W871">
        <v>5</v>
      </c>
      <c r="X871">
        <v>10</v>
      </c>
      <c r="Y871">
        <v>6</v>
      </c>
      <c r="Z871">
        <v>6</v>
      </c>
      <c r="AA871">
        <v>10</v>
      </c>
      <c r="AB871">
        <v>5</v>
      </c>
      <c r="AC871">
        <v>5</v>
      </c>
      <c r="AD871">
        <v>5</v>
      </c>
      <c r="CH871" t="str">
        <f t="shared" si="13"/>
        <v>D-0591</v>
      </c>
      <c r="CI871" s="1" t="s">
        <v>102</v>
      </c>
    </row>
    <row r="872" spans="1:87">
      <c r="A872" t="s">
        <v>2115</v>
      </c>
      <c r="B872">
        <v>104</v>
      </c>
      <c r="C872" t="s">
        <v>2099</v>
      </c>
      <c r="D872" t="s">
        <v>410</v>
      </c>
      <c r="E872" t="s">
        <v>629</v>
      </c>
      <c r="F872" t="s">
        <v>652</v>
      </c>
      <c r="G872" t="s">
        <v>1736</v>
      </c>
      <c r="V872">
        <v>5</v>
      </c>
      <c r="W872">
        <v>7</v>
      </c>
      <c r="X872">
        <v>15</v>
      </c>
      <c r="Y872">
        <v>18</v>
      </c>
      <c r="Z872">
        <v>19</v>
      </c>
      <c r="AA872">
        <v>15</v>
      </c>
      <c r="AB872">
        <v>7</v>
      </c>
      <c r="AC872">
        <v>10</v>
      </c>
      <c r="AD872">
        <v>4</v>
      </c>
      <c r="AE872">
        <v>3</v>
      </c>
      <c r="AG872">
        <v>1</v>
      </c>
      <c r="CH872" t="str">
        <f t="shared" si="13"/>
        <v>D-0591</v>
      </c>
      <c r="CI872" s="1" t="s">
        <v>102</v>
      </c>
    </row>
    <row r="873" spans="1:87">
      <c r="A873" t="s">
        <v>2116</v>
      </c>
      <c r="B873">
        <v>64</v>
      </c>
      <c r="C873" t="s">
        <v>2099</v>
      </c>
      <c r="D873" t="s">
        <v>410</v>
      </c>
      <c r="E873" t="s">
        <v>629</v>
      </c>
      <c r="F873" t="s">
        <v>652</v>
      </c>
      <c r="G873" t="s">
        <v>1736</v>
      </c>
      <c r="V873">
        <v>2</v>
      </c>
      <c r="W873">
        <v>4</v>
      </c>
      <c r="X873">
        <v>9</v>
      </c>
      <c r="Y873">
        <v>11</v>
      </c>
      <c r="Z873">
        <v>12</v>
      </c>
      <c r="AA873">
        <v>9</v>
      </c>
      <c r="AB873">
        <v>4</v>
      </c>
      <c r="AC873">
        <v>5</v>
      </c>
      <c r="AD873">
        <v>4</v>
      </c>
      <c r="AE873">
        <v>3</v>
      </c>
      <c r="AG873">
        <v>1</v>
      </c>
      <c r="CH873" t="str">
        <f t="shared" si="13"/>
        <v>D-0591</v>
      </c>
      <c r="CI873" s="1" t="s">
        <v>102</v>
      </c>
    </row>
    <row r="874" spans="1:87">
      <c r="A874" t="s">
        <v>2117</v>
      </c>
      <c r="B874">
        <v>24</v>
      </c>
      <c r="C874" t="s">
        <v>2099</v>
      </c>
      <c r="D874" t="s">
        <v>410</v>
      </c>
      <c r="E874" t="s">
        <v>629</v>
      </c>
      <c r="F874" t="s">
        <v>652</v>
      </c>
      <c r="G874" t="s">
        <v>1736</v>
      </c>
      <c r="S874">
        <v>2</v>
      </c>
      <c r="U874">
        <v>2</v>
      </c>
      <c r="V874">
        <v>2</v>
      </c>
      <c r="X874">
        <v>4</v>
      </c>
      <c r="Y874">
        <v>4</v>
      </c>
      <c r="Z874">
        <v>4</v>
      </c>
      <c r="AA874">
        <v>4</v>
      </c>
      <c r="AC874">
        <v>2</v>
      </c>
      <c r="CH874" t="str">
        <f t="shared" si="13"/>
        <v>D-0591</v>
      </c>
      <c r="CI874" s="1" t="s">
        <v>102</v>
      </c>
    </row>
    <row r="875" spans="1:87">
      <c r="A875" t="s">
        <v>2118</v>
      </c>
      <c r="B875">
        <v>112</v>
      </c>
      <c r="C875" t="s">
        <v>2099</v>
      </c>
      <c r="D875" t="s">
        <v>410</v>
      </c>
      <c r="E875" t="s">
        <v>629</v>
      </c>
      <c r="F875" t="s">
        <v>652</v>
      </c>
      <c r="G875" t="s">
        <v>1736</v>
      </c>
      <c r="V875">
        <v>3</v>
      </c>
      <c r="W875">
        <v>9</v>
      </c>
      <c r="X875">
        <v>16</v>
      </c>
      <c r="Y875">
        <v>11</v>
      </c>
      <c r="Z875">
        <v>20</v>
      </c>
      <c r="AA875">
        <v>19</v>
      </c>
      <c r="AB875">
        <v>9</v>
      </c>
      <c r="AC875">
        <v>13</v>
      </c>
      <c r="AD875">
        <v>10</v>
      </c>
      <c r="AE875">
        <v>1</v>
      </c>
      <c r="AG875">
        <v>1</v>
      </c>
      <c r="CH875" t="str">
        <f t="shared" si="13"/>
        <v>D-0591</v>
      </c>
      <c r="CI875" s="1" t="s">
        <v>102</v>
      </c>
    </row>
    <row r="876" spans="1:87">
      <c r="A876" t="s">
        <v>2119</v>
      </c>
      <c r="B876">
        <v>94</v>
      </c>
      <c r="C876" t="s">
        <v>2099</v>
      </c>
      <c r="D876" t="s">
        <v>410</v>
      </c>
      <c r="E876" t="s">
        <v>629</v>
      </c>
      <c r="F876" t="s">
        <v>652</v>
      </c>
      <c r="G876" t="s">
        <v>1736</v>
      </c>
      <c r="V876">
        <v>3</v>
      </c>
      <c r="W876">
        <v>7</v>
      </c>
      <c r="X876">
        <v>13</v>
      </c>
      <c r="Y876">
        <v>9</v>
      </c>
      <c r="Z876">
        <v>18</v>
      </c>
      <c r="AA876">
        <v>16</v>
      </c>
      <c r="AB876">
        <v>8</v>
      </c>
      <c r="AC876">
        <v>11</v>
      </c>
      <c r="AD876">
        <v>8</v>
      </c>
      <c r="AE876">
        <v>1</v>
      </c>
      <c r="CH876" t="str">
        <f t="shared" si="13"/>
        <v>D-0591</v>
      </c>
      <c r="CI876" s="1" t="s">
        <v>102</v>
      </c>
    </row>
    <row r="877" spans="1:87">
      <c r="A877" t="s">
        <v>2120</v>
      </c>
      <c r="B877">
        <v>50</v>
      </c>
      <c r="C877" t="s">
        <v>2099</v>
      </c>
      <c r="D877" t="s">
        <v>410</v>
      </c>
      <c r="E877" t="s">
        <v>629</v>
      </c>
      <c r="F877" t="s">
        <v>652</v>
      </c>
      <c r="G877" t="s">
        <v>1736</v>
      </c>
      <c r="V877">
        <v>8</v>
      </c>
      <c r="X877">
        <v>12</v>
      </c>
      <c r="Z877">
        <v>12</v>
      </c>
      <c r="AA877">
        <v>12</v>
      </c>
      <c r="AC877">
        <v>6</v>
      </c>
      <c r="CH877" t="str">
        <f t="shared" si="13"/>
        <v>D-0591</v>
      </c>
      <c r="CI877" s="1" t="s">
        <v>102</v>
      </c>
    </row>
    <row r="878" spans="1:87">
      <c r="A878" t="s">
        <v>2121</v>
      </c>
      <c r="B878">
        <v>48</v>
      </c>
      <c r="C878" t="s">
        <v>2099</v>
      </c>
      <c r="D878" t="s">
        <v>410</v>
      </c>
      <c r="E878" t="s">
        <v>629</v>
      </c>
      <c r="F878" t="s">
        <v>652</v>
      </c>
      <c r="G878" t="s">
        <v>1736</v>
      </c>
      <c r="U878">
        <v>4</v>
      </c>
      <c r="V878">
        <v>5</v>
      </c>
      <c r="X878">
        <v>9</v>
      </c>
      <c r="Y878">
        <v>4</v>
      </c>
      <c r="Z878">
        <v>10</v>
      </c>
      <c r="AA878">
        <v>7</v>
      </c>
      <c r="AC878">
        <v>6</v>
      </c>
      <c r="AD878">
        <v>3</v>
      </c>
      <c r="CH878" t="str">
        <f t="shared" si="13"/>
        <v>D-0591</v>
      </c>
      <c r="CI878" s="1" t="s">
        <v>102</v>
      </c>
    </row>
    <row r="879" spans="1:87">
      <c r="A879" t="s">
        <v>2122</v>
      </c>
      <c r="B879">
        <v>24</v>
      </c>
      <c r="C879" t="s">
        <v>2099</v>
      </c>
      <c r="D879" t="s">
        <v>410</v>
      </c>
      <c r="E879" t="s">
        <v>629</v>
      </c>
      <c r="F879" t="s">
        <v>652</v>
      </c>
      <c r="G879" t="s">
        <v>1736</v>
      </c>
      <c r="U879">
        <v>2</v>
      </c>
      <c r="V879">
        <v>2</v>
      </c>
      <c r="X879">
        <v>4</v>
      </c>
      <c r="Y879">
        <v>2</v>
      </c>
      <c r="Z879">
        <v>4</v>
      </c>
      <c r="AA879">
        <v>4</v>
      </c>
      <c r="AC879">
        <v>4</v>
      </c>
      <c r="AD879">
        <v>2</v>
      </c>
      <c r="CH879" t="str">
        <f t="shared" si="13"/>
        <v>D-0591</v>
      </c>
      <c r="CI879" s="1" t="s">
        <v>102</v>
      </c>
    </row>
    <row r="880" spans="1:87">
      <c r="A880" t="s">
        <v>2124</v>
      </c>
      <c r="B880">
        <v>530</v>
      </c>
      <c r="C880" t="s">
        <v>2099</v>
      </c>
      <c r="D880" t="s">
        <v>410</v>
      </c>
      <c r="E880" t="s">
        <v>629</v>
      </c>
      <c r="F880" t="s">
        <v>652</v>
      </c>
      <c r="G880" t="s">
        <v>1736</v>
      </c>
      <c r="M880">
        <v>3</v>
      </c>
      <c r="O880">
        <v>7</v>
      </c>
      <c r="Q880">
        <v>20</v>
      </c>
      <c r="S880">
        <v>26</v>
      </c>
      <c r="U880">
        <v>25</v>
      </c>
      <c r="W880">
        <v>70</v>
      </c>
      <c r="Y880">
        <v>97</v>
      </c>
      <c r="AA880">
        <v>121</v>
      </c>
      <c r="AC880">
        <v>71</v>
      </c>
      <c r="AE880">
        <v>53</v>
      </c>
      <c r="AG880">
        <v>37</v>
      </c>
      <c r="CH880" t="str">
        <f t="shared" si="13"/>
        <v>D-0591</v>
      </c>
      <c r="CI880" s="1" t="s">
        <v>102</v>
      </c>
    </row>
    <row r="881" spans="1:87">
      <c r="A881" t="s">
        <v>2126</v>
      </c>
      <c r="B881">
        <v>114</v>
      </c>
      <c r="C881" t="s">
        <v>2099</v>
      </c>
      <c r="D881" t="s">
        <v>410</v>
      </c>
      <c r="E881" t="s">
        <v>629</v>
      </c>
      <c r="F881" t="s">
        <v>652</v>
      </c>
      <c r="G881" t="s">
        <v>1736</v>
      </c>
      <c r="S881">
        <v>1</v>
      </c>
      <c r="U881">
        <v>2</v>
      </c>
      <c r="W881">
        <v>17</v>
      </c>
      <c r="Y881">
        <v>23</v>
      </c>
      <c r="AA881">
        <v>28</v>
      </c>
      <c r="AC881">
        <v>17</v>
      </c>
      <c r="AE881">
        <v>16</v>
      </c>
      <c r="AG881">
        <v>10</v>
      </c>
      <c r="CH881" t="str">
        <f t="shared" si="13"/>
        <v>D-0591</v>
      </c>
      <c r="CI881" s="1" t="s">
        <v>102</v>
      </c>
    </row>
    <row r="882" spans="1:87">
      <c r="A882" t="s">
        <v>2128</v>
      </c>
      <c r="B882">
        <v>60</v>
      </c>
      <c r="C882" t="s">
        <v>2099</v>
      </c>
      <c r="D882" t="s">
        <v>410</v>
      </c>
      <c r="E882" t="s">
        <v>629</v>
      </c>
      <c r="F882" t="s">
        <v>652</v>
      </c>
      <c r="G882" t="s">
        <v>1736</v>
      </c>
      <c r="U882">
        <v>5</v>
      </c>
      <c r="V882">
        <v>10</v>
      </c>
      <c r="W882">
        <v>10</v>
      </c>
      <c r="X882">
        <v>10</v>
      </c>
      <c r="Y882">
        <v>10</v>
      </c>
      <c r="Z882">
        <v>5</v>
      </c>
      <c r="AA882">
        <v>5</v>
      </c>
      <c r="AB882">
        <v>5</v>
      </c>
      <c r="CH882" t="str">
        <f t="shared" si="13"/>
        <v>D-0591</v>
      </c>
      <c r="CI882" s="1" t="s">
        <v>102</v>
      </c>
    </row>
    <row r="883" spans="1:87">
      <c r="A883" t="s">
        <v>2130</v>
      </c>
      <c r="B883">
        <v>288</v>
      </c>
      <c r="C883" t="s">
        <v>2099</v>
      </c>
      <c r="D883" t="s">
        <v>410</v>
      </c>
      <c r="E883" t="s">
        <v>629</v>
      </c>
      <c r="F883" t="s">
        <v>652</v>
      </c>
      <c r="G883" t="s">
        <v>1736</v>
      </c>
      <c r="S883">
        <v>12</v>
      </c>
      <c r="U883">
        <v>36</v>
      </c>
      <c r="W883">
        <v>72</v>
      </c>
      <c r="Y883">
        <v>84</v>
      </c>
      <c r="AA883">
        <v>60</v>
      </c>
      <c r="AC883">
        <v>24</v>
      </c>
      <c r="CH883" t="str">
        <f t="shared" si="13"/>
        <v>D-0591</v>
      </c>
      <c r="CI883" s="1" t="s">
        <v>102</v>
      </c>
    </row>
    <row r="884" spans="1:87">
      <c r="A884" t="s">
        <v>2132</v>
      </c>
      <c r="B884">
        <v>252</v>
      </c>
      <c r="C884" t="s">
        <v>2099</v>
      </c>
      <c r="D884" t="s">
        <v>410</v>
      </c>
      <c r="E884" t="s">
        <v>629</v>
      </c>
      <c r="F884" t="s">
        <v>652</v>
      </c>
      <c r="G884" t="s">
        <v>1736</v>
      </c>
      <c r="O884">
        <v>21</v>
      </c>
      <c r="Q884">
        <v>21</v>
      </c>
      <c r="S884">
        <v>42</v>
      </c>
      <c r="U884">
        <v>42</v>
      </c>
      <c r="W884">
        <v>42</v>
      </c>
      <c r="Y884">
        <v>42</v>
      </c>
      <c r="AA884">
        <v>21</v>
      </c>
      <c r="AC884">
        <v>21</v>
      </c>
      <c r="CH884" t="str">
        <f t="shared" si="13"/>
        <v>D-0591</v>
      </c>
      <c r="CI884" s="1" t="s">
        <v>102</v>
      </c>
    </row>
    <row r="885" spans="1:87">
      <c r="A885" t="s">
        <v>2133</v>
      </c>
      <c r="B885">
        <v>36</v>
      </c>
      <c r="C885" t="s">
        <v>2099</v>
      </c>
      <c r="D885" t="s">
        <v>410</v>
      </c>
      <c r="E885" t="s">
        <v>629</v>
      </c>
      <c r="F885" t="s">
        <v>652</v>
      </c>
      <c r="G885" t="s">
        <v>1736</v>
      </c>
      <c r="U885">
        <v>4</v>
      </c>
      <c r="W885">
        <v>4</v>
      </c>
      <c r="X885">
        <v>12</v>
      </c>
      <c r="Z885">
        <v>12</v>
      </c>
      <c r="AA885">
        <v>4</v>
      </c>
      <c r="CH885" t="str">
        <f t="shared" si="13"/>
        <v>D-0591</v>
      </c>
      <c r="CI885" s="1" t="s">
        <v>102</v>
      </c>
    </row>
    <row r="886" spans="1:87">
      <c r="A886" t="s">
        <v>2134</v>
      </c>
      <c r="B886">
        <v>210</v>
      </c>
      <c r="C886" t="s">
        <v>2099</v>
      </c>
      <c r="D886" t="s">
        <v>410</v>
      </c>
      <c r="E886" t="s">
        <v>629</v>
      </c>
      <c r="F886" t="s">
        <v>652</v>
      </c>
      <c r="G886" t="s">
        <v>1736</v>
      </c>
      <c r="P886">
        <v>12</v>
      </c>
      <c r="Q886">
        <v>12</v>
      </c>
      <c r="R886">
        <v>12</v>
      </c>
      <c r="S886">
        <v>12</v>
      </c>
      <c r="T886">
        <v>12</v>
      </c>
      <c r="U886">
        <v>12</v>
      </c>
      <c r="V886">
        <v>12</v>
      </c>
      <c r="W886">
        <v>12</v>
      </c>
      <c r="X886">
        <v>12</v>
      </c>
      <c r="Y886">
        <v>12</v>
      </c>
      <c r="Z886">
        <v>12</v>
      </c>
      <c r="AA886">
        <v>12</v>
      </c>
      <c r="AB886">
        <v>12</v>
      </c>
      <c r="AC886">
        <v>12</v>
      </c>
      <c r="AD886">
        <v>12</v>
      </c>
      <c r="AE886">
        <v>12</v>
      </c>
      <c r="AG886">
        <v>12</v>
      </c>
      <c r="AI886">
        <v>6</v>
      </c>
      <c r="CH886" t="str">
        <f t="shared" si="13"/>
        <v>D-0591</v>
      </c>
      <c r="CI886" s="1" t="s">
        <v>102</v>
      </c>
    </row>
    <row r="887" spans="1:87">
      <c r="A887" t="s">
        <v>2136</v>
      </c>
      <c r="B887">
        <v>35</v>
      </c>
      <c r="C887" t="s">
        <v>2099</v>
      </c>
      <c r="D887" t="s">
        <v>410</v>
      </c>
      <c r="E887" t="s">
        <v>629</v>
      </c>
      <c r="F887" t="s">
        <v>652</v>
      </c>
      <c r="G887" t="s">
        <v>1736</v>
      </c>
      <c r="U887">
        <v>3</v>
      </c>
      <c r="V887">
        <v>6</v>
      </c>
      <c r="X887">
        <v>6</v>
      </c>
      <c r="Y887">
        <v>3</v>
      </c>
      <c r="Z887">
        <v>6</v>
      </c>
      <c r="AA887">
        <v>6</v>
      </c>
      <c r="AC887">
        <v>3</v>
      </c>
      <c r="AD887">
        <v>2</v>
      </c>
      <c r="CH887" t="str">
        <f t="shared" si="13"/>
        <v>D-0591</v>
      </c>
      <c r="CI887" s="1" t="s">
        <v>102</v>
      </c>
    </row>
    <row r="888" spans="1:87">
      <c r="A888" t="s">
        <v>2514</v>
      </c>
      <c r="B888">
        <v>5003</v>
      </c>
      <c r="C888" t="s">
        <v>2515</v>
      </c>
      <c r="D888" t="s">
        <v>444</v>
      </c>
      <c r="E888" t="s">
        <v>642</v>
      </c>
      <c r="F888" t="s">
        <v>636</v>
      </c>
      <c r="G888" t="s">
        <v>2516</v>
      </c>
      <c r="P888">
        <v>120</v>
      </c>
      <c r="Q888">
        <v>321</v>
      </c>
      <c r="R888">
        <v>573</v>
      </c>
      <c r="S888">
        <v>855</v>
      </c>
      <c r="T888">
        <v>914</v>
      </c>
      <c r="U888">
        <v>758</v>
      </c>
      <c r="V888">
        <v>653</v>
      </c>
      <c r="W888">
        <v>384</v>
      </c>
      <c r="X888">
        <v>196</v>
      </c>
      <c r="Y888">
        <v>113</v>
      </c>
      <c r="Z888">
        <v>116</v>
      </c>
      <c r="CH888" t="str">
        <f t="shared" si="13"/>
        <v>D-0686</v>
      </c>
      <c r="CI888" s="1" t="s">
        <v>102</v>
      </c>
    </row>
    <row r="889" spans="1:87">
      <c r="A889" t="s">
        <v>1999</v>
      </c>
      <c r="B889">
        <v>24</v>
      </c>
      <c r="C889" t="s">
        <v>1991</v>
      </c>
      <c r="D889" t="s">
        <v>410</v>
      </c>
      <c r="E889" t="s">
        <v>629</v>
      </c>
      <c r="F889" t="s">
        <v>652</v>
      </c>
      <c r="G889" t="s">
        <v>1992</v>
      </c>
      <c r="P889">
        <v>2</v>
      </c>
      <c r="Q889">
        <v>2</v>
      </c>
      <c r="R889">
        <v>2</v>
      </c>
      <c r="S889">
        <v>2</v>
      </c>
      <c r="T889">
        <v>2</v>
      </c>
      <c r="U889">
        <v>2</v>
      </c>
      <c r="V889">
        <v>2</v>
      </c>
      <c r="W889">
        <v>2</v>
      </c>
      <c r="X889">
        <v>2</v>
      </c>
      <c r="Y889">
        <v>2</v>
      </c>
      <c r="Z889">
        <v>2</v>
      </c>
      <c r="AA889">
        <v>2</v>
      </c>
      <c r="CH889" t="str">
        <f t="shared" si="13"/>
        <v>D-0591</v>
      </c>
      <c r="CI889" s="1" t="s">
        <v>102</v>
      </c>
    </row>
    <row r="890" spans="1:87">
      <c r="A890" t="s">
        <v>2001</v>
      </c>
      <c r="B890">
        <v>252</v>
      </c>
      <c r="C890" t="s">
        <v>1991</v>
      </c>
      <c r="D890" t="s">
        <v>410</v>
      </c>
      <c r="E890" t="s">
        <v>629</v>
      </c>
      <c r="F890" t="s">
        <v>652</v>
      </c>
      <c r="G890" t="s">
        <v>1992</v>
      </c>
      <c r="T890">
        <v>21</v>
      </c>
      <c r="U890">
        <v>42</v>
      </c>
      <c r="V890">
        <v>42</v>
      </c>
      <c r="W890">
        <v>42</v>
      </c>
      <c r="X890">
        <v>42</v>
      </c>
      <c r="Y890">
        <v>21</v>
      </c>
      <c r="Z890">
        <v>21</v>
      </c>
      <c r="AA890">
        <v>21</v>
      </c>
      <c r="CH890" t="str">
        <f t="shared" si="13"/>
        <v>D-0591</v>
      </c>
      <c r="CI890" s="1" t="s">
        <v>102</v>
      </c>
    </row>
    <row r="891" spans="1:87">
      <c r="A891" t="s">
        <v>2002</v>
      </c>
      <c r="B891">
        <v>288</v>
      </c>
      <c r="C891" t="s">
        <v>1991</v>
      </c>
      <c r="D891" t="s">
        <v>410</v>
      </c>
      <c r="E891" t="s">
        <v>629</v>
      </c>
      <c r="F891" t="s">
        <v>652</v>
      </c>
      <c r="G891" t="s">
        <v>1992</v>
      </c>
      <c r="T891">
        <v>24</v>
      </c>
      <c r="U891">
        <v>48</v>
      </c>
      <c r="V891">
        <v>48</v>
      </c>
      <c r="W891">
        <v>48</v>
      </c>
      <c r="X891">
        <v>48</v>
      </c>
      <c r="Y891">
        <v>24</v>
      </c>
      <c r="Z891">
        <v>24</v>
      </c>
      <c r="AA891">
        <v>24</v>
      </c>
      <c r="CH891" t="str">
        <f t="shared" si="13"/>
        <v>D-0591</v>
      </c>
      <c r="CI891" s="1" t="s">
        <v>102</v>
      </c>
    </row>
    <row r="892" spans="1:87">
      <c r="A892" t="s">
        <v>2005</v>
      </c>
      <c r="B892">
        <v>364</v>
      </c>
      <c r="C892" t="s">
        <v>1991</v>
      </c>
      <c r="D892" t="s">
        <v>410</v>
      </c>
      <c r="E892" t="s">
        <v>629</v>
      </c>
      <c r="F892" t="s">
        <v>652</v>
      </c>
      <c r="G892" t="s">
        <v>1992</v>
      </c>
      <c r="Q892">
        <v>12</v>
      </c>
      <c r="S892">
        <v>24</v>
      </c>
      <c r="U892">
        <v>60</v>
      </c>
      <c r="W892">
        <v>96</v>
      </c>
      <c r="Y892">
        <v>100</v>
      </c>
      <c r="AA892">
        <v>48</v>
      </c>
      <c r="AC892">
        <v>24</v>
      </c>
      <c r="CH892" t="str">
        <f t="shared" si="13"/>
        <v>D-0591</v>
      </c>
      <c r="CI892" s="1" t="s">
        <v>102</v>
      </c>
    </row>
    <row r="893" spans="1:87">
      <c r="A893" t="s">
        <v>2233</v>
      </c>
      <c r="B893">
        <v>10</v>
      </c>
      <c r="C893" t="s">
        <v>1991</v>
      </c>
      <c r="D893" t="s">
        <v>410</v>
      </c>
      <c r="E893" t="s">
        <v>629</v>
      </c>
      <c r="F893" t="s">
        <v>652</v>
      </c>
      <c r="G893" t="s">
        <v>1992</v>
      </c>
      <c r="V893">
        <v>5</v>
      </c>
      <c r="X893">
        <v>5</v>
      </c>
      <c r="CH893" t="str">
        <f t="shared" si="13"/>
        <v>D-0591</v>
      </c>
      <c r="CI893" s="1" t="s">
        <v>102</v>
      </c>
    </row>
    <row r="894" spans="1:87">
      <c r="A894" t="s">
        <v>2234</v>
      </c>
      <c r="B894">
        <v>10</v>
      </c>
      <c r="C894" t="s">
        <v>1991</v>
      </c>
      <c r="D894" t="s">
        <v>410</v>
      </c>
      <c r="E894" t="s">
        <v>629</v>
      </c>
      <c r="F894" t="s">
        <v>652</v>
      </c>
      <c r="G894" t="s">
        <v>1992</v>
      </c>
      <c r="V894">
        <v>5</v>
      </c>
      <c r="X894">
        <v>5</v>
      </c>
      <c r="CH894" t="str">
        <f t="shared" si="13"/>
        <v>D-0591</v>
      </c>
      <c r="CI894" s="1" t="s">
        <v>102</v>
      </c>
    </row>
    <row r="895" spans="1:87">
      <c r="A895" t="s">
        <v>1990</v>
      </c>
      <c r="B895">
        <v>82</v>
      </c>
      <c r="C895" t="s">
        <v>1991</v>
      </c>
      <c r="D895" t="s">
        <v>410</v>
      </c>
      <c r="E895" t="s">
        <v>629</v>
      </c>
      <c r="F895" t="s">
        <v>652</v>
      </c>
      <c r="G895" t="s">
        <v>1992</v>
      </c>
      <c r="U895">
        <v>5</v>
      </c>
      <c r="V895">
        <v>9</v>
      </c>
      <c r="X895">
        <v>17</v>
      </c>
      <c r="Y895">
        <v>8</v>
      </c>
      <c r="Z895">
        <v>18</v>
      </c>
      <c r="AA895">
        <v>14</v>
      </c>
      <c r="AC895">
        <v>8</v>
      </c>
      <c r="AD895">
        <v>3</v>
      </c>
      <c r="CH895" t="str">
        <f t="shared" si="13"/>
        <v>D-0591</v>
      </c>
      <c r="CI895" s="1" t="s">
        <v>102</v>
      </c>
    </row>
    <row r="896" spans="1:87">
      <c r="A896" t="s">
        <v>1993</v>
      </c>
      <c r="B896">
        <v>500</v>
      </c>
      <c r="C896" t="s">
        <v>1991</v>
      </c>
      <c r="D896" t="s">
        <v>410</v>
      </c>
      <c r="E896" t="s">
        <v>629</v>
      </c>
      <c r="F896" t="s">
        <v>652</v>
      </c>
      <c r="G896" t="s">
        <v>1992</v>
      </c>
      <c r="M896">
        <v>2</v>
      </c>
      <c r="O896">
        <v>5</v>
      </c>
      <c r="Q896">
        <v>12</v>
      </c>
      <c r="S896">
        <v>16</v>
      </c>
      <c r="U896">
        <v>15</v>
      </c>
      <c r="W896">
        <v>66</v>
      </c>
      <c r="Y896">
        <v>96</v>
      </c>
      <c r="AA896">
        <v>122</v>
      </c>
      <c r="AC896">
        <v>75</v>
      </c>
      <c r="AE896">
        <v>54</v>
      </c>
      <c r="AG896">
        <v>37</v>
      </c>
      <c r="CH896" t="str">
        <f t="shared" si="13"/>
        <v>D-0591</v>
      </c>
      <c r="CI896" s="1" t="s">
        <v>102</v>
      </c>
    </row>
    <row r="897" spans="1:87">
      <c r="A897" t="s">
        <v>1994</v>
      </c>
      <c r="B897">
        <v>490</v>
      </c>
      <c r="C897" t="s">
        <v>1991</v>
      </c>
      <c r="D897" t="s">
        <v>410</v>
      </c>
      <c r="E897" t="s">
        <v>629</v>
      </c>
      <c r="F897" t="s">
        <v>652</v>
      </c>
      <c r="G897" t="s">
        <v>1992</v>
      </c>
      <c r="M897">
        <v>2</v>
      </c>
      <c r="O897">
        <v>5</v>
      </c>
      <c r="Q897">
        <v>14</v>
      </c>
      <c r="S897">
        <v>18</v>
      </c>
      <c r="U897">
        <v>17</v>
      </c>
      <c r="W897">
        <v>66</v>
      </c>
      <c r="Y897">
        <v>92</v>
      </c>
      <c r="AA897">
        <v>118</v>
      </c>
      <c r="AC897">
        <v>70</v>
      </c>
      <c r="AE897">
        <v>52</v>
      </c>
      <c r="AG897">
        <v>36</v>
      </c>
      <c r="CH897" t="str">
        <f t="shared" si="13"/>
        <v>D-0591</v>
      </c>
      <c r="CI897" s="1" t="s">
        <v>102</v>
      </c>
    </row>
    <row r="898" spans="1:87">
      <c r="A898" t="s">
        <v>1995</v>
      </c>
      <c r="B898">
        <v>114</v>
      </c>
      <c r="C898" t="s">
        <v>1991</v>
      </c>
      <c r="D898" t="s">
        <v>410</v>
      </c>
      <c r="E898" t="s">
        <v>629</v>
      </c>
      <c r="F898" t="s">
        <v>652</v>
      </c>
      <c r="G898" t="s">
        <v>1992</v>
      </c>
      <c r="S898">
        <v>1</v>
      </c>
      <c r="U898">
        <v>2</v>
      </c>
      <c r="W898">
        <v>17</v>
      </c>
      <c r="Y898">
        <v>23</v>
      </c>
      <c r="AA898">
        <v>28</v>
      </c>
      <c r="AC898">
        <v>17</v>
      </c>
      <c r="AE898">
        <v>16</v>
      </c>
      <c r="AG898">
        <v>10</v>
      </c>
      <c r="CH898" t="str">
        <f t="shared" ref="CH898:CH961" si="14">TRIM(IFERROR(IFERROR(MID($D898,FIND("(D-",$D898)+1,6),LEFT($D898,FIND("(",$D898)-1)),$D898))</f>
        <v>D-0591</v>
      </c>
      <c r="CI898" s="1" t="s">
        <v>102</v>
      </c>
    </row>
    <row r="899" spans="1:87">
      <c r="A899" t="s">
        <v>1996</v>
      </c>
      <c r="B899">
        <v>114</v>
      </c>
      <c r="C899" t="s">
        <v>1991</v>
      </c>
      <c r="D899" t="s">
        <v>410</v>
      </c>
      <c r="E899" t="s">
        <v>629</v>
      </c>
      <c r="F899" t="s">
        <v>652</v>
      </c>
      <c r="G899" t="s">
        <v>1992</v>
      </c>
      <c r="S899">
        <v>1</v>
      </c>
      <c r="U899">
        <v>2</v>
      </c>
      <c r="W899">
        <v>17</v>
      </c>
      <c r="Y899">
        <v>23</v>
      </c>
      <c r="AA899">
        <v>28</v>
      </c>
      <c r="AC899">
        <v>17</v>
      </c>
      <c r="AE899">
        <v>16</v>
      </c>
      <c r="AG899">
        <v>10</v>
      </c>
      <c r="CH899" t="str">
        <f t="shared" si="14"/>
        <v>D-0591</v>
      </c>
      <c r="CI899" s="1" t="s">
        <v>102</v>
      </c>
    </row>
    <row r="900" spans="1:87">
      <c r="A900" t="s">
        <v>1997</v>
      </c>
      <c r="B900">
        <v>60</v>
      </c>
      <c r="C900" t="s">
        <v>1991</v>
      </c>
      <c r="D900" t="s">
        <v>410</v>
      </c>
      <c r="E900" t="s">
        <v>629</v>
      </c>
      <c r="F900" t="s">
        <v>652</v>
      </c>
      <c r="G900" t="s">
        <v>1992</v>
      </c>
      <c r="U900">
        <v>5</v>
      </c>
      <c r="V900">
        <v>10</v>
      </c>
      <c r="W900">
        <v>10</v>
      </c>
      <c r="X900">
        <v>10</v>
      </c>
      <c r="Y900">
        <v>10</v>
      </c>
      <c r="Z900">
        <v>5</v>
      </c>
      <c r="AA900">
        <v>5</v>
      </c>
      <c r="AB900">
        <v>5</v>
      </c>
      <c r="CH900" t="str">
        <f t="shared" si="14"/>
        <v>D-0591</v>
      </c>
      <c r="CI900" s="1" t="s">
        <v>102</v>
      </c>
    </row>
    <row r="901" spans="1:87">
      <c r="A901" t="s">
        <v>1998</v>
      </c>
      <c r="B901">
        <v>60</v>
      </c>
      <c r="C901" t="s">
        <v>1991</v>
      </c>
      <c r="D901" t="s">
        <v>410</v>
      </c>
      <c r="E901" t="s">
        <v>629</v>
      </c>
      <c r="F901" t="s">
        <v>652</v>
      </c>
      <c r="G901" t="s">
        <v>1992</v>
      </c>
      <c r="U901">
        <v>5</v>
      </c>
      <c r="V901">
        <v>10</v>
      </c>
      <c r="W901">
        <v>10</v>
      </c>
      <c r="X901">
        <v>10</v>
      </c>
      <c r="Y901">
        <v>10</v>
      </c>
      <c r="Z901">
        <v>5</v>
      </c>
      <c r="AA901">
        <v>5</v>
      </c>
      <c r="AB901">
        <v>5</v>
      </c>
      <c r="CH901" t="str">
        <f t="shared" si="14"/>
        <v>D-0591</v>
      </c>
      <c r="CI901" s="1" t="s">
        <v>102</v>
      </c>
    </row>
    <row r="902" spans="1:87">
      <c r="A902" t="s">
        <v>2006</v>
      </c>
      <c r="B902">
        <v>35</v>
      </c>
      <c r="C902" t="s">
        <v>1991</v>
      </c>
      <c r="D902" t="s">
        <v>410</v>
      </c>
      <c r="E902" t="s">
        <v>629</v>
      </c>
      <c r="F902" t="s">
        <v>652</v>
      </c>
      <c r="G902" t="s">
        <v>1992</v>
      </c>
      <c r="U902">
        <v>3</v>
      </c>
      <c r="V902">
        <v>6</v>
      </c>
      <c r="X902">
        <v>6</v>
      </c>
      <c r="Y902">
        <v>3</v>
      </c>
      <c r="Z902">
        <v>6</v>
      </c>
      <c r="AA902">
        <v>6</v>
      </c>
      <c r="AC902">
        <v>3</v>
      </c>
      <c r="AD902">
        <v>2</v>
      </c>
      <c r="CH902" t="str">
        <f t="shared" si="14"/>
        <v>D-0591</v>
      </c>
      <c r="CI902" s="1" t="s">
        <v>102</v>
      </c>
    </row>
    <row r="903" spans="1:87">
      <c r="A903" t="s">
        <v>2008</v>
      </c>
      <c r="B903">
        <v>108</v>
      </c>
      <c r="C903" t="s">
        <v>1991</v>
      </c>
      <c r="D903" t="s">
        <v>410</v>
      </c>
      <c r="E903" t="s">
        <v>629</v>
      </c>
      <c r="F903" t="s">
        <v>652</v>
      </c>
      <c r="G903" t="s">
        <v>1992</v>
      </c>
      <c r="M903">
        <v>12</v>
      </c>
      <c r="O903">
        <v>12</v>
      </c>
      <c r="Q903">
        <v>12</v>
      </c>
      <c r="S903">
        <v>12</v>
      </c>
      <c r="U903">
        <v>12</v>
      </c>
      <c r="W903">
        <v>12</v>
      </c>
      <c r="Y903">
        <v>12</v>
      </c>
      <c r="AA903">
        <v>12</v>
      </c>
      <c r="AC903">
        <v>12</v>
      </c>
      <c r="CH903" t="str">
        <f t="shared" si="14"/>
        <v>D-0591</v>
      </c>
      <c r="CI903" s="1" t="s">
        <v>102</v>
      </c>
    </row>
    <row r="904" spans="1:87">
      <c r="A904" t="s">
        <v>2010</v>
      </c>
      <c r="B904">
        <v>348</v>
      </c>
      <c r="C904" t="s">
        <v>1991</v>
      </c>
      <c r="D904" t="s">
        <v>410</v>
      </c>
      <c r="E904" t="s">
        <v>629</v>
      </c>
      <c r="F904" t="s">
        <v>652</v>
      </c>
      <c r="G904" t="s">
        <v>1992</v>
      </c>
      <c r="O904">
        <v>12</v>
      </c>
      <c r="P904">
        <v>12</v>
      </c>
      <c r="Q904">
        <v>24</v>
      </c>
      <c r="R904">
        <v>12</v>
      </c>
      <c r="S904">
        <v>24</v>
      </c>
      <c r="T904">
        <v>12</v>
      </c>
      <c r="U904">
        <v>36</v>
      </c>
      <c r="V904">
        <v>36</v>
      </c>
      <c r="W904">
        <v>48</v>
      </c>
      <c r="X904">
        <v>36</v>
      </c>
      <c r="Y904">
        <v>48</v>
      </c>
      <c r="Z904">
        <v>24</v>
      </c>
      <c r="AA904">
        <v>12</v>
      </c>
      <c r="AC904">
        <v>12</v>
      </c>
      <c r="CH904" t="str">
        <f t="shared" si="14"/>
        <v>D-0591</v>
      </c>
      <c r="CI904" s="1" t="s">
        <v>102</v>
      </c>
    </row>
    <row r="905" spans="1:87">
      <c r="A905" t="s">
        <v>2012</v>
      </c>
      <c r="B905">
        <v>84</v>
      </c>
      <c r="C905" t="s">
        <v>1991</v>
      </c>
      <c r="D905" t="s">
        <v>410</v>
      </c>
      <c r="E905" t="s">
        <v>629</v>
      </c>
      <c r="F905" t="s">
        <v>652</v>
      </c>
      <c r="G905" t="s">
        <v>1992</v>
      </c>
      <c r="U905">
        <v>14</v>
      </c>
      <c r="W905">
        <v>21</v>
      </c>
      <c r="Y905">
        <v>21</v>
      </c>
      <c r="AA905">
        <v>14</v>
      </c>
      <c r="AC905">
        <v>7</v>
      </c>
      <c r="AE905">
        <v>7</v>
      </c>
      <c r="CH905" t="str">
        <f t="shared" si="14"/>
        <v>D-0591</v>
      </c>
      <c r="CI905" s="1" t="s">
        <v>102</v>
      </c>
    </row>
    <row r="906" spans="1:87">
      <c r="A906" t="s">
        <v>2013</v>
      </c>
      <c r="B906">
        <v>84</v>
      </c>
      <c r="C906" t="s">
        <v>1991</v>
      </c>
      <c r="D906" t="s">
        <v>410</v>
      </c>
      <c r="E906" t="s">
        <v>629</v>
      </c>
      <c r="F906" t="s">
        <v>652</v>
      </c>
      <c r="G906" t="s">
        <v>1992</v>
      </c>
      <c r="U906">
        <v>14</v>
      </c>
      <c r="W906">
        <v>21</v>
      </c>
      <c r="Y906">
        <v>21</v>
      </c>
      <c r="AA906">
        <v>14</v>
      </c>
      <c r="AC906">
        <v>7</v>
      </c>
      <c r="AE906">
        <v>7</v>
      </c>
      <c r="CH906" t="str">
        <f t="shared" si="14"/>
        <v>D-0591</v>
      </c>
      <c r="CI906" s="1" t="s">
        <v>102</v>
      </c>
    </row>
    <row r="907" spans="1:87">
      <c r="A907" t="s">
        <v>3449</v>
      </c>
      <c r="B907">
        <v>6731</v>
      </c>
      <c r="C907" t="s">
        <v>1561</v>
      </c>
      <c r="D907" t="s">
        <v>444</v>
      </c>
      <c r="E907" t="s">
        <v>629</v>
      </c>
      <c r="F907" t="s">
        <v>636</v>
      </c>
      <c r="G907" t="s">
        <v>1562</v>
      </c>
      <c r="T907">
        <v>586</v>
      </c>
      <c r="U907">
        <v>452</v>
      </c>
      <c r="V907">
        <v>1471</v>
      </c>
      <c r="W907">
        <v>1417</v>
      </c>
      <c r="X907">
        <v>1158</v>
      </c>
      <c r="Y907">
        <v>1047</v>
      </c>
      <c r="Z907">
        <v>427</v>
      </c>
      <c r="AA907">
        <v>81</v>
      </c>
      <c r="AB907">
        <v>92</v>
      </c>
      <c r="CH907" t="str">
        <f t="shared" si="14"/>
        <v>D-0686</v>
      </c>
      <c r="CI907" s="1" t="s">
        <v>102</v>
      </c>
    </row>
    <row r="908" spans="1:87">
      <c r="A908" t="s">
        <v>4876</v>
      </c>
      <c r="B908">
        <v>5</v>
      </c>
      <c r="C908" t="s">
        <v>3267</v>
      </c>
      <c r="D908" t="s">
        <v>291</v>
      </c>
      <c r="E908" t="s">
        <v>629</v>
      </c>
      <c r="F908" t="s">
        <v>661</v>
      </c>
      <c r="G908" t="s">
        <v>3420</v>
      </c>
      <c r="X908">
        <v>5</v>
      </c>
      <c r="CH908" t="str">
        <f t="shared" si="14"/>
        <v>D-0419</v>
      </c>
      <c r="CI908" s="1" t="s">
        <v>102</v>
      </c>
    </row>
    <row r="909" spans="1:87">
      <c r="A909" t="s">
        <v>3451</v>
      </c>
      <c r="B909">
        <v>1547</v>
      </c>
      <c r="C909" t="s">
        <v>1184</v>
      </c>
      <c r="D909" t="s">
        <v>444</v>
      </c>
      <c r="E909" t="s">
        <v>642</v>
      </c>
      <c r="F909" t="s">
        <v>636</v>
      </c>
      <c r="G909" t="s">
        <v>1185</v>
      </c>
      <c r="P909">
        <v>127</v>
      </c>
      <c r="Q909">
        <v>683</v>
      </c>
      <c r="R909">
        <v>163</v>
      </c>
      <c r="S909">
        <v>489</v>
      </c>
      <c r="T909">
        <v>85</v>
      </c>
      <c r="CH909" t="str">
        <f t="shared" si="14"/>
        <v>D-0686</v>
      </c>
      <c r="CI909" s="1" t="s">
        <v>102</v>
      </c>
    </row>
    <row r="910" spans="1:87">
      <c r="A910" t="s">
        <v>2852</v>
      </c>
      <c r="B910">
        <v>755</v>
      </c>
      <c r="C910" t="s">
        <v>1171</v>
      </c>
      <c r="D910" t="s">
        <v>457</v>
      </c>
      <c r="E910" t="s">
        <v>629</v>
      </c>
      <c r="F910" t="s">
        <v>672</v>
      </c>
      <c r="G910" t="s">
        <v>686</v>
      </c>
      <c r="N910">
        <v>30</v>
      </c>
      <c r="O910">
        <v>48</v>
      </c>
      <c r="P910">
        <v>48</v>
      </c>
      <c r="Q910">
        <v>72</v>
      </c>
      <c r="R910">
        <v>72</v>
      </c>
      <c r="S910">
        <v>78</v>
      </c>
      <c r="T910">
        <v>60</v>
      </c>
      <c r="U910">
        <v>54</v>
      </c>
      <c r="V910">
        <v>53</v>
      </c>
      <c r="W910">
        <v>36</v>
      </c>
      <c r="X910">
        <v>42</v>
      </c>
      <c r="Y910">
        <v>24</v>
      </c>
      <c r="Z910">
        <v>48</v>
      </c>
      <c r="AA910">
        <v>30</v>
      </c>
      <c r="AB910">
        <v>18</v>
      </c>
      <c r="AC910">
        <v>18</v>
      </c>
      <c r="AD910">
        <v>12</v>
      </c>
      <c r="AF910">
        <v>6</v>
      </c>
      <c r="AH910">
        <v>6</v>
      </c>
      <c r="CH910" t="str">
        <f t="shared" si="14"/>
        <v>JV1-0695-3</v>
      </c>
      <c r="CI910" s="1" t="s">
        <v>102</v>
      </c>
    </row>
    <row r="911" spans="1:87">
      <c r="A911" t="s">
        <v>2856</v>
      </c>
      <c r="B911">
        <v>2435</v>
      </c>
      <c r="C911" t="s">
        <v>1170</v>
      </c>
      <c r="D911" t="s">
        <v>457</v>
      </c>
      <c r="E911" t="s">
        <v>629</v>
      </c>
      <c r="F911" t="s">
        <v>672</v>
      </c>
      <c r="G911" t="s">
        <v>686</v>
      </c>
      <c r="N911">
        <v>42</v>
      </c>
      <c r="O911">
        <v>54</v>
      </c>
      <c r="P911">
        <v>78</v>
      </c>
      <c r="Q911">
        <v>96</v>
      </c>
      <c r="R911">
        <v>150</v>
      </c>
      <c r="S911">
        <v>120</v>
      </c>
      <c r="T911">
        <v>138</v>
      </c>
      <c r="U911">
        <v>114</v>
      </c>
      <c r="V911">
        <v>161</v>
      </c>
      <c r="W911">
        <v>120</v>
      </c>
      <c r="X911">
        <v>216</v>
      </c>
      <c r="Y911">
        <v>204</v>
      </c>
      <c r="Z911">
        <v>240</v>
      </c>
      <c r="AA911">
        <v>180</v>
      </c>
      <c r="AB911">
        <v>222</v>
      </c>
      <c r="AC911">
        <v>72</v>
      </c>
      <c r="AD911">
        <v>138</v>
      </c>
      <c r="AF911">
        <v>72</v>
      </c>
      <c r="AH911">
        <v>12</v>
      </c>
      <c r="AN911">
        <v>6</v>
      </c>
      <c r="CH911" t="str">
        <f t="shared" si="14"/>
        <v>JV1-0695-3</v>
      </c>
      <c r="CI911" s="1" t="s">
        <v>102</v>
      </c>
    </row>
    <row r="912" spans="1:87">
      <c r="A912" t="s">
        <v>2857</v>
      </c>
      <c r="B912">
        <v>3287</v>
      </c>
      <c r="C912" t="s">
        <v>1167</v>
      </c>
      <c r="D912" t="s">
        <v>457</v>
      </c>
      <c r="E912" t="s">
        <v>629</v>
      </c>
      <c r="F912" t="s">
        <v>672</v>
      </c>
      <c r="G912" t="s">
        <v>686</v>
      </c>
      <c r="N912">
        <v>48</v>
      </c>
      <c r="O912">
        <v>84</v>
      </c>
      <c r="P912">
        <v>120</v>
      </c>
      <c r="Q912">
        <v>174</v>
      </c>
      <c r="R912">
        <v>228</v>
      </c>
      <c r="S912">
        <v>240</v>
      </c>
      <c r="T912">
        <v>228</v>
      </c>
      <c r="U912">
        <v>174</v>
      </c>
      <c r="V912">
        <v>233</v>
      </c>
      <c r="W912">
        <v>198</v>
      </c>
      <c r="X912">
        <v>264</v>
      </c>
      <c r="Y912">
        <v>252</v>
      </c>
      <c r="Z912">
        <v>264</v>
      </c>
      <c r="AA912">
        <v>216</v>
      </c>
      <c r="AB912">
        <v>234</v>
      </c>
      <c r="AC912">
        <v>78</v>
      </c>
      <c r="AD912">
        <v>150</v>
      </c>
      <c r="AF912">
        <v>78</v>
      </c>
      <c r="AH912">
        <v>24</v>
      </c>
      <c r="CH912" t="str">
        <f t="shared" si="14"/>
        <v>JV1-0695-3</v>
      </c>
      <c r="CI912" s="1" t="s">
        <v>102</v>
      </c>
    </row>
    <row r="913" spans="1:87">
      <c r="A913" t="s">
        <v>2858</v>
      </c>
      <c r="B913">
        <v>3341</v>
      </c>
      <c r="C913" t="s">
        <v>1167</v>
      </c>
      <c r="D913" t="s">
        <v>457</v>
      </c>
      <c r="E913" t="s">
        <v>629</v>
      </c>
      <c r="F913" t="s">
        <v>672</v>
      </c>
      <c r="G913" t="s">
        <v>686</v>
      </c>
      <c r="N913">
        <v>48</v>
      </c>
      <c r="O913">
        <v>90</v>
      </c>
      <c r="P913">
        <v>126</v>
      </c>
      <c r="Q913">
        <v>174</v>
      </c>
      <c r="R913">
        <v>234</v>
      </c>
      <c r="S913">
        <v>240</v>
      </c>
      <c r="T913">
        <v>228</v>
      </c>
      <c r="U913">
        <v>174</v>
      </c>
      <c r="V913">
        <v>239</v>
      </c>
      <c r="W913">
        <v>198</v>
      </c>
      <c r="X913">
        <v>270</v>
      </c>
      <c r="Y913">
        <v>258</v>
      </c>
      <c r="Z913">
        <v>264</v>
      </c>
      <c r="AA913">
        <v>216</v>
      </c>
      <c r="AB913">
        <v>234</v>
      </c>
      <c r="AC913">
        <v>78</v>
      </c>
      <c r="AD913">
        <v>156</v>
      </c>
      <c r="AF913">
        <v>78</v>
      </c>
      <c r="AH913">
        <v>24</v>
      </c>
      <c r="AJ913">
        <v>6</v>
      </c>
      <c r="AN913">
        <v>6</v>
      </c>
      <c r="CH913" t="str">
        <f t="shared" si="14"/>
        <v>JV1-0695-3</v>
      </c>
      <c r="CI913" s="1" t="s">
        <v>102</v>
      </c>
    </row>
    <row r="914" spans="1:87">
      <c r="A914" t="s">
        <v>2208</v>
      </c>
      <c r="B914">
        <v>24</v>
      </c>
      <c r="C914" t="s">
        <v>2045</v>
      </c>
      <c r="D914" t="s">
        <v>304</v>
      </c>
      <c r="E914" t="s">
        <v>629</v>
      </c>
      <c r="F914" t="s">
        <v>2046</v>
      </c>
      <c r="G914" t="s">
        <v>2047</v>
      </c>
      <c r="V914">
        <v>12</v>
      </c>
      <c r="X914">
        <v>12</v>
      </c>
      <c r="CH914" t="str">
        <f t="shared" si="14"/>
        <v>D-0451</v>
      </c>
      <c r="CI914" s="1" t="s">
        <v>102</v>
      </c>
    </row>
    <row r="915" spans="1:87">
      <c r="A915" t="s">
        <v>2209</v>
      </c>
      <c r="B915">
        <v>18</v>
      </c>
      <c r="C915" t="s">
        <v>2061</v>
      </c>
      <c r="D915" t="s">
        <v>304</v>
      </c>
      <c r="E915" t="s">
        <v>629</v>
      </c>
      <c r="F915" t="s">
        <v>2046</v>
      </c>
      <c r="G915" t="s">
        <v>2062</v>
      </c>
      <c r="V915">
        <v>9</v>
      </c>
      <c r="X915">
        <v>9</v>
      </c>
      <c r="CH915" t="str">
        <f t="shared" si="14"/>
        <v>D-0451</v>
      </c>
      <c r="CI915" s="1" t="s">
        <v>102</v>
      </c>
    </row>
    <row r="916" spans="1:87">
      <c r="A916" t="s">
        <v>3602</v>
      </c>
      <c r="B916">
        <v>3132</v>
      </c>
      <c r="C916" t="s">
        <v>3493</v>
      </c>
      <c r="D916" t="s">
        <v>3494</v>
      </c>
      <c r="E916" t="s">
        <v>629</v>
      </c>
      <c r="F916" t="s">
        <v>635</v>
      </c>
      <c r="G916" t="s">
        <v>1647</v>
      </c>
      <c r="L916">
        <v>24</v>
      </c>
      <c r="N916">
        <v>102</v>
      </c>
      <c r="P916">
        <v>252</v>
      </c>
      <c r="R916">
        <v>378</v>
      </c>
      <c r="T916">
        <v>534</v>
      </c>
      <c r="V916">
        <v>522</v>
      </c>
      <c r="X916">
        <v>426</v>
      </c>
      <c r="Z916">
        <v>354</v>
      </c>
      <c r="AB916">
        <v>318</v>
      </c>
      <c r="AD916">
        <v>198</v>
      </c>
      <c r="AF916">
        <v>24</v>
      </c>
      <c r="CH916" t="str">
        <f t="shared" si="14"/>
        <v>D-0493</v>
      </c>
      <c r="CI916" s="1" t="s">
        <v>102</v>
      </c>
    </row>
    <row r="917" spans="1:87">
      <c r="A917" t="s">
        <v>3580</v>
      </c>
      <c r="B917">
        <v>24</v>
      </c>
      <c r="C917" t="s">
        <v>3493</v>
      </c>
      <c r="D917" t="s">
        <v>3494</v>
      </c>
      <c r="E917" t="s">
        <v>629</v>
      </c>
      <c r="F917" t="s">
        <v>635</v>
      </c>
      <c r="G917" t="s">
        <v>1647</v>
      </c>
      <c r="Q917">
        <v>2</v>
      </c>
      <c r="R917">
        <v>2</v>
      </c>
      <c r="T917">
        <v>2</v>
      </c>
      <c r="U917">
        <v>2</v>
      </c>
      <c r="W917">
        <v>2</v>
      </c>
      <c r="X917">
        <v>2</v>
      </c>
      <c r="Y917">
        <v>4</v>
      </c>
      <c r="Z917">
        <v>2</v>
      </c>
      <c r="AA917">
        <v>2</v>
      </c>
      <c r="AB917">
        <v>2</v>
      </c>
      <c r="AC917">
        <v>2</v>
      </c>
      <c r="CH917" t="str">
        <f t="shared" si="14"/>
        <v>D-0493</v>
      </c>
      <c r="CI917" s="1" t="s">
        <v>102</v>
      </c>
    </row>
    <row r="918" spans="1:87">
      <c r="A918" t="s">
        <v>3581</v>
      </c>
      <c r="B918">
        <v>51</v>
      </c>
      <c r="C918" t="s">
        <v>3493</v>
      </c>
      <c r="D918" t="s">
        <v>3494</v>
      </c>
      <c r="E918" t="s">
        <v>629</v>
      </c>
      <c r="F918" t="s">
        <v>635</v>
      </c>
      <c r="G918" t="s">
        <v>1647</v>
      </c>
      <c r="Q918">
        <v>3</v>
      </c>
      <c r="R918">
        <v>3</v>
      </c>
      <c r="S918">
        <v>3</v>
      </c>
      <c r="T918">
        <v>6</v>
      </c>
      <c r="U918">
        <v>3</v>
      </c>
      <c r="V918">
        <v>3</v>
      </c>
      <c r="W918">
        <v>6</v>
      </c>
      <c r="X918">
        <v>3</v>
      </c>
      <c r="Y918">
        <v>6</v>
      </c>
      <c r="Z918">
        <v>6</v>
      </c>
      <c r="AA918">
        <v>3</v>
      </c>
      <c r="AB918">
        <v>3</v>
      </c>
      <c r="AC918">
        <v>3</v>
      </c>
      <c r="CH918" t="str">
        <f t="shared" si="14"/>
        <v>D-0493</v>
      </c>
      <c r="CI918" s="1" t="s">
        <v>102</v>
      </c>
    </row>
    <row r="919" spans="1:87">
      <c r="A919" t="s">
        <v>3582</v>
      </c>
      <c r="B919">
        <v>24</v>
      </c>
      <c r="C919" t="s">
        <v>3493</v>
      </c>
      <c r="D919" t="s">
        <v>3494</v>
      </c>
      <c r="E919" t="s">
        <v>629</v>
      </c>
      <c r="F919" t="s">
        <v>635</v>
      </c>
      <c r="G919" t="s">
        <v>1647</v>
      </c>
      <c r="Q919">
        <v>2</v>
      </c>
      <c r="R919">
        <v>2</v>
      </c>
      <c r="T919">
        <v>2</v>
      </c>
      <c r="U919">
        <v>2</v>
      </c>
      <c r="V919">
        <v>2</v>
      </c>
      <c r="W919">
        <v>2</v>
      </c>
      <c r="X919">
        <v>2</v>
      </c>
      <c r="Y919">
        <v>2</v>
      </c>
      <c r="Z919">
        <v>2</v>
      </c>
      <c r="AA919">
        <v>2</v>
      </c>
      <c r="AB919">
        <v>2</v>
      </c>
      <c r="AD919">
        <v>2</v>
      </c>
      <c r="CH919" t="str">
        <f t="shared" si="14"/>
        <v>D-0493</v>
      </c>
      <c r="CI919" s="1" t="s">
        <v>102</v>
      </c>
    </row>
    <row r="920" spans="1:87">
      <c r="A920" t="s">
        <v>3583</v>
      </c>
      <c r="B920">
        <v>353</v>
      </c>
      <c r="C920" t="s">
        <v>3493</v>
      </c>
      <c r="D920" t="s">
        <v>3494</v>
      </c>
      <c r="E920" t="s">
        <v>629</v>
      </c>
      <c r="F920" t="s">
        <v>635</v>
      </c>
      <c r="G920" t="s">
        <v>1647</v>
      </c>
      <c r="L920">
        <v>4</v>
      </c>
      <c r="M920">
        <v>13</v>
      </c>
      <c r="N920">
        <v>8</v>
      </c>
      <c r="O920">
        <v>23</v>
      </c>
      <c r="P920">
        <v>11</v>
      </c>
      <c r="Q920">
        <v>34</v>
      </c>
      <c r="R920">
        <v>34</v>
      </c>
      <c r="S920">
        <v>12</v>
      </c>
      <c r="T920">
        <v>27</v>
      </c>
      <c r="U920">
        <v>24</v>
      </c>
      <c r="V920">
        <v>11</v>
      </c>
      <c r="W920">
        <v>28</v>
      </c>
      <c r="X920">
        <v>12</v>
      </c>
      <c r="Y920">
        <v>36</v>
      </c>
      <c r="Z920">
        <v>34</v>
      </c>
      <c r="AA920">
        <v>8</v>
      </c>
      <c r="AB920">
        <v>17</v>
      </c>
      <c r="AC920">
        <v>11</v>
      </c>
      <c r="AD920">
        <v>4</v>
      </c>
      <c r="AF920">
        <v>2</v>
      </c>
      <c r="CH920" t="str">
        <f t="shared" si="14"/>
        <v>D-0493</v>
      </c>
      <c r="CI920" s="1" t="s">
        <v>102</v>
      </c>
    </row>
    <row r="921" spans="1:87">
      <c r="A921" t="s">
        <v>3566</v>
      </c>
      <c r="B921">
        <v>457</v>
      </c>
      <c r="C921" t="s">
        <v>3493</v>
      </c>
      <c r="D921" t="s">
        <v>3494</v>
      </c>
      <c r="E921" t="s">
        <v>629</v>
      </c>
      <c r="F921" t="s">
        <v>635</v>
      </c>
      <c r="G921" t="s">
        <v>1647</v>
      </c>
      <c r="L921">
        <v>4</v>
      </c>
      <c r="M921">
        <v>14</v>
      </c>
      <c r="N921">
        <v>7</v>
      </c>
      <c r="O921">
        <v>30</v>
      </c>
      <c r="P921">
        <v>14</v>
      </c>
      <c r="Q921">
        <v>45</v>
      </c>
      <c r="R921">
        <v>45</v>
      </c>
      <c r="S921">
        <v>15</v>
      </c>
      <c r="T921">
        <v>34</v>
      </c>
      <c r="U921">
        <v>30</v>
      </c>
      <c r="V921">
        <v>16</v>
      </c>
      <c r="W921">
        <v>38</v>
      </c>
      <c r="X921">
        <v>18</v>
      </c>
      <c r="Y921">
        <v>46</v>
      </c>
      <c r="Z921">
        <v>43</v>
      </c>
      <c r="AA921">
        <v>13</v>
      </c>
      <c r="AB921">
        <v>23</v>
      </c>
      <c r="AC921">
        <v>14</v>
      </c>
      <c r="AD921">
        <v>6</v>
      </c>
      <c r="AF921">
        <v>2</v>
      </c>
      <c r="CH921" t="str">
        <f t="shared" si="14"/>
        <v>D-0493</v>
      </c>
      <c r="CI921" s="1" t="s">
        <v>102</v>
      </c>
    </row>
    <row r="922" spans="1:87">
      <c r="A922" t="s">
        <v>3570</v>
      </c>
      <c r="B922">
        <v>1608</v>
      </c>
      <c r="C922" t="s">
        <v>3493</v>
      </c>
      <c r="D922" t="s">
        <v>3494</v>
      </c>
      <c r="E922" t="s">
        <v>629</v>
      </c>
      <c r="F922" t="s">
        <v>635</v>
      </c>
      <c r="G922" t="s">
        <v>1647</v>
      </c>
      <c r="M922">
        <v>12</v>
      </c>
      <c r="O922">
        <v>12</v>
      </c>
      <c r="P922">
        <v>24</v>
      </c>
      <c r="Q922">
        <v>24</v>
      </c>
      <c r="R922">
        <v>36</v>
      </c>
      <c r="S922">
        <v>24</v>
      </c>
      <c r="T922">
        <v>48</v>
      </c>
      <c r="U922">
        <v>96</v>
      </c>
      <c r="V922">
        <v>204</v>
      </c>
      <c r="W922">
        <v>132</v>
      </c>
      <c r="X922">
        <v>252</v>
      </c>
      <c r="Y922">
        <v>132</v>
      </c>
      <c r="Z922">
        <v>168</v>
      </c>
      <c r="AA922">
        <v>132</v>
      </c>
      <c r="AB922">
        <v>120</v>
      </c>
      <c r="AD922">
        <v>96</v>
      </c>
      <c r="AF922">
        <v>96</v>
      </c>
      <c r="CH922" t="str">
        <f t="shared" si="14"/>
        <v>D-0493</v>
      </c>
      <c r="CI922" s="1" t="s">
        <v>102</v>
      </c>
    </row>
    <row r="923" spans="1:87">
      <c r="A923" t="s">
        <v>3571</v>
      </c>
      <c r="B923">
        <v>204</v>
      </c>
      <c r="C923" t="s">
        <v>3493</v>
      </c>
      <c r="D923" t="s">
        <v>3494</v>
      </c>
      <c r="E923" t="s">
        <v>629</v>
      </c>
      <c r="F923" t="s">
        <v>635</v>
      </c>
      <c r="G923" t="s">
        <v>1647</v>
      </c>
      <c r="L923">
        <v>12</v>
      </c>
      <c r="N923">
        <v>12</v>
      </c>
      <c r="O923">
        <v>12</v>
      </c>
      <c r="P923">
        <v>12</v>
      </c>
      <c r="Q923">
        <v>12</v>
      </c>
      <c r="R923">
        <v>12</v>
      </c>
      <c r="S923">
        <v>12</v>
      </c>
      <c r="T923">
        <v>12</v>
      </c>
      <c r="U923">
        <v>12</v>
      </c>
      <c r="V923">
        <v>12</v>
      </c>
      <c r="W923">
        <v>12</v>
      </c>
      <c r="X923">
        <v>12</v>
      </c>
      <c r="Y923">
        <v>12</v>
      </c>
      <c r="Z923">
        <v>12</v>
      </c>
      <c r="AA923">
        <v>12</v>
      </c>
      <c r="AB923">
        <v>12</v>
      </c>
      <c r="AD923">
        <v>12</v>
      </c>
      <c r="CH923" t="str">
        <f t="shared" si="14"/>
        <v>D-0493</v>
      </c>
      <c r="CI923" s="1" t="s">
        <v>102</v>
      </c>
    </row>
    <row r="924" spans="1:87">
      <c r="A924" t="s">
        <v>3572</v>
      </c>
      <c r="B924">
        <v>336</v>
      </c>
      <c r="C924" t="s">
        <v>3493</v>
      </c>
      <c r="D924" t="s">
        <v>3494</v>
      </c>
      <c r="E924" t="s">
        <v>629</v>
      </c>
      <c r="F924" t="s">
        <v>635</v>
      </c>
      <c r="G924" t="s">
        <v>1647</v>
      </c>
      <c r="N924">
        <v>6</v>
      </c>
      <c r="O924">
        <v>6</v>
      </c>
      <c r="P924">
        <v>12</v>
      </c>
      <c r="Q924">
        <v>12</v>
      </c>
      <c r="R924">
        <v>12</v>
      </c>
      <c r="S924">
        <v>24</v>
      </c>
      <c r="T924">
        <v>12</v>
      </c>
      <c r="U924">
        <v>24</v>
      </c>
      <c r="V924">
        <v>24</v>
      </c>
      <c r="W924">
        <v>36</v>
      </c>
      <c r="X924">
        <v>18</v>
      </c>
      <c r="Y924">
        <v>36</v>
      </c>
      <c r="Z924">
        <v>24</v>
      </c>
      <c r="AA924">
        <v>24</v>
      </c>
      <c r="AB924">
        <v>24</v>
      </c>
      <c r="AC924">
        <v>24</v>
      </c>
      <c r="AD924">
        <v>12</v>
      </c>
      <c r="AF924">
        <v>6</v>
      </c>
      <c r="CH924" t="str">
        <f t="shared" si="14"/>
        <v>D-0493</v>
      </c>
      <c r="CI924" s="1" t="s">
        <v>102</v>
      </c>
    </row>
    <row r="925" spans="1:87">
      <c r="A925" t="s">
        <v>3575</v>
      </c>
      <c r="B925">
        <v>600</v>
      </c>
      <c r="C925" t="s">
        <v>3493</v>
      </c>
      <c r="D925" t="s">
        <v>3494</v>
      </c>
      <c r="E925" t="s">
        <v>629</v>
      </c>
      <c r="F925" t="s">
        <v>635</v>
      </c>
      <c r="G925" t="s">
        <v>1647</v>
      </c>
      <c r="V925">
        <v>54</v>
      </c>
      <c r="W925">
        <v>54</v>
      </c>
      <c r="X925">
        <v>78</v>
      </c>
      <c r="Y925">
        <v>78</v>
      </c>
      <c r="Z925">
        <v>78</v>
      </c>
      <c r="AA925">
        <v>78</v>
      </c>
      <c r="AB925">
        <v>60</v>
      </c>
      <c r="AC925">
        <v>36</v>
      </c>
      <c r="AD925">
        <v>48</v>
      </c>
      <c r="AF925">
        <v>36</v>
      </c>
      <c r="CH925" t="str">
        <f t="shared" si="14"/>
        <v>D-0493</v>
      </c>
      <c r="CI925" s="1" t="s">
        <v>102</v>
      </c>
    </row>
    <row r="926" spans="1:87">
      <c r="A926" t="s">
        <v>3601</v>
      </c>
      <c r="B926">
        <v>336</v>
      </c>
      <c r="C926" t="s">
        <v>3493</v>
      </c>
      <c r="D926" t="s">
        <v>3494</v>
      </c>
      <c r="E926" t="s">
        <v>629</v>
      </c>
      <c r="F926" t="s">
        <v>635</v>
      </c>
      <c r="G926" t="s">
        <v>1647</v>
      </c>
      <c r="O926">
        <v>28</v>
      </c>
      <c r="Q926">
        <v>28</v>
      </c>
      <c r="R926">
        <v>28</v>
      </c>
      <c r="T926">
        <v>28</v>
      </c>
      <c r="U926">
        <v>56</v>
      </c>
      <c r="W926">
        <v>56</v>
      </c>
      <c r="Y926">
        <v>56</v>
      </c>
      <c r="Z926">
        <v>56</v>
      </c>
      <c r="CH926" t="str">
        <f t="shared" si="14"/>
        <v>D-0493</v>
      </c>
      <c r="CI926" s="1" t="s">
        <v>102</v>
      </c>
    </row>
    <row r="927" spans="1:87">
      <c r="A927" t="s">
        <v>3603</v>
      </c>
      <c r="B927">
        <v>461</v>
      </c>
      <c r="C927" t="s">
        <v>3493</v>
      </c>
      <c r="D927" t="s">
        <v>3494</v>
      </c>
      <c r="E927" t="s">
        <v>629</v>
      </c>
      <c r="F927" t="s">
        <v>635</v>
      </c>
      <c r="G927" t="s">
        <v>1647</v>
      </c>
      <c r="L927">
        <v>4</v>
      </c>
      <c r="N927">
        <v>17</v>
      </c>
      <c r="P927">
        <v>43</v>
      </c>
      <c r="R927">
        <v>66</v>
      </c>
      <c r="T927">
        <v>85</v>
      </c>
      <c r="V927">
        <v>83</v>
      </c>
      <c r="X927">
        <v>62</v>
      </c>
      <c r="Z927">
        <v>40</v>
      </c>
      <c r="AB927">
        <v>35</v>
      </c>
      <c r="AD927">
        <v>20</v>
      </c>
      <c r="AF927">
        <v>6</v>
      </c>
      <c r="CH927" t="str">
        <f t="shared" si="14"/>
        <v>D-0493</v>
      </c>
      <c r="CI927" s="1" t="s">
        <v>102</v>
      </c>
    </row>
    <row r="928" spans="1:87">
      <c r="A928" t="s">
        <v>3870</v>
      </c>
      <c r="B928">
        <v>544</v>
      </c>
      <c r="C928" t="s">
        <v>3871</v>
      </c>
      <c r="D928" t="s">
        <v>95</v>
      </c>
      <c r="E928" t="s">
        <v>629</v>
      </c>
      <c r="F928" t="s">
        <v>634</v>
      </c>
      <c r="G928" t="s">
        <v>3872</v>
      </c>
      <c r="N928">
        <v>10</v>
      </c>
      <c r="O928">
        <v>14</v>
      </c>
      <c r="P928">
        <v>15</v>
      </c>
      <c r="Q928">
        <v>16</v>
      </c>
      <c r="R928">
        <v>18</v>
      </c>
      <c r="S928">
        <v>18</v>
      </c>
      <c r="T928">
        <v>18</v>
      </c>
      <c r="U928">
        <v>17</v>
      </c>
      <c r="V928">
        <v>28</v>
      </c>
      <c r="W928">
        <v>26</v>
      </c>
      <c r="X928">
        <v>50</v>
      </c>
      <c r="Y928">
        <v>44</v>
      </c>
      <c r="Z928">
        <v>46</v>
      </c>
      <c r="AA928">
        <v>43</v>
      </c>
      <c r="AB928">
        <v>43</v>
      </c>
      <c r="AC928">
        <v>43</v>
      </c>
      <c r="AD928">
        <v>42</v>
      </c>
      <c r="AE928">
        <v>6</v>
      </c>
      <c r="AF928">
        <v>40</v>
      </c>
      <c r="AH928">
        <v>7</v>
      </c>
      <c r="CH928" t="str">
        <f t="shared" si="14"/>
        <v>EOR-13</v>
      </c>
      <c r="CI928" s="1" t="s">
        <v>102</v>
      </c>
    </row>
    <row r="929" spans="1:87">
      <c r="A929" t="s">
        <v>3873</v>
      </c>
      <c r="B929">
        <v>681</v>
      </c>
      <c r="C929" t="s">
        <v>3874</v>
      </c>
      <c r="D929" t="s">
        <v>95</v>
      </c>
      <c r="E929" t="s">
        <v>629</v>
      </c>
      <c r="F929" t="s">
        <v>634</v>
      </c>
      <c r="G929" t="s">
        <v>3872</v>
      </c>
      <c r="N929">
        <v>20</v>
      </c>
      <c r="O929">
        <v>36</v>
      </c>
      <c r="P929">
        <v>37</v>
      </c>
      <c r="Q929">
        <v>60</v>
      </c>
      <c r="R929">
        <v>58</v>
      </c>
      <c r="S929">
        <v>43</v>
      </c>
      <c r="T929">
        <v>46</v>
      </c>
      <c r="U929">
        <v>30</v>
      </c>
      <c r="V929">
        <v>29</v>
      </c>
      <c r="W929">
        <v>24</v>
      </c>
      <c r="X929">
        <v>43</v>
      </c>
      <c r="Y929">
        <v>36</v>
      </c>
      <c r="Z929">
        <v>38</v>
      </c>
      <c r="AA929">
        <v>36</v>
      </c>
      <c r="AB929">
        <v>37</v>
      </c>
      <c r="AC929">
        <v>36</v>
      </c>
      <c r="AD929">
        <v>37</v>
      </c>
      <c r="AF929">
        <v>34</v>
      </c>
      <c r="AH929">
        <v>1</v>
      </c>
      <c r="CH929" t="str">
        <f t="shared" si="14"/>
        <v>EOR-13</v>
      </c>
      <c r="CI929" s="1" t="s">
        <v>102</v>
      </c>
    </row>
    <row r="930" spans="1:87">
      <c r="A930" t="s">
        <v>3875</v>
      </c>
      <c r="B930">
        <v>1244</v>
      </c>
      <c r="C930" t="s">
        <v>3876</v>
      </c>
      <c r="D930" t="s">
        <v>95</v>
      </c>
      <c r="E930" t="s">
        <v>629</v>
      </c>
      <c r="F930" t="s">
        <v>634</v>
      </c>
      <c r="G930" t="s">
        <v>3872</v>
      </c>
      <c r="N930">
        <v>22</v>
      </c>
      <c r="O930">
        <v>111</v>
      </c>
      <c r="P930">
        <v>100</v>
      </c>
      <c r="Q930">
        <v>212</v>
      </c>
      <c r="R930">
        <v>157</v>
      </c>
      <c r="S930">
        <v>184</v>
      </c>
      <c r="T930">
        <v>60</v>
      </c>
      <c r="U930">
        <v>83</v>
      </c>
      <c r="V930">
        <v>51</v>
      </c>
      <c r="W930">
        <v>19</v>
      </c>
      <c r="X930">
        <v>66</v>
      </c>
      <c r="Y930">
        <v>60</v>
      </c>
      <c r="Z930">
        <v>19</v>
      </c>
      <c r="AA930">
        <v>42</v>
      </c>
      <c r="AB930">
        <v>17</v>
      </c>
      <c r="AC930">
        <v>29</v>
      </c>
      <c r="AD930">
        <v>12</v>
      </c>
      <c r="CH930" t="str">
        <f t="shared" si="14"/>
        <v>EOR-13</v>
      </c>
      <c r="CI930" s="1" t="s">
        <v>102</v>
      </c>
    </row>
    <row r="931" spans="1:87">
      <c r="A931" t="s">
        <v>3881</v>
      </c>
      <c r="B931">
        <v>5</v>
      </c>
      <c r="C931" t="s">
        <v>3871</v>
      </c>
      <c r="D931" t="s">
        <v>95</v>
      </c>
      <c r="E931" t="s">
        <v>629</v>
      </c>
      <c r="F931" t="s">
        <v>634</v>
      </c>
      <c r="G931" t="s">
        <v>3872</v>
      </c>
      <c r="N931">
        <v>1</v>
      </c>
      <c r="O931">
        <v>1</v>
      </c>
      <c r="P931">
        <v>1</v>
      </c>
      <c r="Q931">
        <v>1</v>
      </c>
      <c r="R931">
        <v>1</v>
      </c>
      <c r="CH931" t="str">
        <f t="shared" si="14"/>
        <v>EOR-13</v>
      </c>
      <c r="CI931" s="1" t="s">
        <v>102</v>
      </c>
    </row>
    <row r="932" spans="1:87">
      <c r="A932" t="s">
        <v>3882</v>
      </c>
      <c r="B932">
        <v>6</v>
      </c>
      <c r="C932" t="s">
        <v>3874</v>
      </c>
      <c r="D932" t="s">
        <v>95</v>
      </c>
      <c r="E932" t="s">
        <v>629</v>
      </c>
      <c r="F932" t="s">
        <v>634</v>
      </c>
      <c r="G932" t="s">
        <v>3872</v>
      </c>
      <c r="N932">
        <v>1</v>
      </c>
      <c r="O932">
        <v>1</v>
      </c>
      <c r="P932">
        <v>1</v>
      </c>
      <c r="Q932">
        <v>1</v>
      </c>
      <c r="R932">
        <v>1</v>
      </c>
      <c r="S932">
        <v>1</v>
      </c>
      <c r="CH932" t="str">
        <f t="shared" si="14"/>
        <v>EOR-13</v>
      </c>
      <c r="CI932" s="1" t="s">
        <v>102</v>
      </c>
    </row>
    <row r="933" spans="1:87">
      <c r="A933" t="s">
        <v>3883</v>
      </c>
      <c r="B933">
        <v>12</v>
      </c>
      <c r="C933" t="s">
        <v>3876</v>
      </c>
      <c r="D933" t="s">
        <v>95</v>
      </c>
      <c r="E933" t="s">
        <v>629</v>
      </c>
      <c r="F933" t="s">
        <v>634</v>
      </c>
      <c r="G933" t="s">
        <v>3872</v>
      </c>
      <c r="N933">
        <v>1</v>
      </c>
      <c r="O933">
        <v>1</v>
      </c>
      <c r="P933">
        <v>1</v>
      </c>
      <c r="Q933">
        <v>1</v>
      </c>
      <c r="R933">
        <v>1</v>
      </c>
      <c r="S933">
        <v>1</v>
      </c>
      <c r="T933">
        <v>1</v>
      </c>
      <c r="U933">
        <v>1</v>
      </c>
      <c r="V933">
        <v>1</v>
      </c>
      <c r="W933">
        <v>1</v>
      </c>
      <c r="X933">
        <v>1</v>
      </c>
      <c r="Y933">
        <v>1</v>
      </c>
      <c r="CH933" t="str">
        <f t="shared" si="14"/>
        <v>EOR-13</v>
      </c>
      <c r="CI933" s="1" t="s">
        <v>102</v>
      </c>
    </row>
    <row r="934" spans="1:87">
      <c r="A934" t="s">
        <v>3605</v>
      </c>
      <c r="B934">
        <v>2280</v>
      </c>
      <c r="C934" t="s">
        <v>3493</v>
      </c>
      <c r="D934" t="s">
        <v>3494</v>
      </c>
      <c r="E934" t="s">
        <v>629</v>
      </c>
      <c r="F934" t="s">
        <v>635</v>
      </c>
      <c r="G934" t="s">
        <v>1647</v>
      </c>
      <c r="L934">
        <v>48</v>
      </c>
      <c r="M934">
        <v>120</v>
      </c>
      <c r="N934">
        <v>96</v>
      </c>
      <c r="O934">
        <v>48</v>
      </c>
      <c r="P934">
        <v>144</v>
      </c>
      <c r="Q934">
        <v>168</v>
      </c>
      <c r="R934">
        <v>84</v>
      </c>
      <c r="S934">
        <v>144</v>
      </c>
      <c r="T934">
        <v>168</v>
      </c>
      <c r="U934">
        <v>216</v>
      </c>
      <c r="V934">
        <v>312</v>
      </c>
      <c r="W934">
        <v>276</v>
      </c>
      <c r="X934">
        <v>108</v>
      </c>
      <c r="Y934">
        <v>168</v>
      </c>
      <c r="Z934">
        <v>60</v>
      </c>
      <c r="AA934">
        <v>72</v>
      </c>
      <c r="AB934">
        <v>24</v>
      </c>
      <c r="AC934">
        <v>24</v>
      </c>
      <c r="CH934" t="str">
        <f t="shared" si="14"/>
        <v>D-0493</v>
      </c>
      <c r="CI934" s="1" t="s">
        <v>102</v>
      </c>
    </row>
    <row r="935" spans="1:87">
      <c r="A935" t="s">
        <v>3606</v>
      </c>
      <c r="B935">
        <v>432</v>
      </c>
      <c r="C935" t="s">
        <v>3493</v>
      </c>
      <c r="D935" t="s">
        <v>3494</v>
      </c>
      <c r="E935" t="s">
        <v>629</v>
      </c>
      <c r="F935" t="s">
        <v>635</v>
      </c>
      <c r="G935" t="s">
        <v>1647</v>
      </c>
      <c r="M935">
        <v>24</v>
      </c>
      <c r="N935">
        <v>24</v>
      </c>
      <c r="O935">
        <v>36</v>
      </c>
      <c r="P935">
        <v>24</v>
      </c>
      <c r="Q935">
        <v>24</v>
      </c>
      <c r="R935">
        <v>12</v>
      </c>
      <c r="S935">
        <v>24</v>
      </c>
      <c r="T935">
        <v>48</v>
      </c>
      <c r="U935">
        <v>48</v>
      </c>
      <c r="V935">
        <v>48</v>
      </c>
      <c r="W935">
        <v>48</v>
      </c>
      <c r="X935">
        <v>24</v>
      </c>
      <c r="Y935">
        <v>24</v>
      </c>
      <c r="Z935">
        <v>24</v>
      </c>
      <c r="CH935" t="str">
        <f t="shared" si="14"/>
        <v>D-0493</v>
      </c>
      <c r="CI935" s="1" t="s">
        <v>102</v>
      </c>
    </row>
    <row r="936" spans="1:87">
      <c r="A936" t="s">
        <v>3615</v>
      </c>
      <c r="B936">
        <v>24</v>
      </c>
      <c r="C936" t="s">
        <v>3493</v>
      </c>
      <c r="D936" t="s">
        <v>3494</v>
      </c>
      <c r="E936" t="s">
        <v>629</v>
      </c>
      <c r="F936" t="s">
        <v>635</v>
      </c>
      <c r="G936" t="s">
        <v>1647</v>
      </c>
      <c r="L936">
        <v>2</v>
      </c>
      <c r="M936">
        <v>4</v>
      </c>
      <c r="N936">
        <v>4</v>
      </c>
      <c r="O936">
        <v>4</v>
      </c>
      <c r="P936">
        <v>4</v>
      </c>
      <c r="Q936">
        <v>4</v>
      </c>
      <c r="R936">
        <v>2</v>
      </c>
      <c r="CH936" t="str">
        <f t="shared" si="14"/>
        <v>D-0493</v>
      </c>
      <c r="CI936" s="1" t="s">
        <v>102</v>
      </c>
    </row>
    <row r="937" spans="1:87">
      <c r="A937" t="s">
        <v>3621</v>
      </c>
      <c r="B937">
        <v>1200</v>
      </c>
      <c r="C937" t="s">
        <v>3493</v>
      </c>
      <c r="D937" t="s">
        <v>3494</v>
      </c>
      <c r="E937" t="s">
        <v>629</v>
      </c>
      <c r="F937" t="s">
        <v>635</v>
      </c>
      <c r="G937" t="s">
        <v>1647</v>
      </c>
      <c r="L937">
        <v>48</v>
      </c>
      <c r="M937">
        <v>60</v>
      </c>
      <c r="N937">
        <v>72</v>
      </c>
      <c r="O937">
        <v>72</v>
      </c>
      <c r="P937">
        <v>72</v>
      </c>
      <c r="R937">
        <v>156</v>
      </c>
      <c r="S937">
        <v>84</v>
      </c>
      <c r="T937">
        <v>132</v>
      </c>
      <c r="U937">
        <v>120</v>
      </c>
      <c r="V937">
        <v>120</v>
      </c>
      <c r="W937">
        <v>84</v>
      </c>
      <c r="X937">
        <v>72</v>
      </c>
      <c r="Y937">
        <v>12</v>
      </c>
      <c r="Z937">
        <v>72</v>
      </c>
      <c r="AA937">
        <v>24</v>
      </c>
      <c r="CH937" t="str">
        <f t="shared" si="14"/>
        <v>D-0493</v>
      </c>
      <c r="CI937" s="1" t="s">
        <v>102</v>
      </c>
    </row>
    <row r="938" spans="1:87">
      <c r="A938" t="s">
        <v>3607</v>
      </c>
      <c r="B938">
        <v>240</v>
      </c>
      <c r="C938" t="s">
        <v>3493</v>
      </c>
      <c r="D938" t="s">
        <v>3494</v>
      </c>
      <c r="E938" t="s">
        <v>629</v>
      </c>
      <c r="F938" t="s">
        <v>635</v>
      </c>
      <c r="G938" t="s">
        <v>1647</v>
      </c>
      <c r="P938">
        <v>16</v>
      </c>
      <c r="R938">
        <v>16</v>
      </c>
      <c r="T938">
        <v>16</v>
      </c>
      <c r="V938">
        <v>17</v>
      </c>
      <c r="W938">
        <v>17</v>
      </c>
      <c r="X938">
        <v>19</v>
      </c>
      <c r="Y938">
        <v>35</v>
      </c>
      <c r="Z938">
        <v>37</v>
      </c>
      <c r="AA938">
        <v>33</v>
      </c>
      <c r="AB938">
        <v>17</v>
      </c>
      <c r="AD938">
        <v>11</v>
      </c>
      <c r="AF938">
        <v>6</v>
      </c>
      <c r="CH938" t="str">
        <f t="shared" si="14"/>
        <v>D-0493</v>
      </c>
      <c r="CI938" s="1" t="s">
        <v>102</v>
      </c>
    </row>
    <row r="939" spans="1:87">
      <c r="A939" t="s">
        <v>3609</v>
      </c>
      <c r="B939">
        <v>105</v>
      </c>
      <c r="C939" t="s">
        <v>3493</v>
      </c>
      <c r="D939" t="s">
        <v>3494</v>
      </c>
      <c r="E939" t="s">
        <v>629</v>
      </c>
      <c r="F939" t="s">
        <v>635</v>
      </c>
      <c r="G939" t="s">
        <v>1647</v>
      </c>
      <c r="M939">
        <v>7</v>
      </c>
      <c r="O939">
        <v>7</v>
      </c>
      <c r="P939">
        <v>7</v>
      </c>
      <c r="Q939">
        <v>7</v>
      </c>
      <c r="R939">
        <v>7</v>
      </c>
      <c r="T939">
        <v>7</v>
      </c>
      <c r="U939">
        <v>7</v>
      </c>
      <c r="W939">
        <v>14</v>
      </c>
      <c r="X939">
        <v>7</v>
      </c>
      <c r="Y939">
        <v>14</v>
      </c>
      <c r="Z939">
        <v>7</v>
      </c>
      <c r="AB939">
        <v>7</v>
      </c>
      <c r="AC939">
        <v>7</v>
      </c>
      <c r="CH939" t="str">
        <f t="shared" si="14"/>
        <v>D-0493</v>
      </c>
      <c r="CI939" s="1" t="s">
        <v>102</v>
      </c>
    </row>
    <row r="940" spans="1:87">
      <c r="A940" t="s">
        <v>3610</v>
      </c>
      <c r="B940">
        <v>498</v>
      </c>
      <c r="C940" t="s">
        <v>3493</v>
      </c>
      <c r="D940" t="s">
        <v>3494</v>
      </c>
      <c r="E940" t="s">
        <v>629</v>
      </c>
      <c r="F940" t="s">
        <v>635</v>
      </c>
      <c r="G940" t="s">
        <v>1647</v>
      </c>
      <c r="T940">
        <v>60</v>
      </c>
      <c r="V940">
        <v>131</v>
      </c>
      <c r="X940">
        <v>144</v>
      </c>
      <c r="Z940">
        <v>103</v>
      </c>
      <c r="AB940">
        <v>60</v>
      </c>
      <c r="CH940" t="str">
        <f t="shared" si="14"/>
        <v>D-0493</v>
      </c>
      <c r="CI940" s="1" t="s">
        <v>102</v>
      </c>
    </row>
    <row r="941" spans="1:87">
      <c r="A941" t="s">
        <v>3612</v>
      </c>
      <c r="B941">
        <v>228</v>
      </c>
      <c r="C941" t="s">
        <v>3493</v>
      </c>
      <c r="D941" t="s">
        <v>3494</v>
      </c>
      <c r="E941" t="s">
        <v>629</v>
      </c>
      <c r="F941" t="s">
        <v>635</v>
      </c>
      <c r="G941" t="s">
        <v>1647</v>
      </c>
      <c r="S941">
        <v>19</v>
      </c>
      <c r="T941">
        <v>38</v>
      </c>
      <c r="U941">
        <v>38</v>
      </c>
      <c r="V941">
        <v>38</v>
      </c>
      <c r="W941">
        <v>38</v>
      </c>
      <c r="X941">
        <v>19</v>
      </c>
      <c r="Y941">
        <v>19</v>
      </c>
      <c r="Z941">
        <v>19</v>
      </c>
      <c r="CH941" t="str">
        <f t="shared" si="14"/>
        <v>D-0493</v>
      </c>
      <c r="CI941" s="1" t="s">
        <v>102</v>
      </c>
    </row>
    <row r="942" spans="1:87">
      <c r="A942" t="s">
        <v>2452</v>
      </c>
      <c r="B942">
        <v>705</v>
      </c>
      <c r="C942" t="s">
        <v>2453</v>
      </c>
      <c r="D942" t="s">
        <v>238</v>
      </c>
      <c r="E942" t="s">
        <v>642</v>
      </c>
      <c r="F942" t="s">
        <v>645</v>
      </c>
      <c r="G942" t="s">
        <v>684</v>
      </c>
      <c r="P942">
        <v>12</v>
      </c>
      <c r="Q942">
        <v>18</v>
      </c>
      <c r="R942">
        <v>24</v>
      </c>
      <c r="S942">
        <v>36</v>
      </c>
      <c r="T942">
        <v>57</v>
      </c>
      <c r="U942">
        <v>72</v>
      </c>
      <c r="V942">
        <v>96</v>
      </c>
      <c r="W942">
        <v>72</v>
      </c>
      <c r="X942">
        <v>90</v>
      </c>
      <c r="Y942">
        <v>72</v>
      </c>
      <c r="Z942">
        <v>84</v>
      </c>
      <c r="AB942">
        <v>72</v>
      </c>
      <c r="CH942" t="str">
        <f t="shared" si="14"/>
        <v>D-0267</v>
      </c>
      <c r="CI942" s="1" t="s">
        <v>102</v>
      </c>
    </row>
    <row r="943" spans="1:87">
      <c r="A943" t="s">
        <v>2454</v>
      </c>
      <c r="B943">
        <v>240</v>
      </c>
      <c r="C943" t="s">
        <v>2453</v>
      </c>
      <c r="D943" t="s">
        <v>238</v>
      </c>
      <c r="E943" t="s">
        <v>642</v>
      </c>
      <c r="F943" t="s">
        <v>645</v>
      </c>
      <c r="G943" t="s">
        <v>684</v>
      </c>
      <c r="R943">
        <v>18</v>
      </c>
      <c r="S943">
        <v>18</v>
      </c>
      <c r="T943">
        <v>24</v>
      </c>
      <c r="U943">
        <v>30</v>
      </c>
      <c r="V943">
        <v>36</v>
      </c>
      <c r="W943">
        <v>36</v>
      </c>
      <c r="X943">
        <v>36</v>
      </c>
      <c r="Y943">
        <v>18</v>
      </c>
      <c r="Z943">
        <v>18</v>
      </c>
      <c r="AB943">
        <v>6</v>
      </c>
      <c r="CH943" t="str">
        <f t="shared" si="14"/>
        <v>D-0267</v>
      </c>
      <c r="CI943" s="1" t="s">
        <v>102</v>
      </c>
    </row>
    <row r="944" spans="1:87">
      <c r="A944" t="s">
        <v>2479</v>
      </c>
      <c r="B944">
        <v>2018</v>
      </c>
      <c r="C944" t="s">
        <v>2453</v>
      </c>
      <c r="D944" t="s">
        <v>238</v>
      </c>
      <c r="E944" t="s">
        <v>642</v>
      </c>
      <c r="F944" t="s">
        <v>645</v>
      </c>
      <c r="G944" t="s">
        <v>684</v>
      </c>
      <c r="P944">
        <v>28</v>
      </c>
      <c r="Q944">
        <v>33</v>
      </c>
      <c r="R944">
        <v>90</v>
      </c>
      <c r="S944">
        <v>118</v>
      </c>
      <c r="T944">
        <v>216</v>
      </c>
      <c r="U944">
        <v>239</v>
      </c>
      <c r="V944">
        <v>320</v>
      </c>
      <c r="W944">
        <v>272</v>
      </c>
      <c r="X944">
        <v>267</v>
      </c>
      <c r="Y944">
        <v>160</v>
      </c>
      <c r="Z944">
        <v>140</v>
      </c>
      <c r="AA944">
        <v>39</v>
      </c>
      <c r="AB944">
        <v>61</v>
      </c>
      <c r="AC944">
        <v>13</v>
      </c>
      <c r="AD944">
        <v>22</v>
      </c>
      <c r="CH944" t="str">
        <f t="shared" si="14"/>
        <v>D-0267</v>
      </c>
      <c r="CI944" s="1" t="s">
        <v>102</v>
      </c>
    </row>
    <row r="945" spans="1:87">
      <c r="A945" t="s">
        <v>2480</v>
      </c>
      <c r="B945">
        <v>192</v>
      </c>
      <c r="C945" t="s">
        <v>2453</v>
      </c>
      <c r="D945" t="s">
        <v>238</v>
      </c>
      <c r="E945" t="s">
        <v>642</v>
      </c>
      <c r="F945" t="s">
        <v>645</v>
      </c>
      <c r="G945" t="s">
        <v>684</v>
      </c>
      <c r="P945">
        <v>6</v>
      </c>
      <c r="Q945">
        <v>6</v>
      </c>
      <c r="R945">
        <v>12</v>
      </c>
      <c r="S945">
        <v>12</v>
      </c>
      <c r="T945">
        <v>18</v>
      </c>
      <c r="U945">
        <v>18</v>
      </c>
      <c r="V945">
        <v>30</v>
      </c>
      <c r="W945">
        <v>24</v>
      </c>
      <c r="X945">
        <v>24</v>
      </c>
      <c r="Y945">
        <v>12</v>
      </c>
      <c r="Z945">
        <v>12</v>
      </c>
      <c r="AA945">
        <v>6</v>
      </c>
      <c r="AB945">
        <v>6</v>
      </c>
      <c r="AD945">
        <v>6</v>
      </c>
      <c r="CH945" t="str">
        <f t="shared" si="14"/>
        <v>D-0267</v>
      </c>
      <c r="CI945" s="1" t="s">
        <v>102</v>
      </c>
    </row>
    <row r="946" spans="1:87">
      <c r="A946" t="s">
        <v>2481</v>
      </c>
      <c r="B946">
        <v>2712</v>
      </c>
      <c r="C946" t="s">
        <v>2453</v>
      </c>
      <c r="D946" t="s">
        <v>238</v>
      </c>
      <c r="E946" t="s">
        <v>642</v>
      </c>
      <c r="F946" t="s">
        <v>645</v>
      </c>
      <c r="G946" t="s">
        <v>684</v>
      </c>
      <c r="R946">
        <v>301</v>
      </c>
      <c r="S946">
        <v>301</v>
      </c>
      <c r="T946">
        <v>304</v>
      </c>
      <c r="U946">
        <v>301</v>
      </c>
      <c r="V946">
        <v>301</v>
      </c>
      <c r="W946">
        <v>301</v>
      </c>
      <c r="X946">
        <v>301</v>
      </c>
      <c r="Y946">
        <v>301</v>
      </c>
      <c r="Z946">
        <v>301</v>
      </c>
      <c r="CH946" t="str">
        <f t="shared" si="14"/>
        <v>D-0267</v>
      </c>
      <c r="CI946" s="1" t="s">
        <v>102</v>
      </c>
    </row>
    <row r="947" spans="1:87">
      <c r="A947" t="s">
        <v>2482</v>
      </c>
      <c r="B947">
        <v>471</v>
      </c>
      <c r="C947" t="s">
        <v>2453</v>
      </c>
      <c r="D947" t="s">
        <v>238</v>
      </c>
      <c r="E947" t="s">
        <v>642</v>
      </c>
      <c r="F947" t="s">
        <v>645</v>
      </c>
      <c r="G947" t="s">
        <v>684</v>
      </c>
      <c r="R947">
        <v>33</v>
      </c>
      <c r="S947">
        <v>47</v>
      </c>
      <c r="T947">
        <v>51</v>
      </c>
      <c r="U947">
        <v>71</v>
      </c>
      <c r="V947">
        <v>71</v>
      </c>
      <c r="W947">
        <v>67</v>
      </c>
      <c r="X947">
        <v>68</v>
      </c>
      <c r="Y947">
        <v>29</v>
      </c>
      <c r="Z947">
        <v>16</v>
      </c>
      <c r="AB947">
        <v>18</v>
      </c>
      <c r="CH947" t="str">
        <f t="shared" si="14"/>
        <v>D-0267</v>
      </c>
      <c r="CI947" s="1" t="s">
        <v>102</v>
      </c>
    </row>
    <row r="948" spans="1:87">
      <c r="A948" t="s">
        <v>2483</v>
      </c>
      <c r="B948">
        <v>290</v>
      </c>
      <c r="C948" t="s">
        <v>2453</v>
      </c>
      <c r="D948" t="s">
        <v>238</v>
      </c>
      <c r="E948" t="s">
        <v>642</v>
      </c>
      <c r="F948" t="s">
        <v>645</v>
      </c>
      <c r="G948" t="s">
        <v>684</v>
      </c>
      <c r="R948">
        <v>14</v>
      </c>
      <c r="S948">
        <v>22</v>
      </c>
      <c r="T948">
        <v>27</v>
      </c>
      <c r="U948">
        <v>33</v>
      </c>
      <c r="V948">
        <v>48</v>
      </c>
      <c r="W948">
        <v>38</v>
      </c>
      <c r="X948">
        <v>38</v>
      </c>
      <c r="Y948">
        <v>29</v>
      </c>
      <c r="Z948">
        <v>14</v>
      </c>
      <c r="AB948">
        <v>27</v>
      </c>
      <c r="CH948" t="str">
        <f t="shared" si="14"/>
        <v>D-0267</v>
      </c>
      <c r="CI948" s="1" t="s">
        <v>102</v>
      </c>
    </row>
    <row r="949" spans="1:87">
      <c r="A949" t="s">
        <v>2484</v>
      </c>
      <c r="B949">
        <v>644</v>
      </c>
      <c r="C949" t="s">
        <v>2453</v>
      </c>
      <c r="D949" t="s">
        <v>238</v>
      </c>
      <c r="E949" t="s">
        <v>642</v>
      </c>
      <c r="F949" t="s">
        <v>645</v>
      </c>
      <c r="G949" t="s">
        <v>684</v>
      </c>
      <c r="R949">
        <v>48</v>
      </c>
      <c r="S949">
        <v>50</v>
      </c>
      <c r="T949">
        <v>74</v>
      </c>
      <c r="U949">
        <v>100</v>
      </c>
      <c r="V949">
        <v>91</v>
      </c>
      <c r="W949">
        <v>81</v>
      </c>
      <c r="X949">
        <v>87</v>
      </c>
      <c r="Y949">
        <v>50</v>
      </c>
      <c r="Z949">
        <v>41</v>
      </c>
      <c r="AB949">
        <v>22</v>
      </c>
      <c r="CH949" t="str">
        <f t="shared" si="14"/>
        <v>D-0267</v>
      </c>
      <c r="CI949" s="1" t="s">
        <v>102</v>
      </c>
    </row>
    <row r="950" spans="1:87">
      <c r="A950" t="s">
        <v>3638</v>
      </c>
      <c r="B950">
        <v>186</v>
      </c>
      <c r="C950" t="s">
        <v>3493</v>
      </c>
      <c r="D950" t="s">
        <v>3494</v>
      </c>
      <c r="E950" t="s">
        <v>629</v>
      </c>
      <c r="F950" t="s">
        <v>635</v>
      </c>
      <c r="G950" t="s">
        <v>1647</v>
      </c>
      <c r="T950">
        <v>30</v>
      </c>
      <c r="V950">
        <v>46</v>
      </c>
      <c r="X950">
        <v>46</v>
      </c>
      <c r="Z950">
        <v>32</v>
      </c>
      <c r="AB950">
        <v>18</v>
      </c>
      <c r="AD950">
        <v>14</v>
      </c>
      <c r="CH950" t="str">
        <f t="shared" si="14"/>
        <v>D-0493</v>
      </c>
      <c r="CI950" s="1" t="s">
        <v>102</v>
      </c>
    </row>
    <row r="951" spans="1:87">
      <c r="A951" t="s">
        <v>3617</v>
      </c>
      <c r="B951">
        <v>48</v>
      </c>
      <c r="C951" t="s">
        <v>3493</v>
      </c>
      <c r="D951" t="s">
        <v>3494</v>
      </c>
      <c r="E951" t="s">
        <v>629</v>
      </c>
      <c r="F951" t="s">
        <v>635</v>
      </c>
      <c r="G951" t="s">
        <v>1647</v>
      </c>
      <c r="S951">
        <v>4</v>
      </c>
      <c r="T951">
        <v>8</v>
      </c>
      <c r="U951">
        <v>8</v>
      </c>
      <c r="V951">
        <v>8</v>
      </c>
      <c r="W951">
        <v>8</v>
      </c>
      <c r="X951">
        <v>8</v>
      </c>
      <c r="Y951">
        <v>4</v>
      </c>
      <c r="CH951" t="str">
        <f t="shared" si="14"/>
        <v>D-0493</v>
      </c>
      <c r="CI951" s="1" t="s">
        <v>102</v>
      </c>
    </row>
    <row r="952" spans="1:87">
      <c r="A952" t="s">
        <v>2575</v>
      </c>
      <c r="B952">
        <v>2629</v>
      </c>
      <c r="C952" t="s">
        <v>2576</v>
      </c>
      <c r="D952" t="s">
        <v>213</v>
      </c>
      <c r="E952" t="s">
        <v>642</v>
      </c>
      <c r="F952" t="s">
        <v>643</v>
      </c>
      <c r="G952" t="s">
        <v>2577</v>
      </c>
      <c r="S952">
        <v>226</v>
      </c>
      <c r="U952">
        <v>150</v>
      </c>
      <c r="V952">
        <v>321</v>
      </c>
      <c r="W952">
        <v>418</v>
      </c>
      <c r="X952">
        <v>550</v>
      </c>
      <c r="Y952">
        <v>454</v>
      </c>
      <c r="Z952">
        <v>291</v>
      </c>
      <c r="AA952">
        <v>48</v>
      </c>
      <c r="AB952">
        <v>171</v>
      </c>
      <c r="CH952" t="str">
        <f t="shared" si="14"/>
        <v>D-0257</v>
      </c>
      <c r="CI952" s="1" t="s">
        <v>102</v>
      </c>
    </row>
    <row r="953" spans="1:87">
      <c r="A953" t="s">
        <v>2578</v>
      </c>
      <c r="B953">
        <v>2823</v>
      </c>
      <c r="C953" t="s">
        <v>2576</v>
      </c>
      <c r="D953" t="s">
        <v>213</v>
      </c>
      <c r="E953" t="s">
        <v>642</v>
      </c>
      <c r="F953" t="s">
        <v>643</v>
      </c>
      <c r="G953" t="s">
        <v>2577</v>
      </c>
      <c r="P953">
        <v>105</v>
      </c>
      <c r="Q953">
        <v>283</v>
      </c>
      <c r="R953">
        <v>384</v>
      </c>
      <c r="S953">
        <v>650</v>
      </c>
      <c r="T953">
        <v>585</v>
      </c>
      <c r="U953">
        <v>363</v>
      </c>
      <c r="V953">
        <v>334</v>
      </c>
      <c r="W953">
        <v>74</v>
      </c>
      <c r="X953">
        <v>31</v>
      </c>
      <c r="Y953">
        <v>14</v>
      </c>
      <c r="CH953" t="str">
        <f t="shared" si="14"/>
        <v>D-0257</v>
      </c>
      <c r="CI953" s="1" t="s">
        <v>102</v>
      </c>
    </row>
    <row r="954" spans="1:87">
      <c r="A954" t="s">
        <v>1544</v>
      </c>
      <c r="B954">
        <v>1860</v>
      </c>
      <c r="C954" t="s">
        <v>1542</v>
      </c>
      <c r="D954" t="s">
        <v>261</v>
      </c>
      <c r="E954" t="s">
        <v>629</v>
      </c>
      <c r="F954" t="s">
        <v>635</v>
      </c>
      <c r="G954" t="s">
        <v>1516</v>
      </c>
      <c r="L954">
        <v>60</v>
      </c>
      <c r="M954">
        <v>96</v>
      </c>
      <c r="N954">
        <v>132</v>
      </c>
      <c r="O954">
        <v>204</v>
      </c>
      <c r="P954">
        <v>180</v>
      </c>
      <c r="Q954">
        <v>204</v>
      </c>
      <c r="R954">
        <v>132</v>
      </c>
      <c r="S954">
        <v>60</v>
      </c>
      <c r="T954">
        <v>72</v>
      </c>
      <c r="U954">
        <v>168</v>
      </c>
      <c r="V954">
        <v>132</v>
      </c>
      <c r="W954">
        <v>168</v>
      </c>
      <c r="X954">
        <v>144</v>
      </c>
      <c r="Y954">
        <v>108</v>
      </c>
      <c r="CH954" t="str">
        <f t="shared" si="14"/>
        <v>D-0310</v>
      </c>
      <c r="CI954" s="1" t="s">
        <v>102</v>
      </c>
    </row>
    <row r="955" spans="1:87">
      <c r="A955" t="s">
        <v>1545</v>
      </c>
      <c r="B955">
        <v>240</v>
      </c>
      <c r="C955" t="s">
        <v>1542</v>
      </c>
      <c r="D955" t="s">
        <v>261</v>
      </c>
      <c r="E955" t="s">
        <v>629</v>
      </c>
      <c r="F955" t="s">
        <v>635</v>
      </c>
      <c r="G955" t="s">
        <v>1516</v>
      </c>
      <c r="S955">
        <v>12</v>
      </c>
      <c r="T955">
        <v>12</v>
      </c>
      <c r="U955">
        <v>24</v>
      </c>
      <c r="V955">
        <v>36</v>
      </c>
      <c r="W955">
        <v>36</v>
      </c>
      <c r="X955">
        <v>36</v>
      </c>
      <c r="Y955">
        <v>24</v>
      </c>
      <c r="Z955">
        <v>24</v>
      </c>
      <c r="AA955">
        <v>12</v>
      </c>
      <c r="AB955">
        <v>12</v>
      </c>
      <c r="AC955">
        <v>12</v>
      </c>
      <c r="CH955" t="str">
        <f t="shared" si="14"/>
        <v>D-0310</v>
      </c>
      <c r="CI955" s="1" t="s">
        <v>102</v>
      </c>
    </row>
    <row r="956" spans="1:87">
      <c r="A956" t="s">
        <v>1546</v>
      </c>
      <c r="B956">
        <v>1860</v>
      </c>
      <c r="C956" t="s">
        <v>1542</v>
      </c>
      <c r="D956" t="s">
        <v>261</v>
      </c>
      <c r="E956" t="s">
        <v>629</v>
      </c>
      <c r="F956" t="s">
        <v>635</v>
      </c>
      <c r="G956" t="s">
        <v>1516</v>
      </c>
      <c r="L956">
        <v>60</v>
      </c>
      <c r="M956">
        <v>96</v>
      </c>
      <c r="N956">
        <v>132</v>
      </c>
      <c r="O956">
        <v>204</v>
      </c>
      <c r="P956">
        <v>180</v>
      </c>
      <c r="Q956">
        <v>204</v>
      </c>
      <c r="R956">
        <v>132</v>
      </c>
      <c r="S956">
        <v>60</v>
      </c>
      <c r="T956">
        <v>72</v>
      </c>
      <c r="U956">
        <v>168</v>
      </c>
      <c r="V956">
        <v>132</v>
      </c>
      <c r="W956">
        <v>168</v>
      </c>
      <c r="X956">
        <v>144</v>
      </c>
      <c r="Y956">
        <v>108</v>
      </c>
      <c r="CH956" t="str">
        <f t="shared" si="14"/>
        <v>D-0310</v>
      </c>
      <c r="CI956" s="1" t="s">
        <v>102</v>
      </c>
    </row>
    <row r="957" spans="1:87">
      <c r="A957" t="s">
        <v>1547</v>
      </c>
      <c r="B957">
        <v>180</v>
      </c>
      <c r="C957" t="s">
        <v>1542</v>
      </c>
      <c r="D957" t="s">
        <v>261</v>
      </c>
      <c r="E957" t="s">
        <v>629</v>
      </c>
      <c r="F957" t="s">
        <v>635</v>
      </c>
      <c r="G957" t="s">
        <v>1516</v>
      </c>
      <c r="S957">
        <v>12</v>
      </c>
      <c r="T957">
        <v>12</v>
      </c>
      <c r="U957">
        <v>12</v>
      </c>
      <c r="V957">
        <v>24</v>
      </c>
      <c r="W957">
        <v>24</v>
      </c>
      <c r="X957">
        <v>24</v>
      </c>
      <c r="Y957">
        <v>24</v>
      </c>
      <c r="Z957">
        <v>12</v>
      </c>
      <c r="AA957">
        <v>12</v>
      </c>
      <c r="AB957">
        <v>12</v>
      </c>
      <c r="AC957">
        <v>12</v>
      </c>
      <c r="CH957" t="str">
        <f t="shared" si="14"/>
        <v>D-0310</v>
      </c>
      <c r="CI957" s="1" t="s">
        <v>102</v>
      </c>
    </row>
    <row r="958" spans="1:87">
      <c r="A958" t="s">
        <v>3492</v>
      </c>
      <c r="B958">
        <v>122</v>
      </c>
      <c r="C958" t="s">
        <v>3493</v>
      </c>
      <c r="D958" t="s">
        <v>3494</v>
      </c>
      <c r="E958" t="s">
        <v>629</v>
      </c>
      <c r="F958" t="s">
        <v>635</v>
      </c>
      <c r="G958" t="s">
        <v>1647</v>
      </c>
      <c r="V958">
        <v>61</v>
      </c>
      <c r="X958">
        <v>61</v>
      </c>
      <c r="CH958" t="str">
        <f t="shared" si="14"/>
        <v>D-0493</v>
      </c>
      <c r="CI958" s="1" t="s">
        <v>102</v>
      </c>
    </row>
    <row r="959" spans="1:87">
      <c r="A959" t="s">
        <v>3495</v>
      </c>
      <c r="B959">
        <v>96</v>
      </c>
      <c r="C959" t="s">
        <v>3493</v>
      </c>
      <c r="D959" t="s">
        <v>3494</v>
      </c>
      <c r="E959" t="s">
        <v>629</v>
      </c>
      <c r="F959" t="s">
        <v>635</v>
      </c>
      <c r="G959" t="s">
        <v>1647</v>
      </c>
      <c r="V959">
        <v>48</v>
      </c>
      <c r="X959">
        <v>48</v>
      </c>
      <c r="CH959" t="str">
        <f t="shared" si="14"/>
        <v>D-0493</v>
      </c>
      <c r="CI959" s="1" t="s">
        <v>102</v>
      </c>
    </row>
    <row r="960" spans="1:87">
      <c r="A960" t="s">
        <v>3496</v>
      </c>
      <c r="B960">
        <v>62</v>
      </c>
      <c r="C960" t="s">
        <v>3493</v>
      </c>
      <c r="D960" t="s">
        <v>3494</v>
      </c>
      <c r="E960" t="s">
        <v>629</v>
      </c>
      <c r="F960" t="s">
        <v>635</v>
      </c>
      <c r="G960" t="s">
        <v>1647</v>
      </c>
      <c r="V960">
        <v>31</v>
      </c>
      <c r="X960">
        <v>31</v>
      </c>
      <c r="CH960" t="str">
        <f t="shared" si="14"/>
        <v>D-0493</v>
      </c>
      <c r="CI960" s="1" t="s">
        <v>102</v>
      </c>
    </row>
    <row r="961" spans="1:87">
      <c r="A961" t="s">
        <v>3497</v>
      </c>
      <c r="B961">
        <v>64</v>
      </c>
      <c r="C961" t="s">
        <v>3498</v>
      </c>
      <c r="D961" t="s">
        <v>3494</v>
      </c>
      <c r="E961" t="s">
        <v>629</v>
      </c>
      <c r="F961" t="s">
        <v>635</v>
      </c>
      <c r="G961" t="s">
        <v>1647</v>
      </c>
      <c r="V961">
        <v>32</v>
      </c>
      <c r="X961">
        <v>32</v>
      </c>
      <c r="CH961" t="str">
        <f t="shared" si="14"/>
        <v>D-0493</v>
      </c>
      <c r="CI961" s="1" t="s">
        <v>102</v>
      </c>
    </row>
    <row r="962" spans="1:87">
      <c r="A962" t="s">
        <v>3499</v>
      </c>
      <c r="B962">
        <v>76</v>
      </c>
      <c r="C962" t="s">
        <v>3500</v>
      </c>
      <c r="D962" t="s">
        <v>1002</v>
      </c>
      <c r="E962" t="s">
        <v>629</v>
      </c>
      <c r="F962" t="s">
        <v>652</v>
      </c>
      <c r="G962" t="s">
        <v>1003</v>
      </c>
      <c r="V962">
        <v>38</v>
      </c>
      <c r="X962">
        <v>38</v>
      </c>
      <c r="CH962" t="str">
        <f t="shared" ref="CH962:CH1025" si="15">TRIM(IFERROR(IFERROR(MID($D962,FIND("(D-",$D962)+1,6),LEFT($D962,FIND("(",$D962)-1)),$D962))</f>
        <v>D-0493</v>
      </c>
      <c r="CI962" s="1" t="s">
        <v>102</v>
      </c>
    </row>
    <row r="963" spans="1:87">
      <c r="A963" t="s">
        <v>3501</v>
      </c>
      <c r="B963">
        <v>204</v>
      </c>
      <c r="C963" t="s">
        <v>2413</v>
      </c>
      <c r="D963" t="s">
        <v>237</v>
      </c>
      <c r="E963" t="s">
        <v>629</v>
      </c>
      <c r="F963" t="s">
        <v>665</v>
      </c>
      <c r="G963" t="s">
        <v>3502</v>
      </c>
      <c r="T963">
        <v>12</v>
      </c>
      <c r="V963">
        <v>30</v>
      </c>
      <c r="X963">
        <v>54</v>
      </c>
      <c r="Z963">
        <v>54</v>
      </c>
      <c r="AB963">
        <v>36</v>
      </c>
      <c r="AD963">
        <v>12</v>
      </c>
      <c r="AF963">
        <v>6</v>
      </c>
      <c r="CH963" t="str">
        <f t="shared" si="15"/>
        <v>D-0267</v>
      </c>
      <c r="CI963" s="1" t="s">
        <v>102</v>
      </c>
    </row>
    <row r="964" spans="1:87">
      <c r="A964" t="s">
        <v>3503</v>
      </c>
      <c r="B964">
        <v>3912</v>
      </c>
      <c r="C964" t="s">
        <v>2413</v>
      </c>
      <c r="D964" t="s">
        <v>237</v>
      </c>
      <c r="E964" t="s">
        <v>629</v>
      </c>
      <c r="F964" t="s">
        <v>665</v>
      </c>
      <c r="G964" t="s">
        <v>3502</v>
      </c>
      <c r="T964">
        <v>105</v>
      </c>
      <c r="U964">
        <v>125</v>
      </c>
      <c r="V964">
        <v>294</v>
      </c>
      <c r="W964">
        <v>332</v>
      </c>
      <c r="X964">
        <v>450</v>
      </c>
      <c r="Y964">
        <v>458</v>
      </c>
      <c r="Z964">
        <v>503</v>
      </c>
      <c r="AA964">
        <v>459</v>
      </c>
      <c r="AB964">
        <v>433</v>
      </c>
      <c r="AC964">
        <v>239</v>
      </c>
      <c r="AD964">
        <v>320</v>
      </c>
      <c r="AE964">
        <v>4</v>
      </c>
      <c r="AF964">
        <v>190</v>
      </c>
      <c r="CH964" t="str">
        <f t="shared" si="15"/>
        <v>D-0267</v>
      </c>
      <c r="CI964" s="1" t="s">
        <v>102</v>
      </c>
    </row>
    <row r="965" spans="1:87">
      <c r="A965" t="s">
        <v>3504</v>
      </c>
      <c r="B965">
        <v>1881</v>
      </c>
      <c r="C965" t="s">
        <v>2413</v>
      </c>
      <c r="D965" t="s">
        <v>237</v>
      </c>
      <c r="E965" t="s">
        <v>629</v>
      </c>
      <c r="F965" t="s">
        <v>665</v>
      </c>
      <c r="G965" t="s">
        <v>3502</v>
      </c>
      <c r="S965">
        <v>37</v>
      </c>
      <c r="T965">
        <v>173</v>
      </c>
      <c r="U965">
        <v>162</v>
      </c>
      <c r="V965">
        <v>356</v>
      </c>
      <c r="W965">
        <v>363</v>
      </c>
      <c r="X965">
        <v>256</v>
      </c>
      <c r="Y965">
        <v>292</v>
      </c>
      <c r="Z965">
        <v>146</v>
      </c>
      <c r="AA965">
        <v>56</v>
      </c>
      <c r="AB965">
        <v>36</v>
      </c>
      <c r="AD965">
        <v>4</v>
      </c>
      <c r="CH965" t="str">
        <f t="shared" si="15"/>
        <v>D-0267</v>
      </c>
      <c r="CI965" s="1" t="s">
        <v>102</v>
      </c>
    </row>
    <row r="966" spans="1:87">
      <c r="A966" t="s">
        <v>3505</v>
      </c>
      <c r="B966">
        <v>2077</v>
      </c>
      <c r="C966" t="s">
        <v>2413</v>
      </c>
      <c r="D966" t="s">
        <v>237</v>
      </c>
      <c r="E966" t="s">
        <v>629</v>
      </c>
      <c r="F966" t="s">
        <v>665</v>
      </c>
      <c r="G966" t="s">
        <v>3502</v>
      </c>
      <c r="S966">
        <v>138</v>
      </c>
      <c r="T966">
        <v>643</v>
      </c>
      <c r="U966">
        <v>599</v>
      </c>
      <c r="V966">
        <v>164</v>
      </c>
      <c r="W966">
        <v>166</v>
      </c>
      <c r="X966">
        <v>120</v>
      </c>
      <c r="Y966">
        <v>134</v>
      </c>
      <c r="Z966">
        <v>68</v>
      </c>
      <c r="AA966">
        <v>26</v>
      </c>
      <c r="AB966">
        <v>17</v>
      </c>
      <c r="AD966">
        <v>2</v>
      </c>
      <c r="CH966" t="str">
        <f t="shared" si="15"/>
        <v>D-0267</v>
      </c>
      <c r="CI966" s="1" t="s">
        <v>102</v>
      </c>
    </row>
    <row r="967" spans="1:87">
      <c r="A967" t="s">
        <v>3506</v>
      </c>
      <c r="B967">
        <v>5753</v>
      </c>
      <c r="C967" t="s">
        <v>2413</v>
      </c>
      <c r="D967" t="s">
        <v>237</v>
      </c>
      <c r="E967" t="s">
        <v>629</v>
      </c>
      <c r="F967" t="s">
        <v>665</v>
      </c>
      <c r="G967" t="s">
        <v>3502</v>
      </c>
      <c r="S967">
        <v>18</v>
      </c>
      <c r="T967">
        <v>80</v>
      </c>
      <c r="U967">
        <v>75</v>
      </c>
      <c r="V967">
        <v>1320</v>
      </c>
      <c r="W967">
        <v>1343</v>
      </c>
      <c r="X967">
        <v>941</v>
      </c>
      <c r="Y967">
        <v>1081</v>
      </c>
      <c r="Z967">
        <v>542</v>
      </c>
      <c r="AA967">
        <v>205</v>
      </c>
      <c r="AB967">
        <v>133</v>
      </c>
      <c r="AD967">
        <v>15</v>
      </c>
      <c r="CH967" t="str">
        <f t="shared" si="15"/>
        <v>D-0267</v>
      </c>
      <c r="CI967" s="1" t="s">
        <v>102</v>
      </c>
    </row>
    <row r="968" spans="1:87">
      <c r="A968" t="s">
        <v>3507</v>
      </c>
      <c r="B968">
        <v>2133</v>
      </c>
      <c r="C968" t="s">
        <v>2410</v>
      </c>
      <c r="D968" t="s">
        <v>237</v>
      </c>
      <c r="E968" t="s">
        <v>629</v>
      </c>
      <c r="F968" t="s">
        <v>665</v>
      </c>
      <c r="G968" t="s">
        <v>3508</v>
      </c>
      <c r="T968">
        <v>126</v>
      </c>
      <c r="V968">
        <v>300</v>
      </c>
      <c r="X968">
        <v>603</v>
      </c>
      <c r="Z968">
        <v>552</v>
      </c>
      <c r="AB968">
        <v>372</v>
      </c>
      <c r="AD968">
        <v>144</v>
      </c>
      <c r="AF968">
        <v>36</v>
      </c>
      <c r="CH968" t="str">
        <f t="shared" si="15"/>
        <v>D-0267</v>
      </c>
      <c r="CI968" s="1" t="s">
        <v>102</v>
      </c>
    </row>
    <row r="969" spans="1:87">
      <c r="A969" t="s">
        <v>3509</v>
      </c>
      <c r="B969">
        <v>1323</v>
      </c>
      <c r="C969" t="s">
        <v>2410</v>
      </c>
      <c r="D969" t="s">
        <v>237</v>
      </c>
      <c r="E969" t="s">
        <v>629</v>
      </c>
      <c r="F969" t="s">
        <v>665</v>
      </c>
      <c r="G969" t="s">
        <v>3508</v>
      </c>
      <c r="T969">
        <v>78</v>
      </c>
      <c r="V969">
        <v>186</v>
      </c>
      <c r="X969">
        <v>375</v>
      </c>
      <c r="Z969">
        <v>342</v>
      </c>
      <c r="AB969">
        <v>228</v>
      </c>
      <c r="AD969">
        <v>90</v>
      </c>
      <c r="AF969">
        <v>24</v>
      </c>
      <c r="CH969" t="str">
        <f t="shared" si="15"/>
        <v>D-0267</v>
      </c>
      <c r="CI969" s="1" t="s">
        <v>102</v>
      </c>
    </row>
    <row r="970" spans="1:87">
      <c r="A970" t="s">
        <v>3510</v>
      </c>
      <c r="B970">
        <v>1203</v>
      </c>
      <c r="C970" t="s">
        <v>2410</v>
      </c>
      <c r="D970" t="s">
        <v>237</v>
      </c>
      <c r="E970" t="s">
        <v>629</v>
      </c>
      <c r="F970" t="s">
        <v>665</v>
      </c>
      <c r="G970" t="s">
        <v>3508</v>
      </c>
      <c r="W970">
        <v>100</v>
      </c>
      <c r="X970">
        <v>103</v>
      </c>
      <c r="Y970">
        <v>200</v>
      </c>
      <c r="Z970">
        <v>200</v>
      </c>
      <c r="AA970">
        <v>300</v>
      </c>
      <c r="AB970">
        <v>200</v>
      </c>
      <c r="AD970">
        <v>100</v>
      </c>
      <c r="CH970" t="str">
        <f t="shared" si="15"/>
        <v>D-0267</v>
      </c>
      <c r="CI970" s="1" t="s">
        <v>102</v>
      </c>
    </row>
    <row r="971" spans="1:87">
      <c r="A971" t="s">
        <v>3511</v>
      </c>
      <c r="B971">
        <v>1203</v>
      </c>
      <c r="C971" t="s">
        <v>2410</v>
      </c>
      <c r="D971" t="s">
        <v>237</v>
      </c>
      <c r="E971" t="s">
        <v>629</v>
      </c>
      <c r="F971" t="s">
        <v>665</v>
      </c>
      <c r="G971" t="s">
        <v>3508</v>
      </c>
      <c r="R971">
        <v>100</v>
      </c>
      <c r="S971">
        <v>100</v>
      </c>
      <c r="T971">
        <v>100</v>
      </c>
      <c r="U971">
        <v>200</v>
      </c>
      <c r="V971">
        <v>200</v>
      </c>
      <c r="W971">
        <v>200</v>
      </c>
      <c r="X971">
        <v>103</v>
      </c>
      <c r="Y971">
        <v>100</v>
      </c>
      <c r="Z971">
        <v>100</v>
      </c>
      <c r="CH971" t="str">
        <f t="shared" si="15"/>
        <v>D-0267</v>
      </c>
      <c r="CI971" s="1" t="s">
        <v>102</v>
      </c>
    </row>
    <row r="972" spans="1:87">
      <c r="A972" t="s">
        <v>3512</v>
      </c>
      <c r="B972">
        <v>627</v>
      </c>
      <c r="C972" t="s">
        <v>2412</v>
      </c>
      <c r="D972" t="s">
        <v>237</v>
      </c>
      <c r="E972" t="s">
        <v>629</v>
      </c>
      <c r="F972" t="s">
        <v>665</v>
      </c>
      <c r="G972" t="s">
        <v>3502</v>
      </c>
      <c r="T972">
        <v>36</v>
      </c>
      <c r="V972">
        <v>90</v>
      </c>
      <c r="X972">
        <v>177</v>
      </c>
      <c r="Z972">
        <v>162</v>
      </c>
      <c r="AB972">
        <v>108</v>
      </c>
      <c r="AD972">
        <v>42</v>
      </c>
      <c r="AF972">
        <v>12</v>
      </c>
      <c r="CH972" t="str">
        <f t="shared" si="15"/>
        <v>D-0267</v>
      </c>
      <c r="CI972" s="1" t="s">
        <v>102</v>
      </c>
    </row>
    <row r="973" spans="1:87">
      <c r="A973" t="s">
        <v>3513</v>
      </c>
      <c r="B973">
        <v>1221</v>
      </c>
      <c r="C973" t="s">
        <v>2412</v>
      </c>
      <c r="D973" t="s">
        <v>237</v>
      </c>
      <c r="E973" t="s">
        <v>629</v>
      </c>
      <c r="F973" t="s">
        <v>665</v>
      </c>
      <c r="G973" t="s">
        <v>3502</v>
      </c>
      <c r="T973">
        <v>72</v>
      </c>
      <c r="V973">
        <v>174</v>
      </c>
      <c r="X973">
        <v>345</v>
      </c>
      <c r="Z973">
        <v>318</v>
      </c>
      <c r="AB973">
        <v>210</v>
      </c>
      <c r="AD973">
        <v>84</v>
      </c>
      <c r="AF973">
        <v>18</v>
      </c>
      <c r="CH973" t="str">
        <f t="shared" si="15"/>
        <v>D-0267</v>
      </c>
      <c r="CI973" s="1" t="s">
        <v>102</v>
      </c>
    </row>
    <row r="974" spans="1:87">
      <c r="A974" t="s">
        <v>3514</v>
      </c>
      <c r="B974">
        <v>1713</v>
      </c>
      <c r="C974" t="s">
        <v>2412</v>
      </c>
      <c r="D974" t="s">
        <v>237</v>
      </c>
      <c r="E974" t="s">
        <v>629</v>
      </c>
      <c r="F974" t="s">
        <v>665</v>
      </c>
      <c r="G974" t="s">
        <v>3502</v>
      </c>
      <c r="T974">
        <v>102</v>
      </c>
      <c r="U974">
        <v>138</v>
      </c>
      <c r="V974">
        <v>186</v>
      </c>
      <c r="W974">
        <v>324</v>
      </c>
      <c r="X974">
        <v>345</v>
      </c>
      <c r="Y974">
        <v>258</v>
      </c>
      <c r="Z974">
        <v>186</v>
      </c>
      <c r="AA974">
        <v>120</v>
      </c>
      <c r="AB974">
        <v>54</v>
      </c>
      <c r="CH974" t="str">
        <f t="shared" si="15"/>
        <v>D-0267</v>
      </c>
      <c r="CI974" s="1" t="s">
        <v>102</v>
      </c>
    </row>
    <row r="975" spans="1:87">
      <c r="A975" t="s">
        <v>3515</v>
      </c>
      <c r="B975">
        <v>78</v>
      </c>
      <c r="C975" t="s">
        <v>2412</v>
      </c>
      <c r="D975" t="s">
        <v>237</v>
      </c>
      <c r="E975" t="s">
        <v>629</v>
      </c>
      <c r="F975" t="s">
        <v>665</v>
      </c>
      <c r="G975" t="s">
        <v>3502</v>
      </c>
      <c r="U975">
        <v>6</v>
      </c>
      <c r="V975">
        <v>6</v>
      </c>
      <c r="W975">
        <v>6</v>
      </c>
      <c r="X975">
        <v>18</v>
      </c>
      <c r="Y975">
        <v>12</v>
      </c>
      <c r="Z975">
        <v>12</v>
      </c>
      <c r="AA975">
        <v>6</v>
      </c>
      <c r="AB975">
        <v>6</v>
      </c>
      <c r="AD975">
        <v>6</v>
      </c>
      <c r="CH975" t="str">
        <f t="shared" si="15"/>
        <v>D-0267</v>
      </c>
      <c r="CI975" s="1" t="s">
        <v>102</v>
      </c>
    </row>
    <row r="976" spans="1:87">
      <c r="A976" t="s">
        <v>3516</v>
      </c>
      <c r="B976">
        <v>483</v>
      </c>
      <c r="C976" t="s">
        <v>2412</v>
      </c>
      <c r="D976" t="s">
        <v>237</v>
      </c>
      <c r="E976" t="s">
        <v>629</v>
      </c>
      <c r="F976" t="s">
        <v>665</v>
      </c>
      <c r="G976" t="s">
        <v>3502</v>
      </c>
      <c r="T976">
        <v>18</v>
      </c>
      <c r="U976">
        <v>12</v>
      </c>
      <c r="V976">
        <v>42</v>
      </c>
      <c r="W976">
        <v>48</v>
      </c>
      <c r="X976">
        <v>81</v>
      </c>
      <c r="Y976">
        <v>66</v>
      </c>
      <c r="Z976">
        <v>78</v>
      </c>
      <c r="AA976">
        <v>42</v>
      </c>
      <c r="AB976">
        <v>36</v>
      </c>
      <c r="AC976">
        <v>12</v>
      </c>
      <c r="AD976">
        <v>36</v>
      </c>
      <c r="AE976">
        <v>6</v>
      </c>
      <c r="AF976">
        <v>6</v>
      </c>
      <c r="CH976" t="str">
        <f t="shared" si="15"/>
        <v>D-0267</v>
      </c>
      <c r="CI976" s="1" t="s">
        <v>102</v>
      </c>
    </row>
    <row r="977" spans="1:87">
      <c r="A977" t="s">
        <v>3517</v>
      </c>
      <c r="B977">
        <v>681</v>
      </c>
      <c r="C977" t="s">
        <v>2412</v>
      </c>
      <c r="D977" t="s">
        <v>237</v>
      </c>
      <c r="E977" t="s">
        <v>629</v>
      </c>
      <c r="F977" t="s">
        <v>665</v>
      </c>
      <c r="G977" t="s">
        <v>3502</v>
      </c>
      <c r="R977">
        <v>6</v>
      </c>
      <c r="S977">
        <v>6</v>
      </c>
      <c r="T977">
        <v>30</v>
      </c>
      <c r="U977">
        <v>36</v>
      </c>
      <c r="V977">
        <v>60</v>
      </c>
      <c r="W977">
        <v>66</v>
      </c>
      <c r="X977">
        <v>99</v>
      </c>
      <c r="Y977">
        <v>96</v>
      </c>
      <c r="Z977">
        <v>90</v>
      </c>
      <c r="AA977">
        <v>66</v>
      </c>
      <c r="AB977">
        <v>60</v>
      </c>
      <c r="AC977">
        <v>30</v>
      </c>
      <c r="AD977">
        <v>18</v>
      </c>
      <c r="AE977">
        <v>6</v>
      </c>
      <c r="AF977">
        <v>6</v>
      </c>
      <c r="AH977">
        <v>6</v>
      </c>
      <c r="CH977" t="str">
        <f t="shared" si="15"/>
        <v>D-0267</v>
      </c>
      <c r="CI977" s="1" t="s">
        <v>102</v>
      </c>
    </row>
    <row r="978" spans="1:87">
      <c r="A978" t="s">
        <v>3518</v>
      </c>
      <c r="B978">
        <v>803</v>
      </c>
      <c r="C978" t="s">
        <v>2412</v>
      </c>
      <c r="D978" t="s">
        <v>237</v>
      </c>
      <c r="E978" t="s">
        <v>629</v>
      </c>
      <c r="F978" t="s">
        <v>665</v>
      </c>
      <c r="G978" t="s">
        <v>3502</v>
      </c>
      <c r="W978">
        <v>66</v>
      </c>
      <c r="X978">
        <v>70</v>
      </c>
      <c r="Y978">
        <v>133</v>
      </c>
      <c r="Z978">
        <v>134</v>
      </c>
      <c r="AA978">
        <v>200</v>
      </c>
      <c r="AB978">
        <v>133</v>
      </c>
      <c r="AD978">
        <v>67</v>
      </c>
      <c r="CH978" t="str">
        <f t="shared" si="15"/>
        <v>D-0267</v>
      </c>
      <c r="CI978" s="1" t="s">
        <v>102</v>
      </c>
    </row>
    <row r="979" spans="1:87">
      <c r="A979" t="s">
        <v>3519</v>
      </c>
      <c r="B979">
        <v>7203</v>
      </c>
      <c r="C979" t="s">
        <v>2412</v>
      </c>
      <c r="D979" t="s">
        <v>237</v>
      </c>
      <c r="E979" t="s">
        <v>629</v>
      </c>
      <c r="F979" t="s">
        <v>665</v>
      </c>
      <c r="G979" t="s">
        <v>3502</v>
      </c>
      <c r="W979">
        <v>600</v>
      </c>
      <c r="X979">
        <v>603</v>
      </c>
      <c r="Y979">
        <v>1200</v>
      </c>
      <c r="Z979">
        <v>1200</v>
      </c>
      <c r="AA979">
        <v>1800</v>
      </c>
      <c r="AB979">
        <v>1200</v>
      </c>
      <c r="AD979">
        <v>600</v>
      </c>
      <c r="CH979" t="str">
        <f t="shared" si="15"/>
        <v>D-0267</v>
      </c>
      <c r="CI979" s="1" t="s">
        <v>102</v>
      </c>
    </row>
    <row r="980" spans="1:87">
      <c r="A980" t="s">
        <v>3520</v>
      </c>
      <c r="B980">
        <v>477</v>
      </c>
      <c r="C980" t="s">
        <v>757</v>
      </c>
      <c r="D980" t="s">
        <v>237</v>
      </c>
      <c r="E980" t="s">
        <v>629</v>
      </c>
      <c r="F980" t="s">
        <v>632</v>
      </c>
      <c r="G980" t="s">
        <v>2593</v>
      </c>
      <c r="T980">
        <v>24</v>
      </c>
      <c r="V980">
        <v>78</v>
      </c>
      <c r="X980">
        <v>129</v>
      </c>
      <c r="Z980">
        <v>120</v>
      </c>
      <c r="AB980">
        <v>78</v>
      </c>
      <c r="AD980">
        <v>42</v>
      </c>
      <c r="AF980">
        <v>6</v>
      </c>
      <c r="CH980" t="str">
        <f t="shared" si="15"/>
        <v>D-0267</v>
      </c>
      <c r="CI980" s="1" t="s">
        <v>102</v>
      </c>
    </row>
    <row r="981" spans="1:87">
      <c r="A981" t="s">
        <v>3521</v>
      </c>
      <c r="B981">
        <v>138</v>
      </c>
      <c r="C981" t="s">
        <v>757</v>
      </c>
      <c r="D981" t="s">
        <v>237</v>
      </c>
      <c r="E981" t="s">
        <v>629</v>
      </c>
      <c r="F981" t="s">
        <v>632</v>
      </c>
      <c r="G981" t="s">
        <v>2593</v>
      </c>
      <c r="V981">
        <v>24</v>
      </c>
      <c r="X981">
        <v>24</v>
      </c>
      <c r="Z981">
        <v>42</v>
      </c>
      <c r="AB981">
        <v>36</v>
      </c>
      <c r="AD981">
        <v>12</v>
      </c>
      <c r="CH981" t="str">
        <f t="shared" si="15"/>
        <v>D-0267</v>
      </c>
      <c r="CI981" s="1" t="s">
        <v>102</v>
      </c>
    </row>
    <row r="982" spans="1:87">
      <c r="A982" t="s">
        <v>3522</v>
      </c>
      <c r="B982">
        <v>375</v>
      </c>
      <c r="C982" t="s">
        <v>757</v>
      </c>
      <c r="D982" t="s">
        <v>237</v>
      </c>
      <c r="E982" t="s">
        <v>629</v>
      </c>
      <c r="F982" t="s">
        <v>632</v>
      </c>
      <c r="G982" t="s">
        <v>2593</v>
      </c>
      <c r="T982">
        <v>42</v>
      </c>
      <c r="U982">
        <v>12</v>
      </c>
      <c r="V982">
        <v>84</v>
      </c>
      <c r="W982">
        <v>12</v>
      </c>
      <c r="X982">
        <v>105</v>
      </c>
      <c r="Y982">
        <v>12</v>
      </c>
      <c r="Z982">
        <v>60</v>
      </c>
      <c r="AA982">
        <v>6</v>
      </c>
      <c r="AB982">
        <v>24</v>
      </c>
      <c r="AC982">
        <v>6</v>
      </c>
      <c r="AD982">
        <v>12</v>
      </c>
      <c r="CH982" t="str">
        <f t="shared" si="15"/>
        <v>D-0267</v>
      </c>
      <c r="CI982" s="1" t="s">
        <v>102</v>
      </c>
    </row>
    <row r="983" spans="1:87">
      <c r="A983" t="s">
        <v>3523</v>
      </c>
      <c r="B983">
        <v>435</v>
      </c>
      <c r="C983" t="s">
        <v>757</v>
      </c>
      <c r="D983" t="s">
        <v>237</v>
      </c>
      <c r="E983" t="s">
        <v>629</v>
      </c>
      <c r="F983" t="s">
        <v>632</v>
      </c>
      <c r="G983" t="s">
        <v>2593</v>
      </c>
      <c r="T983">
        <v>24</v>
      </c>
      <c r="U983">
        <v>24</v>
      </c>
      <c r="V983">
        <v>72</v>
      </c>
      <c r="W983">
        <v>36</v>
      </c>
      <c r="X983">
        <v>87</v>
      </c>
      <c r="Y983">
        <v>54</v>
      </c>
      <c r="Z983">
        <v>54</v>
      </c>
      <c r="AA983">
        <v>18</v>
      </c>
      <c r="AB983">
        <v>48</v>
      </c>
      <c r="AC983">
        <v>6</v>
      </c>
      <c r="AD983">
        <v>12</v>
      </c>
      <c r="CH983" t="str">
        <f t="shared" si="15"/>
        <v>D-0267</v>
      </c>
      <c r="CI983" s="1" t="s">
        <v>102</v>
      </c>
    </row>
    <row r="984" spans="1:87">
      <c r="A984" t="s">
        <v>3524</v>
      </c>
      <c r="B984">
        <v>1197</v>
      </c>
      <c r="C984" t="s">
        <v>757</v>
      </c>
      <c r="D984" t="s">
        <v>237</v>
      </c>
      <c r="E984" t="s">
        <v>629</v>
      </c>
      <c r="F984" t="s">
        <v>632</v>
      </c>
      <c r="G984" t="s">
        <v>2593</v>
      </c>
      <c r="V984">
        <v>120</v>
      </c>
      <c r="W984">
        <v>144</v>
      </c>
      <c r="X984">
        <v>147</v>
      </c>
      <c r="Y984">
        <v>144</v>
      </c>
      <c r="Z984">
        <v>132</v>
      </c>
      <c r="AA984">
        <v>114</v>
      </c>
      <c r="AB984">
        <v>114</v>
      </c>
      <c r="AC984">
        <v>90</v>
      </c>
      <c r="AD984">
        <v>108</v>
      </c>
      <c r="AF984">
        <v>84</v>
      </c>
      <c r="CH984" t="str">
        <f t="shared" si="15"/>
        <v>D-0267</v>
      </c>
      <c r="CI984" s="1" t="s">
        <v>102</v>
      </c>
    </row>
    <row r="985" spans="1:87">
      <c r="A985" t="s">
        <v>3525</v>
      </c>
      <c r="B985">
        <v>1053</v>
      </c>
      <c r="C985" t="s">
        <v>757</v>
      </c>
      <c r="D985" t="s">
        <v>237</v>
      </c>
      <c r="E985" t="s">
        <v>629</v>
      </c>
      <c r="F985" t="s">
        <v>632</v>
      </c>
      <c r="G985" t="s">
        <v>2593</v>
      </c>
      <c r="V985">
        <v>66</v>
      </c>
      <c r="W985">
        <v>66</v>
      </c>
      <c r="X985">
        <v>105</v>
      </c>
      <c r="Y985">
        <v>114</v>
      </c>
      <c r="Z985">
        <v>126</v>
      </c>
      <c r="AA985">
        <v>150</v>
      </c>
      <c r="AB985">
        <v>138</v>
      </c>
      <c r="AC985">
        <v>78</v>
      </c>
      <c r="AD985">
        <v>102</v>
      </c>
      <c r="AF985">
        <v>108</v>
      </c>
      <c r="CH985" t="str">
        <f t="shared" si="15"/>
        <v>D-0267</v>
      </c>
      <c r="CI985" s="1" t="s">
        <v>102</v>
      </c>
    </row>
    <row r="986" spans="1:87">
      <c r="A986" t="s">
        <v>3526</v>
      </c>
      <c r="B986">
        <v>1053</v>
      </c>
      <c r="C986" t="s">
        <v>757</v>
      </c>
      <c r="D986" t="s">
        <v>237</v>
      </c>
      <c r="E986" t="s">
        <v>629</v>
      </c>
      <c r="F986" t="s">
        <v>632</v>
      </c>
      <c r="G986" t="s">
        <v>2593</v>
      </c>
      <c r="V986">
        <v>72</v>
      </c>
      <c r="W986">
        <v>72</v>
      </c>
      <c r="X986">
        <v>111</v>
      </c>
      <c r="Y986">
        <v>114</v>
      </c>
      <c r="Z986">
        <v>144</v>
      </c>
      <c r="AA986">
        <v>156</v>
      </c>
      <c r="AB986">
        <v>120</v>
      </c>
      <c r="AC986">
        <v>72</v>
      </c>
      <c r="AD986">
        <v>114</v>
      </c>
      <c r="AF986">
        <v>78</v>
      </c>
      <c r="CH986" t="str">
        <f t="shared" si="15"/>
        <v>D-0267</v>
      </c>
      <c r="CI986" s="1" t="s">
        <v>102</v>
      </c>
    </row>
    <row r="987" spans="1:87">
      <c r="A987" t="s">
        <v>3527</v>
      </c>
      <c r="B987">
        <v>603</v>
      </c>
      <c r="C987" t="s">
        <v>757</v>
      </c>
      <c r="D987" t="s">
        <v>237</v>
      </c>
      <c r="E987" t="s">
        <v>629</v>
      </c>
      <c r="F987" t="s">
        <v>632</v>
      </c>
      <c r="G987" t="s">
        <v>2593</v>
      </c>
      <c r="Z987">
        <v>103</v>
      </c>
      <c r="AA987">
        <v>100</v>
      </c>
      <c r="AB987">
        <v>100</v>
      </c>
      <c r="AC987">
        <v>100</v>
      </c>
      <c r="AD987">
        <v>100</v>
      </c>
      <c r="AF987">
        <v>100</v>
      </c>
      <c r="CH987" t="str">
        <f t="shared" si="15"/>
        <v>D-0267</v>
      </c>
      <c r="CI987" s="1" t="s">
        <v>102</v>
      </c>
    </row>
    <row r="988" spans="1:87">
      <c r="A988" t="s">
        <v>3528</v>
      </c>
      <c r="B988">
        <v>603</v>
      </c>
      <c r="C988" t="s">
        <v>757</v>
      </c>
      <c r="D988" t="s">
        <v>237</v>
      </c>
      <c r="E988" t="s">
        <v>629</v>
      </c>
      <c r="F988" t="s">
        <v>632</v>
      </c>
      <c r="G988" t="s">
        <v>2593</v>
      </c>
      <c r="T988">
        <v>100</v>
      </c>
      <c r="U988">
        <v>100</v>
      </c>
      <c r="V988">
        <v>100</v>
      </c>
      <c r="W988">
        <v>100</v>
      </c>
      <c r="X988">
        <v>103</v>
      </c>
      <c r="Y988">
        <v>100</v>
      </c>
      <c r="CH988" t="str">
        <f t="shared" si="15"/>
        <v>D-0267</v>
      </c>
      <c r="CI988" s="1" t="s">
        <v>102</v>
      </c>
    </row>
    <row r="989" spans="1:87">
      <c r="A989" t="s">
        <v>3529</v>
      </c>
      <c r="B989">
        <v>72</v>
      </c>
      <c r="C989" t="s">
        <v>977</v>
      </c>
      <c r="D989" t="s">
        <v>238</v>
      </c>
      <c r="E989" t="s">
        <v>629</v>
      </c>
      <c r="F989" t="s">
        <v>632</v>
      </c>
      <c r="G989" t="s">
        <v>2693</v>
      </c>
      <c r="V989">
        <v>6</v>
      </c>
      <c r="W989">
        <v>6</v>
      </c>
      <c r="X989">
        <v>6</v>
      </c>
      <c r="Y989">
        <v>6</v>
      </c>
      <c r="Z989">
        <v>12</v>
      </c>
      <c r="AA989">
        <v>6</v>
      </c>
      <c r="AB989">
        <v>12</v>
      </c>
      <c r="AC989">
        <v>6</v>
      </c>
      <c r="AD989">
        <v>6</v>
      </c>
      <c r="AF989">
        <v>6</v>
      </c>
      <c r="CH989" t="str">
        <f t="shared" si="15"/>
        <v>D-0267</v>
      </c>
      <c r="CI989" s="1" t="s">
        <v>102</v>
      </c>
    </row>
    <row r="990" spans="1:87">
      <c r="A990" t="s">
        <v>3530</v>
      </c>
      <c r="B990">
        <v>2563</v>
      </c>
      <c r="C990" t="s">
        <v>977</v>
      </c>
      <c r="D990" t="s">
        <v>238</v>
      </c>
      <c r="E990" t="s">
        <v>629</v>
      </c>
      <c r="F990" t="s">
        <v>632</v>
      </c>
      <c r="G990" t="s">
        <v>2693</v>
      </c>
      <c r="R990">
        <v>22</v>
      </c>
      <c r="S990">
        <v>30</v>
      </c>
      <c r="T990">
        <v>60</v>
      </c>
      <c r="U990">
        <v>83</v>
      </c>
      <c r="V990">
        <v>137</v>
      </c>
      <c r="W990">
        <v>177</v>
      </c>
      <c r="X990">
        <v>224</v>
      </c>
      <c r="Y990">
        <v>251</v>
      </c>
      <c r="Z990">
        <v>268</v>
      </c>
      <c r="AA990">
        <v>298</v>
      </c>
      <c r="AB990">
        <v>271</v>
      </c>
      <c r="AC990">
        <v>169</v>
      </c>
      <c r="AD990">
        <v>213</v>
      </c>
      <c r="AE990">
        <v>69</v>
      </c>
      <c r="AF990">
        <v>160</v>
      </c>
      <c r="AH990">
        <v>77</v>
      </c>
      <c r="AJ990">
        <v>54</v>
      </c>
      <c r="CH990" t="str">
        <f t="shared" si="15"/>
        <v>D-0267</v>
      </c>
      <c r="CI990" s="1" t="s">
        <v>102</v>
      </c>
    </row>
    <row r="991" spans="1:87">
      <c r="A991" t="s">
        <v>3531</v>
      </c>
      <c r="B991">
        <v>1946</v>
      </c>
      <c r="C991" t="s">
        <v>977</v>
      </c>
      <c r="D991" t="s">
        <v>238</v>
      </c>
      <c r="E991" t="s">
        <v>629</v>
      </c>
      <c r="F991" t="s">
        <v>632</v>
      </c>
      <c r="G991" t="s">
        <v>2693</v>
      </c>
      <c r="R991">
        <v>16</v>
      </c>
      <c r="S991">
        <v>23</v>
      </c>
      <c r="T991">
        <v>45</v>
      </c>
      <c r="U991">
        <v>64</v>
      </c>
      <c r="V991">
        <v>104</v>
      </c>
      <c r="W991">
        <v>134</v>
      </c>
      <c r="X991">
        <v>172</v>
      </c>
      <c r="Y991">
        <v>191</v>
      </c>
      <c r="Z991">
        <v>204</v>
      </c>
      <c r="AA991">
        <v>226</v>
      </c>
      <c r="AB991">
        <v>205</v>
      </c>
      <c r="AC991">
        <v>129</v>
      </c>
      <c r="AD991">
        <v>162</v>
      </c>
      <c r="AE991">
        <v>52</v>
      </c>
      <c r="AF991">
        <v>121</v>
      </c>
      <c r="AH991">
        <v>58</v>
      </c>
      <c r="AJ991">
        <v>40</v>
      </c>
      <c r="CH991" t="str">
        <f t="shared" si="15"/>
        <v>D-0267</v>
      </c>
      <c r="CI991" s="1" t="s">
        <v>102</v>
      </c>
    </row>
    <row r="992" spans="1:87">
      <c r="A992" t="s">
        <v>3532</v>
      </c>
      <c r="B992">
        <v>1185</v>
      </c>
      <c r="C992" t="s">
        <v>977</v>
      </c>
      <c r="D992" t="s">
        <v>238</v>
      </c>
      <c r="E992" t="s">
        <v>629</v>
      </c>
      <c r="F992" t="s">
        <v>632</v>
      </c>
      <c r="G992" t="s">
        <v>2693</v>
      </c>
      <c r="U992">
        <v>12</v>
      </c>
      <c r="V992">
        <v>96</v>
      </c>
      <c r="W992">
        <v>114</v>
      </c>
      <c r="X992">
        <v>147</v>
      </c>
      <c r="Y992">
        <v>168</v>
      </c>
      <c r="Z992">
        <v>198</v>
      </c>
      <c r="AA992">
        <v>162</v>
      </c>
      <c r="AB992">
        <v>120</v>
      </c>
      <c r="AC992">
        <v>72</v>
      </c>
      <c r="AD992">
        <v>60</v>
      </c>
      <c r="AF992">
        <v>36</v>
      </c>
      <c r="CH992" t="str">
        <f t="shared" si="15"/>
        <v>D-0267</v>
      </c>
      <c r="CI992" s="1" t="s">
        <v>102</v>
      </c>
    </row>
    <row r="993" spans="1:87">
      <c r="A993" t="s">
        <v>3533</v>
      </c>
      <c r="B993">
        <v>1203</v>
      </c>
      <c r="C993" t="s">
        <v>977</v>
      </c>
      <c r="D993" t="s">
        <v>238</v>
      </c>
      <c r="E993" t="s">
        <v>629</v>
      </c>
      <c r="F993" t="s">
        <v>632</v>
      </c>
      <c r="G993" t="s">
        <v>2693</v>
      </c>
      <c r="T993">
        <v>24</v>
      </c>
      <c r="U993">
        <v>24</v>
      </c>
      <c r="V993">
        <v>72</v>
      </c>
      <c r="W993">
        <v>78</v>
      </c>
      <c r="X993">
        <v>111</v>
      </c>
      <c r="Y993">
        <v>126</v>
      </c>
      <c r="Z993">
        <v>138</v>
      </c>
      <c r="AA993">
        <v>150</v>
      </c>
      <c r="AB993">
        <v>156</v>
      </c>
      <c r="AC993">
        <v>60</v>
      </c>
      <c r="AD993">
        <v>126</v>
      </c>
      <c r="AF993">
        <v>84</v>
      </c>
      <c r="AH993">
        <v>30</v>
      </c>
      <c r="AJ993">
        <v>24</v>
      </c>
      <c r="CH993" t="str">
        <f t="shared" si="15"/>
        <v>D-0267</v>
      </c>
      <c r="CI993" s="1" t="s">
        <v>102</v>
      </c>
    </row>
    <row r="994" spans="1:87">
      <c r="A994" t="s">
        <v>3534</v>
      </c>
      <c r="B994">
        <v>447</v>
      </c>
      <c r="C994" t="s">
        <v>977</v>
      </c>
      <c r="D994" t="s">
        <v>238</v>
      </c>
      <c r="E994" t="s">
        <v>629</v>
      </c>
      <c r="F994" t="s">
        <v>632</v>
      </c>
      <c r="G994" t="s">
        <v>2693</v>
      </c>
      <c r="T994">
        <v>6</v>
      </c>
      <c r="U994">
        <v>6</v>
      </c>
      <c r="V994">
        <v>36</v>
      </c>
      <c r="W994">
        <v>54</v>
      </c>
      <c r="X994">
        <v>75</v>
      </c>
      <c r="Y994">
        <v>42</v>
      </c>
      <c r="Z994">
        <v>78</v>
      </c>
      <c r="AA994">
        <v>48</v>
      </c>
      <c r="AB994">
        <v>54</v>
      </c>
      <c r="AC994">
        <v>12</v>
      </c>
      <c r="AF994">
        <v>30</v>
      </c>
      <c r="AH994">
        <v>6</v>
      </c>
      <c r="CH994" t="str">
        <f t="shared" si="15"/>
        <v>D-0267</v>
      </c>
      <c r="CI994" s="1" t="s">
        <v>102</v>
      </c>
    </row>
    <row r="995" spans="1:87">
      <c r="A995" t="s">
        <v>3536</v>
      </c>
      <c r="B995">
        <v>1839</v>
      </c>
      <c r="C995" t="s">
        <v>977</v>
      </c>
      <c r="D995" t="s">
        <v>238</v>
      </c>
      <c r="E995" t="s">
        <v>629</v>
      </c>
      <c r="F995" t="s">
        <v>632</v>
      </c>
      <c r="G995" t="s">
        <v>2693</v>
      </c>
      <c r="V995">
        <v>156</v>
      </c>
      <c r="W995">
        <v>150</v>
      </c>
      <c r="X995">
        <v>171</v>
      </c>
      <c r="Y995">
        <v>192</v>
      </c>
      <c r="Z995">
        <v>216</v>
      </c>
      <c r="AA995">
        <v>222</v>
      </c>
      <c r="AB995">
        <v>222</v>
      </c>
      <c r="AC995">
        <v>156</v>
      </c>
      <c r="AD995">
        <v>180</v>
      </c>
      <c r="AF995">
        <v>174</v>
      </c>
      <c r="CH995" t="str">
        <f t="shared" si="15"/>
        <v>D-0267</v>
      </c>
      <c r="CI995" s="1" t="s">
        <v>102</v>
      </c>
    </row>
    <row r="996" spans="1:87">
      <c r="A996" t="s">
        <v>3538</v>
      </c>
      <c r="B996">
        <v>4022</v>
      </c>
      <c r="C996" t="s">
        <v>1156</v>
      </c>
      <c r="D996" t="s">
        <v>238</v>
      </c>
      <c r="E996" t="s">
        <v>629</v>
      </c>
      <c r="F996" t="s">
        <v>632</v>
      </c>
      <c r="G996" t="s">
        <v>3539</v>
      </c>
      <c r="R996">
        <v>34</v>
      </c>
      <c r="S996">
        <v>43</v>
      </c>
      <c r="T996">
        <v>86</v>
      </c>
      <c r="U996">
        <v>126</v>
      </c>
      <c r="V996">
        <v>213</v>
      </c>
      <c r="W996">
        <v>266</v>
      </c>
      <c r="X996">
        <v>338</v>
      </c>
      <c r="Y996">
        <v>396</v>
      </c>
      <c r="Z996">
        <v>434</v>
      </c>
      <c r="AA996">
        <v>487</v>
      </c>
      <c r="AB996">
        <v>436</v>
      </c>
      <c r="AC996">
        <v>278</v>
      </c>
      <c r="AD996">
        <v>344</v>
      </c>
      <c r="AE996">
        <v>98</v>
      </c>
      <c r="AF996">
        <v>239</v>
      </c>
      <c r="AH996">
        <v>120</v>
      </c>
      <c r="AJ996">
        <v>84</v>
      </c>
      <c r="CH996" t="str">
        <f t="shared" si="15"/>
        <v>D-0267</v>
      </c>
      <c r="CI996" s="1" t="s">
        <v>102</v>
      </c>
    </row>
    <row r="997" spans="1:87">
      <c r="A997" t="s">
        <v>3540</v>
      </c>
      <c r="B997">
        <v>1</v>
      </c>
      <c r="C997" t="s">
        <v>1156</v>
      </c>
      <c r="D997" t="s">
        <v>238</v>
      </c>
      <c r="E997" t="s">
        <v>629</v>
      </c>
      <c r="F997" t="s">
        <v>632</v>
      </c>
      <c r="G997" t="s">
        <v>3539</v>
      </c>
      <c r="Z997">
        <v>1</v>
      </c>
      <c r="CH997" t="str">
        <f t="shared" si="15"/>
        <v>D-0267</v>
      </c>
      <c r="CI997" s="1" t="s">
        <v>102</v>
      </c>
    </row>
    <row r="998" spans="1:87">
      <c r="A998" t="s">
        <v>3541</v>
      </c>
      <c r="B998">
        <v>1</v>
      </c>
      <c r="C998" t="s">
        <v>1156</v>
      </c>
      <c r="D998" t="s">
        <v>238</v>
      </c>
      <c r="E998" t="s">
        <v>629</v>
      </c>
      <c r="F998" t="s">
        <v>632</v>
      </c>
      <c r="G998" t="s">
        <v>3539</v>
      </c>
      <c r="Z998">
        <v>1</v>
      </c>
      <c r="CH998" t="str">
        <f t="shared" si="15"/>
        <v>D-0267</v>
      </c>
      <c r="CI998" s="1" t="s">
        <v>102</v>
      </c>
    </row>
    <row r="999" spans="1:87">
      <c r="A999" t="s">
        <v>3542</v>
      </c>
      <c r="B999">
        <v>435</v>
      </c>
      <c r="C999" t="s">
        <v>1156</v>
      </c>
      <c r="D999" t="s">
        <v>238</v>
      </c>
      <c r="E999" t="s">
        <v>629</v>
      </c>
      <c r="F999" t="s">
        <v>632</v>
      </c>
      <c r="G999" t="s">
        <v>3539</v>
      </c>
      <c r="T999">
        <v>24</v>
      </c>
      <c r="U999">
        <v>24</v>
      </c>
      <c r="V999">
        <v>12</v>
      </c>
      <c r="W999">
        <v>12</v>
      </c>
      <c r="X999">
        <v>27</v>
      </c>
      <c r="Y999">
        <v>24</v>
      </c>
      <c r="Z999">
        <v>42</v>
      </c>
      <c r="AA999">
        <v>54</v>
      </c>
      <c r="AB999">
        <v>60</v>
      </c>
      <c r="AC999">
        <v>72</v>
      </c>
      <c r="AD999">
        <v>24</v>
      </c>
      <c r="AF999">
        <v>12</v>
      </c>
      <c r="AH999">
        <v>24</v>
      </c>
      <c r="AJ999">
        <v>24</v>
      </c>
      <c r="CH999" t="str">
        <f t="shared" si="15"/>
        <v>D-0267</v>
      </c>
      <c r="CI999" s="1" t="s">
        <v>102</v>
      </c>
    </row>
    <row r="1000" spans="1:87">
      <c r="A1000" t="s">
        <v>3543</v>
      </c>
      <c r="B1000">
        <v>1371</v>
      </c>
      <c r="C1000" t="s">
        <v>1156</v>
      </c>
      <c r="D1000" t="s">
        <v>238</v>
      </c>
      <c r="E1000" t="s">
        <v>629</v>
      </c>
      <c r="F1000" t="s">
        <v>632</v>
      </c>
      <c r="G1000" t="s">
        <v>3539</v>
      </c>
      <c r="V1000">
        <v>152</v>
      </c>
      <c r="W1000">
        <v>152</v>
      </c>
      <c r="X1000">
        <v>155</v>
      </c>
      <c r="Y1000">
        <v>152</v>
      </c>
      <c r="Z1000">
        <v>152</v>
      </c>
      <c r="AA1000">
        <v>152</v>
      </c>
      <c r="AB1000">
        <v>152</v>
      </c>
      <c r="AD1000">
        <v>152</v>
      </c>
      <c r="AF1000">
        <v>152</v>
      </c>
      <c r="CH1000" t="str">
        <f t="shared" si="15"/>
        <v>D-0267</v>
      </c>
      <c r="CI1000" s="1" t="s">
        <v>102</v>
      </c>
    </row>
    <row r="1001" spans="1:87">
      <c r="A1001" t="s">
        <v>3544</v>
      </c>
      <c r="B1001">
        <v>1203</v>
      </c>
      <c r="C1001" t="s">
        <v>1156</v>
      </c>
      <c r="D1001" t="s">
        <v>238</v>
      </c>
      <c r="E1001" t="s">
        <v>629</v>
      </c>
      <c r="F1001" t="s">
        <v>632</v>
      </c>
      <c r="G1001" t="s">
        <v>3539</v>
      </c>
      <c r="R1001">
        <v>12</v>
      </c>
      <c r="S1001">
        <v>18</v>
      </c>
      <c r="T1001">
        <v>24</v>
      </c>
      <c r="U1001">
        <v>24</v>
      </c>
      <c r="V1001">
        <v>72</v>
      </c>
      <c r="W1001">
        <v>72</v>
      </c>
      <c r="X1001">
        <v>105</v>
      </c>
      <c r="Y1001">
        <v>120</v>
      </c>
      <c r="Z1001">
        <v>132</v>
      </c>
      <c r="AA1001">
        <v>150</v>
      </c>
      <c r="AB1001">
        <v>132</v>
      </c>
      <c r="AC1001">
        <v>78</v>
      </c>
      <c r="AD1001">
        <v>102</v>
      </c>
      <c r="AE1001">
        <v>30</v>
      </c>
      <c r="AF1001">
        <v>78</v>
      </c>
      <c r="AH1001">
        <v>42</v>
      </c>
      <c r="AJ1001">
        <v>12</v>
      </c>
      <c r="CH1001" t="str">
        <f t="shared" si="15"/>
        <v>D-0267</v>
      </c>
      <c r="CI1001" s="1" t="s">
        <v>102</v>
      </c>
    </row>
    <row r="1002" spans="1:87">
      <c r="A1002" t="s">
        <v>3545</v>
      </c>
      <c r="B1002">
        <v>198</v>
      </c>
      <c r="C1002" t="s">
        <v>1156</v>
      </c>
      <c r="D1002" t="s">
        <v>238</v>
      </c>
      <c r="E1002" t="s">
        <v>629</v>
      </c>
      <c r="F1002" t="s">
        <v>632</v>
      </c>
      <c r="G1002" t="s">
        <v>3539</v>
      </c>
      <c r="R1002">
        <v>6</v>
      </c>
      <c r="S1002">
        <v>6</v>
      </c>
      <c r="T1002">
        <v>6</v>
      </c>
      <c r="U1002">
        <v>6</v>
      </c>
      <c r="V1002">
        <v>12</v>
      </c>
      <c r="W1002">
        <v>12</v>
      </c>
      <c r="X1002">
        <v>18</v>
      </c>
      <c r="Y1002">
        <v>18</v>
      </c>
      <c r="Z1002">
        <v>24</v>
      </c>
      <c r="AA1002">
        <v>18</v>
      </c>
      <c r="AB1002">
        <v>18</v>
      </c>
      <c r="AC1002">
        <v>6</v>
      </c>
      <c r="AD1002">
        <v>18</v>
      </c>
      <c r="AE1002">
        <v>6</v>
      </c>
      <c r="AF1002">
        <v>12</v>
      </c>
      <c r="AH1002">
        <v>6</v>
      </c>
      <c r="AJ1002">
        <v>6</v>
      </c>
      <c r="CH1002" t="str">
        <f t="shared" si="15"/>
        <v>D-0267</v>
      </c>
      <c r="CI1002" s="1" t="s">
        <v>102</v>
      </c>
    </row>
    <row r="1003" spans="1:87">
      <c r="A1003" t="s">
        <v>3546</v>
      </c>
      <c r="B1003">
        <v>3003</v>
      </c>
      <c r="C1003" t="s">
        <v>3547</v>
      </c>
      <c r="D1003" t="s">
        <v>238</v>
      </c>
      <c r="E1003" t="s">
        <v>642</v>
      </c>
      <c r="F1003" t="s">
        <v>645</v>
      </c>
      <c r="G1003" t="s">
        <v>2593</v>
      </c>
      <c r="U1003">
        <v>500</v>
      </c>
      <c r="V1003">
        <v>500</v>
      </c>
      <c r="W1003">
        <v>500</v>
      </c>
      <c r="X1003">
        <v>503</v>
      </c>
      <c r="Y1003">
        <v>500</v>
      </c>
      <c r="Z1003">
        <v>500</v>
      </c>
      <c r="CH1003" t="str">
        <f t="shared" si="15"/>
        <v>D-0267</v>
      </c>
      <c r="CI1003" s="1" t="s">
        <v>102</v>
      </c>
    </row>
    <row r="1004" spans="1:87">
      <c r="A1004" t="s">
        <v>3548</v>
      </c>
      <c r="B1004">
        <v>4671</v>
      </c>
      <c r="C1004" t="s">
        <v>3547</v>
      </c>
      <c r="D1004" t="s">
        <v>238</v>
      </c>
      <c r="E1004" t="s">
        <v>642</v>
      </c>
      <c r="F1004" t="s">
        <v>645</v>
      </c>
      <c r="G1004" t="s">
        <v>2593</v>
      </c>
      <c r="P1004">
        <v>42</v>
      </c>
      <c r="Q1004">
        <v>48</v>
      </c>
      <c r="R1004">
        <v>300</v>
      </c>
      <c r="S1004">
        <v>462</v>
      </c>
      <c r="T1004">
        <v>744</v>
      </c>
      <c r="U1004">
        <v>450</v>
      </c>
      <c r="V1004">
        <v>678</v>
      </c>
      <c r="W1004">
        <v>642</v>
      </c>
      <c r="X1004">
        <v>591</v>
      </c>
      <c r="Y1004">
        <v>156</v>
      </c>
      <c r="Z1004">
        <v>216</v>
      </c>
      <c r="AB1004">
        <v>312</v>
      </c>
      <c r="AD1004">
        <v>30</v>
      </c>
      <c r="CH1004" t="str">
        <f t="shared" si="15"/>
        <v>D-0267</v>
      </c>
      <c r="CI1004" s="1" t="s">
        <v>102</v>
      </c>
    </row>
    <row r="1005" spans="1:87">
      <c r="A1005" t="s">
        <v>3549</v>
      </c>
      <c r="B1005">
        <v>2403</v>
      </c>
      <c r="C1005" t="s">
        <v>2450</v>
      </c>
      <c r="D1005" t="s">
        <v>238</v>
      </c>
      <c r="E1005" t="s">
        <v>642</v>
      </c>
      <c r="F1005" t="s">
        <v>645</v>
      </c>
      <c r="G1005" t="s">
        <v>2593</v>
      </c>
      <c r="Q1005">
        <v>18</v>
      </c>
      <c r="R1005">
        <v>42</v>
      </c>
      <c r="S1005">
        <v>150</v>
      </c>
      <c r="T1005">
        <v>228</v>
      </c>
      <c r="U1005">
        <v>270</v>
      </c>
      <c r="V1005">
        <v>348</v>
      </c>
      <c r="W1005">
        <v>384</v>
      </c>
      <c r="X1005">
        <v>357</v>
      </c>
      <c r="Y1005">
        <v>234</v>
      </c>
      <c r="Z1005">
        <v>252</v>
      </c>
      <c r="AB1005">
        <v>108</v>
      </c>
      <c r="AD1005">
        <v>12</v>
      </c>
      <c r="CH1005" t="str">
        <f t="shared" si="15"/>
        <v>D-0267</v>
      </c>
      <c r="CI1005" s="1" t="s">
        <v>102</v>
      </c>
    </row>
    <row r="1006" spans="1:87">
      <c r="A1006" t="s">
        <v>3550</v>
      </c>
      <c r="B1006">
        <v>216</v>
      </c>
      <c r="C1006" t="s">
        <v>2450</v>
      </c>
      <c r="D1006" t="s">
        <v>238</v>
      </c>
      <c r="E1006" t="s">
        <v>642</v>
      </c>
      <c r="F1006" t="s">
        <v>645</v>
      </c>
      <c r="G1006" t="s">
        <v>2593</v>
      </c>
      <c r="U1006">
        <v>24</v>
      </c>
      <c r="V1006">
        <v>48</v>
      </c>
      <c r="W1006">
        <v>48</v>
      </c>
      <c r="X1006">
        <v>48</v>
      </c>
      <c r="Y1006">
        <v>18</v>
      </c>
      <c r="Z1006">
        <v>30</v>
      </c>
      <c r="CH1006" t="str">
        <f t="shared" si="15"/>
        <v>D-0267</v>
      </c>
      <c r="CI1006" s="1" t="s">
        <v>102</v>
      </c>
    </row>
    <row r="1007" spans="1:87">
      <c r="A1007" t="s">
        <v>3551</v>
      </c>
      <c r="B1007">
        <v>1245</v>
      </c>
      <c r="C1007" t="s">
        <v>2450</v>
      </c>
      <c r="D1007" t="s">
        <v>238</v>
      </c>
      <c r="E1007" t="s">
        <v>642</v>
      </c>
      <c r="F1007" t="s">
        <v>645</v>
      </c>
      <c r="G1007" t="s">
        <v>2593</v>
      </c>
      <c r="R1007">
        <v>72</v>
      </c>
      <c r="S1007">
        <v>90</v>
      </c>
      <c r="T1007">
        <v>156</v>
      </c>
      <c r="U1007">
        <v>216</v>
      </c>
      <c r="V1007">
        <v>222</v>
      </c>
      <c r="W1007">
        <v>192</v>
      </c>
      <c r="X1007">
        <v>147</v>
      </c>
      <c r="Y1007">
        <v>72</v>
      </c>
      <c r="Z1007">
        <v>78</v>
      </c>
      <c r="CH1007" t="str">
        <f t="shared" si="15"/>
        <v>D-0267</v>
      </c>
      <c r="CI1007" s="1" t="s">
        <v>102</v>
      </c>
    </row>
    <row r="1008" spans="1:87">
      <c r="A1008" t="s">
        <v>3553</v>
      </c>
      <c r="B1008">
        <v>180</v>
      </c>
      <c r="C1008" t="s">
        <v>3493</v>
      </c>
      <c r="D1008" t="s">
        <v>3494</v>
      </c>
      <c r="E1008" t="s">
        <v>629</v>
      </c>
      <c r="F1008" t="s">
        <v>635</v>
      </c>
      <c r="G1008" t="s">
        <v>1647</v>
      </c>
      <c r="O1008">
        <v>12</v>
      </c>
      <c r="P1008">
        <v>12</v>
      </c>
      <c r="Q1008">
        <v>12</v>
      </c>
      <c r="R1008">
        <v>12</v>
      </c>
      <c r="S1008">
        <v>12</v>
      </c>
      <c r="T1008">
        <v>12</v>
      </c>
      <c r="U1008">
        <v>12</v>
      </c>
      <c r="V1008">
        <v>12</v>
      </c>
      <c r="W1008">
        <v>12</v>
      </c>
      <c r="X1008">
        <v>12</v>
      </c>
      <c r="Y1008">
        <v>12</v>
      </c>
      <c r="Z1008">
        <v>12</v>
      </c>
      <c r="AA1008">
        <v>12</v>
      </c>
      <c r="AB1008">
        <v>12</v>
      </c>
      <c r="AD1008">
        <v>12</v>
      </c>
      <c r="CH1008" t="str">
        <f t="shared" si="15"/>
        <v>D-0493</v>
      </c>
      <c r="CI1008" s="1" t="s">
        <v>102</v>
      </c>
    </row>
    <row r="1009" spans="1:87">
      <c r="A1009" t="s">
        <v>3558</v>
      </c>
      <c r="B1009">
        <v>852</v>
      </c>
      <c r="C1009" t="s">
        <v>3493</v>
      </c>
      <c r="D1009" t="s">
        <v>3494</v>
      </c>
      <c r="E1009" t="s">
        <v>629</v>
      </c>
      <c r="F1009" t="s">
        <v>635</v>
      </c>
      <c r="G1009" t="s">
        <v>1647</v>
      </c>
      <c r="P1009">
        <v>24</v>
      </c>
      <c r="Q1009">
        <v>24</v>
      </c>
      <c r="R1009">
        <v>48</v>
      </c>
      <c r="S1009">
        <v>24</v>
      </c>
      <c r="T1009">
        <v>84</v>
      </c>
      <c r="U1009">
        <v>24</v>
      </c>
      <c r="V1009">
        <v>84</v>
      </c>
      <c r="W1009">
        <v>24</v>
      </c>
      <c r="X1009">
        <v>84</v>
      </c>
      <c r="Y1009">
        <v>84</v>
      </c>
      <c r="Z1009">
        <v>84</v>
      </c>
      <c r="AA1009">
        <v>84</v>
      </c>
      <c r="AB1009">
        <v>84</v>
      </c>
      <c r="AC1009">
        <v>24</v>
      </c>
      <c r="AD1009">
        <v>48</v>
      </c>
      <c r="AF1009">
        <v>24</v>
      </c>
      <c r="CH1009" t="str">
        <f t="shared" si="15"/>
        <v>D-0493</v>
      </c>
      <c r="CI1009" s="1" t="s">
        <v>102</v>
      </c>
    </row>
    <row r="1010" spans="1:87">
      <c r="A1010" t="s">
        <v>3559</v>
      </c>
      <c r="B1010">
        <v>1800</v>
      </c>
      <c r="C1010" t="s">
        <v>3493</v>
      </c>
      <c r="D1010" t="s">
        <v>3494</v>
      </c>
      <c r="E1010" t="s">
        <v>629</v>
      </c>
      <c r="F1010" t="s">
        <v>635</v>
      </c>
      <c r="G1010" t="s">
        <v>1647</v>
      </c>
      <c r="N1010">
        <v>24</v>
      </c>
      <c r="O1010">
        <v>24</v>
      </c>
      <c r="P1010">
        <v>60</v>
      </c>
      <c r="Q1010">
        <v>24</v>
      </c>
      <c r="R1010">
        <v>120</v>
      </c>
      <c r="S1010">
        <v>24</v>
      </c>
      <c r="T1010">
        <v>108</v>
      </c>
      <c r="U1010">
        <v>24</v>
      </c>
      <c r="V1010">
        <v>120</v>
      </c>
      <c r="W1010">
        <v>60</v>
      </c>
      <c r="X1010">
        <v>204</v>
      </c>
      <c r="Y1010">
        <v>96</v>
      </c>
      <c r="Z1010">
        <v>300</v>
      </c>
      <c r="AA1010">
        <v>132</v>
      </c>
      <c r="AB1010">
        <v>216</v>
      </c>
      <c r="AC1010">
        <v>48</v>
      </c>
      <c r="AD1010">
        <v>144</v>
      </c>
      <c r="AF1010">
        <v>72</v>
      </c>
      <c r="CH1010" t="str">
        <f t="shared" si="15"/>
        <v>D-0493</v>
      </c>
      <c r="CI1010" s="1" t="s">
        <v>102</v>
      </c>
    </row>
    <row r="1011" spans="1:87">
      <c r="A1011" t="s">
        <v>3562</v>
      </c>
      <c r="B1011">
        <v>24</v>
      </c>
      <c r="C1011" t="s">
        <v>3493</v>
      </c>
      <c r="D1011" t="s">
        <v>3494</v>
      </c>
      <c r="E1011" t="s">
        <v>629</v>
      </c>
      <c r="F1011" t="s">
        <v>635</v>
      </c>
      <c r="G1011" t="s">
        <v>1647</v>
      </c>
      <c r="Q1011">
        <v>2</v>
      </c>
      <c r="R1011">
        <v>2</v>
      </c>
      <c r="T1011">
        <v>2</v>
      </c>
      <c r="U1011">
        <v>2</v>
      </c>
      <c r="W1011">
        <v>2</v>
      </c>
      <c r="X1011">
        <v>2</v>
      </c>
      <c r="Y1011">
        <v>4</v>
      </c>
      <c r="Z1011">
        <v>2</v>
      </c>
      <c r="AA1011">
        <v>2</v>
      </c>
      <c r="AB1011">
        <v>2</v>
      </c>
      <c r="AC1011">
        <v>2</v>
      </c>
      <c r="CH1011" t="str">
        <f t="shared" si="15"/>
        <v>D-0493</v>
      </c>
      <c r="CI1011" s="1" t="s">
        <v>102</v>
      </c>
    </row>
    <row r="1012" spans="1:87">
      <c r="A1012" t="s">
        <v>3563</v>
      </c>
      <c r="B1012">
        <v>68</v>
      </c>
      <c r="C1012" t="s">
        <v>3493</v>
      </c>
      <c r="D1012" t="s">
        <v>3494</v>
      </c>
      <c r="E1012" t="s">
        <v>629</v>
      </c>
      <c r="F1012" t="s">
        <v>635</v>
      </c>
      <c r="G1012" t="s">
        <v>1647</v>
      </c>
      <c r="Q1012">
        <v>4</v>
      </c>
      <c r="R1012">
        <v>4</v>
      </c>
      <c r="S1012">
        <v>4</v>
      </c>
      <c r="T1012">
        <v>8</v>
      </c>
      <c r="U1012">
        <v>4</v>
      </c>
      <c r="V1012">
        <v>4</v>
      </c>
      <c r="W1012">
        <v>8</v>
      </c>
      <c r="X1012">
        <v>4</v>
      </c>
      <c r="Y1012">
        <v>8</v>
      </c>
      <c r="Z1012">
        <v>8</v>
      </c>
      <c r="AA1012">
        <v>4</v>
      </c>
      <c r="AB1012">
        <v>4</v>
      </c>
      <c r="AC1012">
        <v>4</v>
      </c>
      <c r="CH1012" t="str">
        <f t="shared" si="15"/>
        <v>D-0493</v>
      </c>
      <c r="CI1012" s="1" t="s">
        <v>102</v>
      </c>
    </row>
    <row r="1013" spans="1:87">
      <c r="A1013" t="s">
        <v>3564</v>
      </c>
      <c r="B1013">
        <v>24</v>
      </c>
      <c r="C1013" t="s">
        <v>3493</v>
      </c>
      <c r="D1013" t="s">
        <v>3494</v>
      </c>
      <c r="E1013" t="s">
        <v>629</v>
      </c>
      <c r="F1013" t="s">
        <v>635</v>
      </c>
      <c r="G1013" t="s">
        <v>1647</v>
      </c>
      <c r="Q1013">
        <v>2</v>
      </c>
      <c r="R1013">
        <v>2</v>
      </c>
      <c r="T1013">
        <v>2</v>
      </c>
      <c r="U1013">
        <v>2</v>
      </c>
      <c r="V1013">
        <v>2</v>
      </c>
      <c r="W1013">
        <v>2</v>
      </c>
      <c r="X1013">
        <v>2</v>
      </c>
      <c r="Y1013">
        <v>2</v>
      </c>
      <c r="Z1013">
        <v>2</v>
      </c>
      <c r="AA1013">
        <v>2</v>
      </c>
      <c r="AB1013">
        <v>2</v>
      </c>
      <c r="AD1013">
        <v>2</v>
      </c>
      <c r="CH1013" t="str">
        <f t="shared" si="15"/>
        <v>D-0493</v>
      </c>
      <c r="CI1013" s="1" t="s">
        <v>102</v>
      </c>
    </row>
    <row r="1014" spans="1:87">
      <c r="A1014" t="s">
        <v>3565</v>
      </c>
      <c r="B1014">
        <v>36</v>
      </c>
      <c r="C1014" t="s">
        <v>3493</v>
      </c>
      <c r="D1014" t="s">
        <v>3494</v>
      </c>
      <c r="E1014" t="s">
        <v>629</v>
      </c>
      <c r="F1014" t="s">
        <v>635</v>
      </c>
      <c r="G1014" t="s">
        <v>1647</v>
      </c>
      <c r="L1014">
        <v>1</v>
      </c>
      <c r="M1014">
        <v>1</v>
      </c>
      <c r="N1014">
        <v>1</v>
      </c>
      <c r="O1014">
        <v>3</v>
      </c>
      <c r="P1014">
        <v>3</v>
      </c>
      <c r="Q1014">
        <v>6</v>
      </c>
      <c r="R1014">
        <v>6</v>
      </c>
      <c r="S1014">
        <v>6</v>
      </c>
      <c r="T1014">
        <v>3</v>
      </c>
      <c r="U1014">
        <v>3</v>
      </c>
      <c r="V1014">
        <v>1</v>
      </c>
      <c r="W1014">
        <v>1</v>
      </c>
      <c r="X1014">
        <v>1</v>
      </c>
      <c r="CH1014" t="str">
        <f t="shared" si="15"/>
        <v>D-0493</v>
      </c>
      <c r="CI1014" s="1" t="s">
        <v>102</v>
      </c>
    </row>
    <row r="1015" spans="1:87">
      <c r="A1015" t="s">
        <v>3567</v>
      </c>
      <c r="B1015">
        <v>1448</v>
      </c>
      <c r="C1015" t="s">
        <v>3493</v>
      </c>
      <c r="D1015" t="s">
        <v>3494</v>
      </c>
      <c r="E1015" t="s">
        <v>629</v>
      </c>
      <c r="F1015" t="s">
        <v>635</v>
      </c>
      <c r="G1015" t="s">
        <v>1647</v>
      </c>
      <c r="L1015">
        <v>7</v>
      </c>
      <c r="M1015">
        <v>21</v>
      </c>
      <c r="N1015">
        <v>18</v>
      </c>
      <c r="O1015">
        <v>34</v>
      </c>
      <c r="P1015">
        <v>26</v>
      </c>
      <c r="Q1015">
        <v>33</v>
      </c>
      <c r="R1015">
        <v>38</v>
      </c>
      <c r="S1015">
        <v>16</v>
      </c>
      <c r="T1015">
        <v>163</v>
      </c>
      <c r="U1015">
        <v>207</v>
      </c>
      <c r="V1015">
        <v>119</v>
      </c>
      <c r="W1015">
        <v>229</v>
      </c>
      <c r="X1015">
        <v>161</v>
      </c>
      <c r="Y1015">
        <v>195</v>
      </c>
      <c r="Z1015">
        <v>106</v>
      </c>
      <c r="AA1015">
        <v>43</v>
      </c>
      <c r="AB1015">
        <v>31</v>
      </c>
      <c r="AC1015">
        <v>1</v>
      </c>
      <c r="CH1015" t="str">
        <f t="shared" si="15"/>
        <v>D-0493</v>
      </c>
      <c r="CI1015" s="1" t="s">
        <v>102</v>
      </c>
    </row>
    <row r="1016" spans="1:87">
      <c r="A1016" t="s">
        <v>3568</v>
      </c>
      <c r="B1016">
        <v>169</v>
      </c>
      <c r="C1016" t="s">
        <v>3493</v>
      </c>
      <c r="D1016" t="s">
        <v>3494</v>
      </c>
      <c r="E1016" t="s">
        <v>629</v>
      </c>
      <c r="F1016" t="s">
        <v>635</v>
      </c>
      <c r="G1016" t="s">
        <v>1647</v>
      </c>
      <c r="L1016">
        <v>1</v>
      </c>
      <c r="M1016">
        <v>3</v>
      </c>
      <c r="N1016">
        <v>4</v>
      </c>
      <c r="O1016">
        <v>4</v>
      </c>
      <c r="P1016">
        <v>4</v>
      </c>
      <c r="Q1016">
        <v>4</v>
      </c>
      <c r="R1016">
        <v>4</v>
      </c>
      <c r="S1016">
        <v>5</v>
      </c>
      <c r="T1016">
        <v>9</v>
      </c>
      <c r="U1016">
        <v>13</v>
      </c>
      <c r="V1016">
        <v>20</v>
      </c>
      <c r="W1016">
        <v>24</v>
      </c>
      <c r="X1016">
        <v>23</v>
      </c>
      <c r="Y1016">
        <v>20</v>
      </c>
      <c r="Z1016">
        <v>16</v>
      </c>
      <c r="AA1016">
        <v>8</v>
      </c>
      <c r="AB1016">
        <v>6</v>
      </c>
      <c r="AD1016">
        <v>1</v>
      </c>
      <c r="CH1016" t="str">
        <f t="shared" si="15"/>
        <v>D-0493</v>
      </c>
      <c r="CI1016" s="1" t="s">
        <v>102</v>
      </c>
    </row>
    <row r="1017" spans="1:87">
      <c r="A1017" t="s">
        <v>3569</v>
      </c>
      <c r="B1017">
        <v>481</v>
      </c>
      <c r="C1017" t="s">
        <v>3493</v>
      </c>
      <c r="D1017" t="s">
        <v>3494</v>
      </c>
      <c r="E1017" t="s">
        <v>629</v>
      </c>
      <c r="F1017" t="s">
        <v>635</v>
      </c>
      <c r="G1017" t="s">
        <v>1647</v>
      </c>
      <c r="N1017">
        <v>6</v>
      </c>
      <c r="O1017">
        <v>11</v>
      </c>
      <c r="P1017">
        <v>11</v>
      </c>
      <c r="Q1017">
        <v>12</v>
      </c>
      <c r="R1017">
        <v>8</v>
      </c>
      <c r="S1017">
        <v>9</v>
      </c>
      <c r="T1017">
        <v>14</v>
      </c>
      <c r="U1017">
        <v>32</v>
      </c>
      <c r="V1017">
        <v>54</v>
      </c>
      <c r="W1017">
        <v>69</v>
      </c>
      <c r="X1017">
        <v>78</v>
      </c>
      <c r="Y1017">
        <v>70</v>
      </c>
      <c r="Z1017">
        <v>54</v>
      </c>
      <c r="AA1017">
        <v>38</v>
      </c>
      <c r="AB1017">
        <v>15</v>
      </c>
      <c r="CH1017" t="str">
        <f t="shared" si="15"/>
        <v>D-0493</v>
      </c>
      <c r="CI1017" s="1" t="s">
        <v>102</v>
      </c>
    </row>
    <row r="1018" spans="1:87">
      <c r="A1018" t="s">
        <v>3587</v>
      </c>
      <c r="B1018">
        <v>1416</v>
      </c>
      <c r="C1018" t="s">
        <v>3493</v>
      </c>
      <c r="D1018" t="s">
        <v>3494</v>
      </c>
      <c r="E1018" t="s">
        <v>629</v>
      </c>
      <c r="F1018" t="s">
        <v>635</v>
      </c>
      <c r="G1018" t="s">
        <v>1647</v>
      </c>
      <c r="M1018">
        <v>12</v>
      </c>
      <c r="P1018">
        <v>12</v>
      </c>
      <c r="Q1018">
        <v>12</v>
      </c>
      <c r="R1018">
        <v>24</v>
      </c>
      <c r="S1018">
        <v>12</v>
      </c>
      <c r="T1018">
        <v>24</v>
      </c>
      <c r="U1018">
        <v>72</v>
      </c>
      <c r="V1018">
        <v>168</v>
      </c>
      <c r="W1018">
        <v>120</v>
      </c>
      <c r="X1018">
        <v>216</v>
      </c>
      <c r="Y1018">
        <v>132</v>
      </c>
      <c r="Z1018">
        <v>168</v>
      </c>
      <c r="AA1018">
        <v>132</v>
      </c>
      <c r="AB1018">
        <v>120</v>
      </c>
      <c r="AC1018">
        <v>12</v>
      </c>
      <c r="AD1018">
        <v>96</v>
      </c>
      <c r="AF1018">
        <v>84</v>
      </c>
      <c r="CH1018" t="str">
        <f t="shared" si="15"/>
        <v>D-0493</v>
      </c>
      <c r="CI1018" s="1" t="s">
        <v>102</v>
      </c>
    </row>
    <row r="1019" spans="1:87">
      <c r="A1019" t="s">
        <v>3588</v>
      </c>
      <c r="B1019">
        <v>228</v>
      </c>
      <c r="C1019" t="s">
        <v>3493</v>
      </c>
      <c r="D1019" t="s">
        <v>3494</v>
      </c>
      <c r="E1019" t="s">
        <v>629</v>
      </c>
      <c r="F1019" t="s">
        <v>635</v>
      </c>
      <c r="G1019" t="s">
        <v>1647</v>
      </c>
      <c r="L1019">
        <v>12</v>
      </c>
      <c r="N1019">
        <v>12</v>
      </c>
      <c r="O1019">
        <v>12</v>
      </c>
      <c r="P1019">
        <v>12</v>
      </c>
      <c r="Q1019">
        <v>12</v>
      </c>
      <c r="R1019">
        <v>12</v>
      </c>
      <c r="S1019">
        <v>12</v>
      </c>
      <c r="T1019">
        <v>12</v>
      </c>
      <c r="U1019">
        <v>12</v>
      </c>
      <c r="V1019">
        <v>12</v>
      </c>
      <c r="W1019">
        <v>12</v>
      </c>
      <c r="X1019">
        <v>12</v>
      </c>
      <c r="Y1019">
        <v>12</v>
      </c>
      <c r="Z1019">
        <v>12</v>
      </c>
      <c r="AA1019">
        <v>12</v>
      </c>
      <c r="AB1019">
        <v>12</v>
      </c>
      <c r="AC1019">
        <v>12</v>
      </c>
      <c r="AD1019">
        <v>12</v>
      </c>
      <c r="AF1019">
        <v>12</v>
      </c>
      <c r="CH1019" t="str">
        <f t="shared" si="15"/>
        <v>D-0493</v>
      </c>
      <c r="CI1019" s="1" t="s">
        <v>102</v>
      </c>
    </row>
    <row r="1020" spans="1:87">
      <c r="A1020" t="s">
        <v>3589</v>
      </c>
      <c r="B1020">
        <v>120</v>
      </c>
      <c r="C1020" t="s">
        <v>3493</v>
      </c>
      <c r="D1020" t="s">
        <v>3494</v>
      </c>
      <c r="E1020" t="s">
        <v>629</v>
      </c>
      <c r="F1020" t="s">
        <v>635</v>
      </c>
      <c r="G1020" t="s">
        <v>1647</v>
      </c>
      <c r="N1020">
        <v>6</v>
      </c>
      <c r="O1020">
        <v>6</v>
      </c>
      <c r="P1020">
        <v>6</v>
      </c>
      <c r="Q1020">
        <v>6</v>
      </c>
      <c r="R1020">
        <v>6</v>
      </c>
      <c r="S1020">
        <v>6</v>
      </c>
      <c r="T1020">
        <v>6</v>
      </c>
      <c r="U1020">
        <v>6</v>
      </c>
      <c r="V1020">
        <v>6</v>
      </c>
      <c r="W1020">
        <v>12</v>
      </c>
      <c r="X1020">
        <v>6</v>
      </c>
      <c r="Y1020">
        <v>12</v>
      </c>
      <c r="Z1020">
        <v>6</v>
      </c>
      <c r="AA1020">
        <v>6</v>
      </c>
      <c r="AB1020">
        <v>6</v>
      </c>
      <c r="AC1020">
        <v>6</v>
      </c>
      <c r="AD1020">
        <v>6</v>
      </c>
      <c r="AF1020">
        <v>6</v>
      </c>
      <c r="CH1020" t="str">
        <f t="shared" si="15"/>
        <v>D-0493</v>
      </c>
      <c r="CI1020" s="1" t="s">
        <v>102</v>
      </c>
    </row>
    <row r="1021" spans="1:87">
      <c r="A1021" t="s">
        <v>3590</v>
      </c>
      <c r="B1021">
        <v>2160</v>
      </c>
      <c r="C1021" t="s">
        <v>3493</v>
      </c>
      <c r="D1021" t="s">
        <v>3494</v>
      </c>
      <c r="E1021" t="s">
        <v>629</v>
      </c>
      <c r="F1021" t="s">
        <v>635</v>
      </c>
      <c r="G1021" t="s">
        <v>1647</v>
      </c>
      <c r="L1021">
        <v>36</v>
      </c>
      <c r="M1021">
        <v>36</v>
      </c>
      <c r="N1021">
        <v>60</v>
      </c>
      <c r="O1021">
        <v>72</v>
      </c>
      <c r="P1021">
        <v>120</v>
      </c>
      <c r="Q1021">
        <v>96</v>
      </c>
      <c r="R1021">
        <v>144</v>
      </c>
      <c r="S1021">
        <v>120</v>
      </c>
      <c r="T1021">
        <v>132</v>
      </c>
      <c r="U1021">
        <v>96</v>
      </c>
      <c r="V1021">
        <v>108</v>
      </c>
      <c r="W1021">
        <v>108</v>
      </c>
      <c r="X1021">
        <v>84</v>
      </c>
      <c r="Y1021">
        <v>96</v>
      </c>
      <c r="Z1021">
        <v>168</v>
      </c>
      <c r="AA1021">
        <v>168</v>
      </c>
      <c r="AB1021">
        <v>156</v>
      </c>
      <c r="AC1021">
        <v>108</v>
      </c>
      <c r="AD1021">
        <v>180</v>
      </c>
      <c r="AF1021">
        <v>72</v>
      </c>
      <c r="CH1021" t="str">
        <f t="shared" si="15"/>
        <v>D-0493</v>
      </c>
      <c r="CI1021" s="1" t="s">
        <v>102</v>
      </c>
    </row>
    <row r="1022" spans="1:87">
      <c r="A1022" t="s">
        <v>3591</v>
      </c>
      <c r="B1022">
        <v>816</v>
      </c>
      <c r="C1022" t="s">
        <v>3493</v>
      </c>
      <c r="D1022" t="s">
        <v>3494</v>
      </c>
      <c r="E1022" t="s">
        <v>629</v>
      </c>
      <c r="F1022" t="s">
        <v>635</v>
      </c>
      <c r="G1022" t="s">
        <v>1647</v>
      </c>
      <c r="M1022">
        <v>12</v>
      </c>
      <c r="N1022">
        <v>12</v>
      </c>
      <c r="O1022">
        <v>12</v>
      </c>
      <c r="P1022">
        <v>12</v>
      </c>
      <c r="Q1022">
        <v>24</v>
      </c>
      <c r="R1022">
        <v>12</v>
      </c>
      <c r="S1022">
        <v>12</v>
      </c>
      <c r="T1022">
        <v>24</v>
      </c>
      <c r="U1022">
        <v>12</v>
      </c>
      <c r="V1022">
        <v>60</v>
      </c>
      <c r="W1022">
        <v>72</v>
      </c>
      <c r="X1022">
        <v>84</v>
      </c>
      <c r="Y1022">
        <v>84</v>
      </c>
      <c r="Z1022">
        <v>96</v>
      </c>
      <c r="AA1022">
        <v>84</v>
      </c>
      <c r="AB1022">
        <v>72</v>
      </c>
      <c r="AC1022">
        <v>36</v>
      </c>
      <c r="AD1022">
        <v>60</v>
      </c>
      <c r="AF1022">
        <v>36</v>
      </c>
      <c r="CH1022" t="str">
        <f t="shared" si="15"/>
        <v>D-0493</v>
      </c>
      <c r="CI1022" s="1" t="s">
        <v>102</v>
      </c>
    </row>
    <row r="1023" spans="1:87">
      <c r="A1023" t="s">
        <v>3592</v>
      </c>
      <c r="B1023">
        <v>300</v>
      </c>
      <c r="C1023" t="s">
        <v>3493</v>
      </c>
      <c r="D1023" t="s">
        <v>3494</v>
      </c>
      <c r="E1023" t="s">
        <v>629</v>
      </c>
      <c r="F1023" t="s">
        <v>635</v>
      </c>
      <c r="G1023" t="s">
        <v>1647</v>
      </c>
      <c r="V1023">
        <v>24</v>
      </c>
      <c r="W1023">
        <v>24</v>
      </c>
      <c r="X1023">
        <v>42</v>
      </c>
      <c r="Y1023">
        <v>42</v>
      </c>
      <c r="Z1023">
        <v>42</v>
      </c>
      <c r="AA1023">
        <v>36</v>
      </c>
      <c r="AB1023">
        <v>30</v>
      </c>
      <c r="AC1023">
        <v>18</v>
      </c>
      <c r="AD1023">
        <v>24</v>
      </c>
      <c r="AF1023">
        <v>18</v>
      </c>
      <c r="CH1023" t="str">
        <f t="shared" si="15"/>
        <v>D-0493</v>
      </c>
      <c r="CI1023" s="1" t="s">
        <v>102</v>
      </c>
    </row>
    <row r="1024" spans="1:87">
      <c r="A1024" t="s">
        <v>3593</v>
      </c>
      <c r="B1024">
        <v>900</v>
      </c>
      <c r="C1024" t="s">
        <v>3493</v>
      </c>
      <c r="D1024" t="s">
        <v>3494</v>
      </c>
      <c r="E1024" t="s">
        <v>629</v>
      </c>
      <c r="F1024" t="s">
        <v>635</v>
      </c>
      <c r="G1024" t="s">
        <v>1647</v>
      </c>
      <c r="N1024">
        <v>12</v>
      </c>
      <c r="O1024">
        <v>12</v>
      </c>
      <c r="P1024">
        <v>36</v>
      </c>
      <c r="Q1024">
        <v>12</v>
      </c>
      <c r="R1024">
        <v>60</v>
      </c>
      <c r="S1024">
        <v>12</v>
      </c>
      <c r="T1024">
        <v>60</v>
      </c>
      <c r="U1024">
        <v>12</v>
      </c>
      <c r="V1024">
        <v>60</v>
      </c>
      <c r="W1024">
        <v>36</v>
      </c>
      <c r="X1024">
        <v>96</v>
      </c>
      <c r="Y1024">
        <v>48</v>
      </c>
      <c r="Z1024">
        <v>144</v>
      </c>
      <c r="AA1024">
        <v>60</v>
      </c>
      <c r="AB1024">
        <v>108</v>
      </c>
      <c r="AC1024">
        <v>24</v>
      </c>
      <c r="AD1024">
        <v>72</v>
      </c>
      <c r="AF1024">
        <v>36</v>
      </c>
      <c r="CH1024" t="str">
        <f t="shared" si="15"/>
        <v>D-0493</v>
      </c>
      <c r="CI1024" s="1" t="s">
        <v>102</v>
      </c>
    </row>
    <row r="1025" spans="1:87">
      <c r="A1025" t="s">
        <v>3594</v>
      </c>
      <c r="B1025">
        <v>852</v>
      </c>
      <c r="C1025" t="s">
        <v>3493</v>
      </c>
      <c r="D1025" t="s">
        <v>3494</v>
      </c>
      <c r="E1025" t="s">
        <v>629</v>
      </c>
      <c r="F1025" t="s">
        <v>635</v>
      </c>
      <c r="G1025" t="s">
        <v>1647</v>
      </c>
      <c r="P1025">
        <v>24</v>
      </c>
      <c r="Q1025">
        <v>24</v>
      </c>
      <c r="R1025">
        <v>48</v>
      </c>
      <c r="S1025">
        <v>24</v>
      </c>
      <c r="T1025">
        <v>84</v>
      </c>
      <c r="U1025">
        <v>24</v>
      </c>
      <c r="V1025">
        <v>84</v>
      </c>
      <c r="W1025">
        <v>24</v>
      </c>
      <c r="X1025">
        <v>84</v>
      </c>
      <c r="Y1025">
        <v>84</v>
      </c>
      <c r="Z1025">
        <v>84</v>
      </c>
      <c r="AA1025">
        <v>84</v>
      </c>
      <c r="AB1025">
        <v>84</v>
      </c>
      <c r="AC1025">
        <v>24</v>
      </c>
      <c r="AD1025">
        <v>48</v>
      </c>
      <c r="AF1025">
        <v>24</v>
      </c>
      <c r="CH1025" t="str">
        <f t="shared" si="15"/>
        <v>D-0493</v>
      </c>
      <c r="CI1025" s="1" t="s">
        <v>102</v>
      </c>
    </row>
    <row r="1026" spans="1:87">
      <c r="A1026" t="s">
        <v>3595</v>
      </c>
      <c r="B1026">
        <v>2278</v>
      </c>
      <c r="C1026" t="s">
        <v>3493</v>
      </c>
      <c r="D1026" t="s">
        <v>3494</v>
      </c>
      <c r="E1026" t="s">
        <v>629</v>
      </c>
      <c r="F1026" t="s">
        <v>635</v>
      </c>
      <c r="G1026" t="s">
        <v>1647</v>
      </c>
      <c r="L1026">
        <v>9</v>
      </c>
      <c r="M1026">
        <v>25</v>
      </c>
      <c r="N1026">
        <v>11</v>
      </c>
      <c r="O1026">
        <v>29</v>
      </c>
      <c r="P1026">
        <v>26</v>
      </c>
      <c r="Q1026">
        <v>36</v>
      </c>
      <c r="R1026">
        <v>114</v>
      </c>
      <c r="S1026">
        <v>46</v>
      </c>
      <c r="T1026">
        <v>82</v>
      </c>
      <c r="U1026">
        <v>70</v>
      </c>
      <c r="V1026">
        <v>168</v>
      </c>
      <c r="W1026">
        <v>115</v>
      </c>
      <c r="X1026">
        <v>266</v>
      </c>
      <c r="Y1026">
        <v>213</v>
      </c>
      <c r="Z1026">
        <v>343</v>
      </c>
      <c r="AA1026">
        <v>145</v>
      </c>
      <c r="AB1026">
        <v>302</v>
      </c>
      <c r="AC1026">
        <v>66</v>
      </c>
      <c r="AD1026">
        <v>133</v>
      </c>
      <c r="AF1026">
        <v>79</v>
      </c>
      <c r="CH1026" t="str">
        <f t="shared" ref="CH1026:CH1089" si="16">TRIM(IFERROR(IFERROR(MID($D1026,FIND("(D-",$D1026)+1,6),LEFT($D1026,FIND("(",$D1026)-1)),$D1026))</f>
        <v>D-0493</v>
      </c>
      <c r="CI1026" s="1" t="s">
        <v>102</v>
      </c>
    </row>
    <row r="1027" spans="1:87">
      <c r="A1027" t="s">
        <v>3596</v>
      </c>
      <c r="B1027">
        <v>51</v>
      </c>
      <c r="C1027" t="s">
        <v>3493</v>
      </c>
      <c r="D1027" t="s">
        <v>3494</v>
      </c>
      <c r="E1027" t="s">
        <v>629</v>
      </c>
      <c r="F1027" t="s">
        <v>635</v>
      </c>
      <c r="G1027" t="s">
        <v>1647</v>
      </c>
      <c r="Q1027">
        <v>3</v>
      </c>
      <c r="R1027">
        <v>3</v>
      </c>
      <c r="S1027">
        <v>3</v>
      </c>
      <c r="T1027">
        <v>6</v>
      </c>
      <c r="U1027">
        <v>3</v>
      </c>
      <c r="V1027">
        <v>3</v>
      </c>
      <c r="W1027">
        <v>6</v>
      </c>
      <c r="X1027">
        <v>3</v>
      </c>
      <c r="Y1027">
        <v>6</v>
      </c>
      <c r="Z1027">
        <v>6</v>
      </c>
      <c r="AA1027">
        <v>3</v>
      </c>
      <c r="AB1027">
        <v>3</v>
      </c>
      <c r="AC1027">
        <v>3</v>
      </c>
      <c r="CH1027" t="str">
        <f t="shared" si="16"/>
        <v>D-0493</v>
      </c>
      <c r="CI1027" s="1" t="s">
        <v>102</v>
      </c>
    </row>
    <row r="1028" spans="1:87">
      <c r="A1028" t="s">
        <v>3597</v>
      </c>
      <c r="B1028">
        <v>275</v>
      </c>
      <c r="C1028" t="s">
        <v>3493</v>
      </c>
      <c r="D1028" t="s">
        <v>3494</v>
      </c>
      <c r="E1028" t="s">
        <v>629</v>
      </c>
      <c r="F1028" t="s">
        <v>635</v>
      </c>
      <c r="G1028" t="s">
        <v>1647</v>
      </c>
      <c r="L1028">
        <v>1</v>
      </c>
      <c r="M1028">
        <v>9</v>
      </c>
      <c r="N1028">
        <v>6</v>
      </c>
      <c r="O1028">
        <v>18</v>
      </c>
      <c r="P1028">
        <v>9</v>
      </c>
      <c r="Q1028">
        <v>27</v>
      </c>
      <c r="R1028">
        <v>27</v>
      </c>
      <c r="S1028">
        <v>10</v>
      </c>
      <c r="T1028">
        <v>23</v>
      </c>
      <c r="U1028">
        <v>20</v>
      </c>
      <c r="V1028">
        <v>9</v>
      </c>
      <c r="W1028">
        <v>23</v>
      </c>
      <c r="X1028">
        <v>9</v>
      </c>
      <c r="Y1028">
        <v>28</v>
      </c>
      <c r="Z1028">
        <v>26</v>
      </c>
      <c r="AA1028">
        <v>7</v>
      </c>
      <c r="AB1028">
        <v>11</v>
      </c>
      <c r="AC1028">
        <v>8</v>
      </c>
      <c r="AD1028">
        <v>3</v>
      </c>
      <c r="AF1028">
        <v>1</v>
      </c>
      <c r="CH1028" t="str">
        <f t="shared" si="16"/>
        <v>D-0493</v>
      </c>
      <c r="CI1028" s="1" t="s">
        <v>102</v>
      </c>
    </row>
    <row r="1029" spans="1:87">
      <c r="A1029" t="s">
        <v>3598</v>
      </c>
      <c r="B1029">
        <v>505</v>
      </c>
      <c r="C1029" t="s">
        <v>3493</v>
      </c>
      <c r="D1029" t="s">
        <v>3494</v>
      </c>
      <c r="E1029" t="s">
        <v>629</v>
      </c>
      <c r="F1029" t="s">
        <v>635</v>
      </c>
      <c r="G1029" t="s">
        <v>1647</v>
      </c>
      <c r="L1029">
        <v>3</v>
      </c>
      <c r="M1029">
        <v>7</v>
      </c>
      <c r="N1029">
        <v>7</v>
      </c>
      <c r="O1029">
        <v>11</v>
      </c>
      <c r="P1029">
        <v>8</v>
      </c>
      <c r="Q1029">
        <v>12</v>
      </c>
      <c r="R1029">
        <v>16</v>
      </c>
      <c r="S1029">
        <v>7</v>
      </c>
      <c r="T1029">
        <v>57</v>
      </c>
      <c r="U1029">
        <v>73</v>
      </c>
      <c r="V1029">
        <v>39</v>
      </c>
      <c r="W1029">
        <v>89</v>
      </c>
      <c r="X1029">
        <v>50</v>
      </c>
      <c r="Y1029">
        <v>67</v>
      </c>
      <c r="Z1029">
        <v>36</v>
      </c>
      <c r="AA1029">
        <v>13</v>
      </c>
      <c r="AB1029">
        <v>10</v>
      </c>
      <c r="CH1029" t="str">
        <f t="shared" si="16"/>
        <v>D-0493</v>
      </c>
      <c r="CI1029" s="1" t="s">
        <v>102</v>
      </c>
    </row>
    <row r="1030" spans="1:87">
      <c r="A1030" t="s">
        <v>3599</v>
      </c>
      <c r="B1030">
        <v>67</v>
      </c>
      <c r="C1030" t="s">
        <v>3493</v>
      </c>
      <c r="D1030" t="s">
        <v>3494</v>
      </c>
      <c r="E1030" t="s">
        <v>629</v>
      </c>
      <c r="F1030" t="s">
        <v>635</v>
      </c>
      <c r="G1030" t="s">
        <v>1647</v>
      </c>
      <c r="M1030">
        <v>3</v>
      </c>
      <c r="N1030">
        <v>4</v>
      </c>
      <c r="O1030">
        <v>6</v>
      </c>
      <c r="P1030">
        <v>4</v>
      </c>
      <c r="Q1030">
        <v>6</v>
      </c>
      <c r="R1030">
        <v>4</v>
      </c>
      <c r="S1030">
        <v>4</v>
      </c>
      <c r="T1030">
        <v>3</v>
      </c>
      <c r="U1030">
        <v>4</v>
      </c>
      <c r="V1030">
        <v>4</v>
      </c>
      <c r="W1030">
        <v>5</v>
      </c>
      <c r="X1030">
        <v>5</v>
      </c>
      <c r="Y1030">
        <v>5</v>
      </c>
      <c r="Z1030">
        <v>4</v>
      </c>
      <c r="AA1030">
        <v>3</v>
      </c>
      <c r="AB1030">
        <v>3</v>
      </c>
      <c r="CH1030" t="str">
        <f t="shared" si="16"/>
        <v>D-0493</v>
      </c>
      <c r="CI1030" s="1" t="s">
        <v>102</v>
      </c>
    </row>
    <row r="1031" spans="1:87">
      <c r="A1031" t="s">
        <v>3600</v>
      </c>
      <c r="B1031">
        <v>194</v>
      </c>
      <c r="C1031" t="s">
        <v>3493</v>
      </c>
      <c r="D1031" t="s">
        <v>3494</v>
      </c>
      <c r="E1031" t="s">
        <v>629</v>
      </c>
      <c r="F1031" t="s">
        <v>635</v>
      </c>
      <c r="G1031" t="s">
        <v>1647</v>
      </c>
      <c r="O1031">
        <v>1</v>
      </c>
      <c r="P1031">
        <v>4</v>
      </c>
      <c r="Q1031">
        <v>4</v>
      </c>
      <c r="R1031">
        <v>1</v>
      </c>
      <c r="S1031">
        <v>1</v>
      </c>
      <c r="T1031">
        <v>5</v>
      </c>
      <c r="U1031">
        <v>11</v>
      </c>
      <c r="V1031">
        <v>23</v>
      </c>
      <c r="W1031">
        <v>29</v>
      </c>
      <c r="X1031">
        <v>34</v>
      </c>
      <c r="Y1031">
        <v>34</v>
      </c>
      <c r="Z1031">
        <v>25</v>
      </c>
      <c r="AA1031">
        <v>14</v>
      </c>
      <c r="AB1031">
        <v>8</v>
      </c>
      <c r="CH1031" t="str">
        <f t="shared" si="16"/>
        <v>D-0493</v>
      </c>
      <c r="CI1031" s="1" t="s">
        <v>102</v>
      </c>
    </row>
    <row r="1032" spans="1:87">
      <c r="A1032" t="s">
        <v>3604</v>
      </c>
      <c r="B1032">
        <v>205</v>
      </c>
      <c r="C1032" t="s">
        <v>3493</v>
      </c>
      <c r="D1032" t="s">
        <v>3494</v>
      </c>
      <c r="E1032" t="s">
        <v>629</v>
      </c>
      <c r="F1032" t="s">
        <v>635</v>
      </c>
      <c r="G1032" t="s">
        <v>1647</v>
      </c>
      <c r="M1032">
        <v>5</v>
      </c>
      <c r="O1032">
        <v>16</v>
      </c>
      <c r="Q1032">
        <v>23</v>
      </c>
      <c r="R1032">
        <v>29</v>
      </c>
      <c r="T1032">
        <v>28</v>
      </c>
      <c r="U1032">
        <v>33</v>
      </c>
      <c r="W1032">
        <v>31</v>
      </c>
      <c r="Y1032">
        <v>18</v>
      </c>
      <c r="Z1032">
        <v>11</v>
      </c>
      <c r="AB1032">
        <v>11</v>
      </c>
      <c r="CH1032" t="str">
        <f t="shared" si="16"/>
        <v>D-0493</v>
      </c>
      <c r="CI1032" s="1" t="s">
        <v>102</v>
      </c>
    </row>
    <row r="1033" spans="1:87">
      <c r="A1033" t="s">
        <v>3608</v>
      </c>
      <c r="B1033">
        <v>24</v>
      </c>
      <c r="C1033" t="s">
        <v>3493</v>
      </c>
      <c r="D1033" t="s">
        <v>3494</v>
      </c>
      <c r="E1033" t="s">
        <v>629</v>
      </c>
      <c r="F1033" t="s">
        <v>635</v>
      </c>
      <c r="G1033" t="s">
        <v>1647</v>
      </c>
      <c r="T1033">
        <v>4</v>
      </c>
      <c r="U1033">
        <v>4</v>
      </c>
      <c r="W1033">
        <v>8</v>
      </c>
      <c r="Y1033">
        <v>4</v>
      </c>
      <c r="Z1033">
        <v>2</v>
      </c>
      <c r="AB1033">
        <v>2</v>
      </c>
      <c r="CH1033" t="str">
        <f t="shared" si="16"/>
        <v>D-0493</v>
      </c>
      <c r="CI1033" s="1" t="s">
        <v>102</v>
      </c>
    </row>
    <row r="1034" spans="1:87">
      <c r="A1034" t="s">
        <v>3618</v>
      </c>
      <c r="B1034">
        <v>81</v>
      </c>
      <c r="C1034" t="s">
        <v>3493</v>
      </c>
      <c r="D1034" t="s">
        <v>3494</v>
      </c>
      <c r="E1034" t="s">
        <v>629</v>
      </c>
      <c r="F1034" t="s">
        <v>635</v>
      </c>
      <c r="G1034" t="s">
        <v>1647</v>
      </c>
      <c r="T1034">
        <v>13</v>
      </c>
      <c r="U1034">
        <v>12</v>
      </c>
      <c r="V1034">
        <v>7</v>
      </c>
      <c r="W1034">
        <v>15</v>
      </c>
      <c r="X1034">
        <v>6</v>
      </c>
      <c r="Y1034">
        <v>15</v>
      </c>
      <c r="Z1034">
        <v>7</v>
      </c>
      <c r="AA1034">
        <v>6</v>
      </c>
      <c r="CH1034" t="str">
        <f t="shared" si="16"/>
        <v>D-0493</v>
      </c>
      <c r="CI1034" s="1" t="s">
        <v>102</v>
      </c>
    </row>
    <row r="1035" spans="1:87">
      <c r="A1035" t="s">
        <v>3622</v>
      </c>
      <c r="B1035">
        <v>234</v>
      </c>
      <c r="C1035" t="s">
        <v>3493</v>
      </c>
      <c r="D1035" t="s">
        <v>3494</v>
      </c>
      <c r="E1035" t="s">
        <v>629</v>
      </c>
      <c r="F1035" t="s">
        <v>635</v>
      </c>
      <c r="G1035" t="s">
        <v>1647</v>
      </c>
      <c r="T1035">
        <v>26</v>
      </c>
      <c r="U1035">
        <v>26</v>
      </c>
      <c r="W1035">
        <v>78</v>
      </c>
      <c r="Y1035">
        <v>52</v>
      </c>
      <c r="Z1035">
        <v>26</v>
      </c>
      <c r="AB1035">
        <v>26</v>
      </c>
      <c r="CH1035" t="str">
        <f t="shared" si="16"/>
        <v>D-0493</v>
      </c>
      <c r="CI1035" s="1" t="s">
        <v>102</v>
      </c>
    </row>
    <row r="1036" spans="1:87">
      <c r="A1036" t="s">
        <v>3642</v>
      </c>
      <c r="B1036">
        <v>228</v>
      </c>
      <c r="C1036" t="s">
        <v>3493</v>
      </c>
      <c r="D1036" t="s">
        <v>3494</v>
      </c>
      <c r="E1036" t="s">
        <v>629</v>
      </c>
      <c r="F1036" t="s">
        <v>635</v>
      </c>
      <c r="G1036" t="s">
        <v>1647</v>
      </c>
      <c r="O1036">
        <v>19</v>
      </c>
      <c r="Q1036">
        <v>19</v>
      </c>
      <c r="R1036">
        <v>19</v>
      </c>
      <c r="T1036">
        <v>19</v>
      </c>
      <c r="U1036">
        <v>38</v>
      </c>
      <c r="W1036">
        <v>38</v>
      </c>
      <c r="Y1036">
        <v>38</v>
      </c>
      <c r="Z1036">
        <v>38</v>
      </c>
      <c r="CH1036" t="str">
        <f t="shared" si="16"/>
        <v>D-0493</v>
      </c>
      <c r="CI1036" s="1" t="s">
        <v>102</v>
      </c>
    </row>
    <row r="1037" spans="1:87">
      <c r="A1037" t="s">
        <v>3643</v>
      </c>
      <c r="B1037">
        <v>1608</v>
      </c>
      <c r="C1037" t="s">
        <v>3493</v>
      </c>
      <c r="D1037" t="s">
        <v>3494</v>
      </c>
      <c r="E1037" t="s">
        <v>629</v>
      </c>
      <c r="F1037" t="s">
        <v>635</v>
      </c>
      <c r="G1037" t="s">
        <v>1647</v>
      </c>
      <c r="L1037">
        <v>12</v>
      </c>
      <c r="N1037">
        <v>54</v>
      </c>
      <c r="P1037">
        <v>132</v>
      </c>
      <c r="R1037">
        <v>198</v>
      </c>
      <c r="T1037">
        <v>276</v>
      </c>
      <c r="V1037">
        <v>270</v>
      </c>
      <c r="X1037">
        <v>216</v>
      </c>
      <c r="Z1037">
        <v>180</v>
      </c>
      <c r="AB1037">
        <v>162</v>
      </c>
      <c r="AD1037">
        <v>96</v>
      </c>
      <c r="AF1037">
        <v>12</v>
      </c>
      <c r="CH1037" t="str">
        <f t="shared" si="16"/>
        <v>D-0493</v>
      </c>
      <c r="CI1037" s="1" t="s">
        <v>102</v>
      </c>
    </row>
    <row r="1038" spans="1:87">
      <c r="A1038" t="s">
        <v>3644</v>
      </c>
      <c r="B1038">
        <v>181</v>
      </c>
      <c r="C1038" t="s">
        <v>3493</v>
      </c>
      <c r="D1038" t="s">
        <v>3494</v>
      </c>
      <c r="E1038" t="s">
        <v>629</v>
      </c>
      <c r="F1038" t="s">
        <v>635</v>
      </c>
      <c r="G1038" t="s">
        <v>1647</v>
      </c>
      <c r="L1038">
        <v>2</v>
      </c>
      <c r="N1038">
        <v>7</v>
      </c>
      <c r="P1038">
        <v>18</v>
      </c>
      <c r="R1038">
        <v>26</v>
      </c>
      <c r="T1038">
        <v>34</v>
      </c>
      <c r="V1038">
        <v>32</v>
      </c>
      <c r="X1038">
        <v>24</v>
      </c>
      <c r="Z1038">
        <v>15</v>
      </c>
      <c r="AB1038">
        <v>13</v>
      </c>
      <c r="AD1038">
        <v>8</v>
      </c>
      <c r="AF1038">
        <v>2</v>
      </c>
      <c r="CH1038" t="str">
        <f t="shared" si="16"/>
        <v>D-0493</v>
      </c>
      <c r="CI1038" s="1" t="s">
        <v>102</v>
      </c>
    </row>
    <row r="1039" spans="1:87">
      <c r="A1039" t="s">
        <v>3645</v>
      </c>
      <c r="B1039">
        <v>183</v>
      </c>
      <c r="C1039" t="s">
        <v>3493</v>
      </c>
      <c r="D1039" t="s">
        <v>3494</v>
      </c>
      <c r="E1039" t="s">
        <v>629</v>
      </c>
      <c r="F1039" t="s">
        <v>635</v>
      </c>
      <c r="G1039" t="s">
        <v>1647</v>
      </c>
      <c r="M1039">
        <v>7</v>
      </c>
      <c r="O1039">
        <v>14</v>
      </c>
      <c r="Q1039">
        <v>21</v>
      </c>
      <c r="R1039">
        <v>26</v>
      </c>
      <c r="T1039">
        <v>24</v>
      </c>
      <c r="U1039">
        <v>26</v>
      </c>
      <c r="W1039">
        <v>27</v>
      </c>
      <c r="Y1039">
        <v>17</v>
      </c>
      <c r="Z1039">
        <v>12</v>
      </c>
      <c r="AB1039">
        <v>9</v>
      </c>
      <c r="CH1039" t="str">
        <f t="shared" si="16"/>
        <v>D-0493</v>
      </c>
      <c r="CI1039" s="1" t="s">
        <v>102</v>
      </c>
    </row>
    <row r="1040" spans="1:87">
      <c r="A1040" t="s">
        <v>3646</v>
      </c>
      <c r="B1040">
        <v>504</v>
      </c>
      <c r="C1040" t="s">
        <v>3493</v>
      </c>
      <c r="D1040" t="s">
        <v>3494</v>
      </c>
      <c r="E1040" t="s">
        <v>629</v>
      </c>
      <c r="F1040" t="s">
        <v>635</v>
      </c>
      <c r="G1040" t="s">
        <v>1647</v>
      </c>
      <c r="L1040">
        <v>12</v>
      </c>
      <c r="M1040">
        <v>24</v>
      </c>
      <c r="N1040">
        <v>12</v>
      </c>
      <c r="O1040">
        <v>12</v>
      </c>
      <c r="P1040">
        <v>24</v>
      </c>
      <c r="Q1040">
        <v>36</v>
      </c>
      <c r="R1040">
        <v>12</v>
      </c>
      <c r="S1040">
        <v>36</v>
      </c>
      <c r="T1040">
        <v>48</v>
      </c>
      <c r="U1040">
        <v>48</v>
      </c>
      <c r="V1040">
        <v>72</v>
      </c>
      <c r="W1040">
        <v>60</v>
      </c>
      <c r="X1040">
        <v>36</v>
      </c>
      <c r="Y1040">
        <v>36</v>
      </c>
      <c r="Z1040">
        <v>24</v>
      </c>
      <c r="AA1040">
        <v>12</v>
      </c>
      <c r="CH1040" t="str">
        <f t="shared" si="16"/>
        <v>D-0493</v>
      </c>
      <c r="CI1040" s="1" t="s">
        <v>102</v>
      </c>
    </row>
    <row r="1041" spans="1:87">
      <c r="A1041" t="s">
        <v>3647</v>
      </c>
      <c r="B1041">
        <v>360</v>
      </c>
      <c r="C1041" t="s">
        <v>3493</v>
      </c>
      <c r="D1041" t="s">
        <v>3494</v>
      </c>
      <c r="E1041" t="s">
        <v>629</v>
      </c>
      <c r="F1041" t="s">
        <v>635</v>
      </c>
      <c r="G1041" t="s">
        <v>1647</v>
      </c>
      <c r="M1041">
        <v>20</v>
      </c>
      <c r="N1041">
        <v>20</v>
      </c>
      <c r="O1041">
        <v>30</v>
      </c>
      <c r="P1041">
        <v>20</v>
      </c>
      <c r="Q1041">
        <v>20</v>
      </c>
      <c r="R1041">
        <v>10</v>
      </c>
      <c r="S1041">
        <v>20</v>
      </c>
      <c r="T1041">
        <v>40</v>
      </c>
      <c r="U1041">
        <v>40</v>
      </c>
      <c r="V1041">
        <v>40</v>
      </c>
      <c r="W1041">
        <v>40</v>
      </c>
      <c r="X1041">
        <v>20</v>
      </c>
      <c r="Y1041">
        <v>20</v>
      </c>
      <c r="Z1041">
        <v>20</v>
      </c>
      <c r="CH1041" t="str">
        <f t="shared" si="16"/>
        <v>D-0493</v>
      </c>
      <c r="CI1041" s="1" t="s">
        <v>102</v>
      </c>
    </row>
    <row r="1042" spans="1:87">
      <c r="A1042" t="s">
        <v>3648</v>
      </c>
      <c r="B1042">
        <v>96</v>
      </c>
      <c r="C1042" t="s">
        <v>3493</v>
      </c>
      <c r="D1042" t="s">
        <v>3494</v>
      </c>
      <c r="E1042" t="s">
        <v>629</v>
      </c>
      <c r="F1042" t="s">
        <v>635</v>
      </c>
      <c r="G1042" t="s">
        <v>1647</v>
      </c>
      <c r="P1042">
        <v>6</v>
      </c>
      <c r="R1042">
        <v>6</v>
      </c>
      <c r="T1042">
        <v>6</v>
      </c>
      <c r="V1042">
        <v>7</v>
      </c>
      <c r="W1042">
        <v>7</v>
      </c>
      <c r="X1042">
        <v>9</v>
      </c>
      <c r="Y1042">
        <v>13</v>
      </c>
      <c r="Z1042">
        <v>15</v>
      </c>
      <c r="AA1042">
        <v>7</v>
      </c>
      <c r="AB1042">
        <v>7</v>
      </c>
      <c r="AD1042">
        <v>7</v>
      </c>
      <c r="AF1042">
        <v>6</v>
      </c>
      <c r="CH1042" t="str">
        <f t="shared" si="16"/>
        <v>D-0493</v>
      </c>
      <c r="CI1042" s="1" t="s">
        <v>102</v>
      </c>
    </row>
    <row r="1043" spans="1:87">
      <c r="A1043" t="s">
        <v>3649</v>
      </c>
      <c r="B1043">
        <v>24</v>
      </c>
      <c r="C1043" t="s">
        <v>3493</v>
      </c>
      <c r="D1043" t="s">
        <v>3494</v>
      </c>
      <c r="E1043" t="s">
        <v>629</v>
      </c>
      <c r="F1043" t="s">
        <v>635</v>
      </c>
      <c r="G1043" t="s">
        <v>1647</v>
      </c>
      <c r="T1043">
        <v>4</v>
      </c>
      <c r="U1043">
        <v>4</v>
      </c>
      <c r="W1043">
        <v>8</v>
      </c>
      <c r="Y1043">
        <v>4</v>
      </c>
      <c r="Z1043">
        <v>2</v>
      </c>
      <c r="AB1043">
        <v>2</v>
      </c>
      <c r="CH1043" t="str">
        <f t="shared" si="16"/>
        <v>D-0493</v>
      </c>
      <c r="CI1043" s="1" t="s">
        <v>102</v>
      </c>
    </row>
    <row r="1044" spans="1:87">
      <c r="A1044" t="s">
        <v>3650</v>
      </c>
      <c r="B1044">
        <v>105</v>
      </c>
      <c r="C1044" t="s">
        <v>3493</v>
      </c>
      <c r="D1044" t="s">
        <v>3494</v>
      </c>
      <c r="E1044" t="s">
        <v>629</v>
      </c>
      <c r="F1044" t="s">
        <v>635</v>
      </c>
      <c r="G1044" t="s">
        <v>1647</v>
      </c>
      <c r="M1044">
        <v>7</v>
      </c>
      <c r="O1044">
        <v>7</v>
      </c>
      <c r="P1044">
        <v>7</v>
      </c>
      <c r="Q1044">
        <v>7</v>
      </c>
      <c r="R1044">
        <v>7</v>
      </c>
      <c r="T1044">
        <v>7</v>
      </c>
      <c r="U1044">
        <v>7</v>
      </c>
      <c r="W1044">
        <v>14</v>
      </c>
      <c r="X1044">
        <v>7</v>
      </c>
      <c r="Y1044">
        <v>14</v>
      </c>
      <c r="Z1044">
        <v>7</v>
      </c>
      <c r="AB1044">
        <v>7</v>
      </c>
      <c r="AC1044">
        <v>7</v>
      </c>
      <c r="CH1044" t="str">
        <f t="shared" si="16"/>
        <v>D-0493</v>
      </c>
      <c r="CI1044" s="1" t="s">
        <v>102</v>
      </c>
    </row>
    <row r="1045" spans="1:87">
      <c r="A1045" t="s">
        <v>3651</v>
      </c>
      <c r="B1045">
        <v>343</v>
      </c>
      <c r="C1045" t="s">
        <v>3493</v>
      </c>
      <c r="D1045" t="s">
        <v>3494</v>
      </c>
      <c r="E1045" t="s">
        <v>629</v>
      </c>
      <c r="F1045" t="s">
        <v>635</v>
      </c>
      <c r="G1045" t="s">
        <v>1647</v>
      </c>
      <c r="T1045">
        <v>46</v>
      </c>
      <c r="V1045">
        <v>91</v>
      </c>
      <c r="X1045">
        <v>96</v>
      </c>
      <c r="Z1045">
        <v>76</v>
      </c>
      <c r="AB1045">
        <v>34</v>
      </c>
      <c r="CH1045" t="str">
        <f t="shared" si="16"/>
        <v>D-0493</v>
      </c>
      <c r="CI1045" s="1" t="s">
        <v>102</v>
      </c>
    </row>
    <row r="1046" spans="1:87">
      <c r="A1046" t="s">
        <v>3652</v>
      </c>
      <c r="B1046">
        <v>12</v>
      </c>
      <c r="C1046" t="s">
        <v>3493</v>
      </c>
      <c r="D1046" t="s">
        <v>3494</v>
      </c>
      <c r="E1046" t="s">
        <v>629</v>
      </c>
      <c r="F1046" t="s">
        <v>635</v>
      </c>
      <c r="G1046" t="s">
        <v>1647</v>
      </c>
      <c r="V1046">
        <v>2</v>
      </c>
      <c r="X1046">
        <v>5</v>
      </c>
      <c r="Z1046">
        <v>3</v>
      </c>
      <c r="AB1046">
        <v>2</v>
      </c>
      <c r="CH1046" t="str">
        <f t="shared" si="16"/>
        <v>D-0493</v>
      </c>
      <c r="CI1046" s="1" t="s">
        <v>102</v>
      </c>
    </row>
    <row r="1047" spans="1:87">
      <c r="A1047" t="s">
        <v>3653</v>
      </c>
      <c r="B1047">
        <v>12</v>
      </c>
      <c r="C1047" t="s">
        <v>3493</v>
      </c>
      <c r="D1047" t="s">
        <v>3494</v>
      </c>
      <c r="E1047" t="s">
        <v>629</v>
      </c>
      <c r="F1047" t="s">
        <v>635</v>
      </c>
      <c r="G1047" t="s">
        <v>1647</v>
      </c>
      <c r="T1047">
        <v>1</v>
      </c>
      <c r="U1047">
        <v>1</v>
      </c>
      <c r="V1047">
        <v>1</v>
      </c>
      <c r="W1047">
        <v>2</v>
      </c>
      <c r="X1047">
        <v>2</v>
      </c>
      <c r="Y1047">
        <v>2</v>
      </c>
      <c r="Z1047">
        <v>1</v>
      </c>
      <c r="AA1047">
        <v>1</v>
      </c>
      <c r="AB1047">
        <v>1</v>
      </c>
      <c r="CH1047" t="str">
        <f t="shared" si="16"/>
        <v>D-0493</v>
      </c>
      <c r="CI1047" s="1" t="s">
        <v>102</v>
      </c>
    </row>
    <row r="1048" spans="1:87">
      <c r="A1048" t="s">
        <v>3654</v>
      </c>
      <c r="B1048">
        <v>24</v>
      </c>
      <c r="C1048" t="s">
        <v>3493</v>
      </c>
      <c r="D1048" t="s">
        <v>3494</v>
      </c>
      <c r="E1048" t="s">
        <v>629</v>
      </c>
      <c r="F1048" t="s">
        <v>635</v>
      </c>
      <c r="G1048" t="s">
        <v>1647</v>
      </c>
      <c r="N1048">
        <v>2</v>
      </c>
      <c r="O1048">
        <v>2</v>
      </c>
      <c r="P1048">
        <v>2</v>
      </c>
      <c r="Q1048">
        <v>4</v>
      </c>
      <c r="R1048">
        <v>4</v>
      </c>
      <c r="S1048">
        <v>4</v>
      </c>
      <c r="T1048">
        <v>2</v>
      </c>
      <c r="U1048">
        <v>2</v>
      </c>
      <c r="V1048">
        <v>2</v>
      </c>
      <c r="CH1048" t="str">
        <f t="shared" si="16"/>
        <v>D-0493</v>
      </c>
      <c r="CI1048" s="1" t="s">
        <v>102</v>
      </c>
    </row>
    <row r="1049" spans="1:87">
      <c r="A1049" t="s">
        <v>3655</v>
      </c>
      <c r="B1049">
        <v>12</v>
      </c>
      <c r="C1049" t="s">
        <v>3493</v>
      </c>
      <c r="D1049" t="s">
        <v>3494</v>
      </c>
      <c r="E1049" t="s">
        <v>629</v>
      </c>
      <c r="F1049" t="s">
        <v>635</v>
      </c>
      <c r="G1049" t="s">
        <v>1647</v>
      </c>
      <c r="L1049">
        <v>1</v>
      </c>
      <c r="M1049">
        <v>2</v>
      </c>
      <c r="N1049">
        <v>2</v>
      </c>
      <c r="O1049">
        <v>2</v>
      </c>
      <c r="P1049">
        <v>2</v>
      </c>
      <c r="Q1049">
        <v>2</v>
      </c>
      <c r="R1049">
        <v>1</v>
      </c>
      <c r="CH1049" t="str">
        <f t="shared" si="16"/>
        <v>D-0493</v>
      </c>
      <c r="CI1049" s="1" t="s">
        <v>102</v>
      </c>
    </row>
    <row r="1050" spans="1:87">
      <c r="A1050" t="s">
        <v>3656</v>
      </c>
      <c r="B1050">
        <v>24</v>
      </c>
      <c r="C1050" t="s">
        <v>3493</v>
      </c>
      <c r="D1050" t="s">
        <v>3494</v>
      </c>
      <c r="E1050" t="s">
        <v>629</v>
      </c>
      <c r="F1050" t="s">
        <v>635</v>
      </c>
      <c r="G1050" t="s">
        <v>1647</v>
      </c>
      <c r="S1050">
        <v>2</v>
      </c>
      <c r="T1050">
        <v>4</v>
      </c>
      <c r="U1050">
        <v>4</v>
      </c>
      <c r="V1050">
        <v>4</v>
      </c>
      <c r="W1050">
        <v>4</v>
      </c>
      <c r="X1050">
        <v>4</v>
      </c>
      <c r="Y1050">
        <v>2</v>
      </c>
      <c r="CH1050" t="str">
        <f t="shared" si="16"/>
        <v>D-0493</v>
      </c>
      <c r="CI1050" s="1" t="s">
        <v>102</v>
      </c>
    </row>
    <row r="1051" spans="1:87">
      <c r="A1051" t="s">
        <v>3657</v>
      </c>
      <c r="B1051">
        <v>24</v>
      </c>
      <c r="C1051" t="s">
        <v>3493</v>
      </c>
      <c r="D1051" t="s">
        <v>3494</v>
      </c>
      <c r="E1051" t="s">
        <v>629</v>
      </c>
      <c r="F1051" t="s">
        <v>635</v>
      </c>
      <c r="G1051" t="s">
        <v>1647</v>
      </c>
      <c r="T1051">
        <v>3</v>
      </c>
      <c r="V1051">
        <v>3</v>
      </c>
      <c r="W1051">
        <v>6</v>
      </c>
      <c r="X1051">
        <v>3</v>
      </c>
      <c r="Y1051">
        <v>6</v>
      </c>
      <c r="Z1051">
        <v>3</v>
      </c>
      <c r="CH1051" t="str">
        <f t="shared" si="16"/>
        <v>D-0493</v>
      </c>
      <c r="CI1051" s="1" t="s">
        <v>102</v>
      </c>
    </row>
    <row r="1052" spans="1:87">
      <c r="A1052" t="s">
        <v>3658</v>
      </c>
      <c r="B1052">
        <v>162</v>
      </c>
      <c r="C1052" t="s">
        <v>3493</v>
      </c>
      <c r="D1052" t="s">
        <v>3494</v>
      </c>
      <c r="E1052" t="s">
        <v>629</v>
      </c>
      <c r="F1052" t="s">
        <v>635</v>
      </c>
      <c r="G1052" t="s">
        <v>1647</v>
      </c>
      <c r="T1052">
        <v>26</v>
      </c>
      <c r="V1052">
        <v>40</v>
      </c>
      <c r="X1052">
        <v>40</v>
      </c>
      <c r="Z1052">
        <v>28</v>
      </c>
      <c r="AB1052">
        <v>16</v>
      </c>
      <c r="AD1052">
        <v>12</v>
      </c>
      <c r="CH1052" t="str">
        <f t="shared" si="16"/>
        <v>D-0493</v>
      </c>
      <c r="CI1052" s="1" t="s">
        <v>102</v>
      </c>
    </row>
    <row r="1053" spans="1:87">
      <c r="A1053" t="s">
        <v>3659</v>
      </c>
      <c r="B1053">
        <v>96</v>
      </c>
      <c r="C1053" t="s">
        <v>3493</v>
      </c>
      <c r="D1053" t="s">
        <v>3494</v>
      </c>
      <c r="E1053" t="s">
        <v>629</v>
      </c>
      <c r="F1053" t="s">
        <v>635</v>
      </c>
      <c r="G1053" t="s">
        <v>1647</v>
      </c>
      <c r="T1053">
        <v>16</v>
      </c>
      <c r="V1053">
        <v>24</v>
      </c>
      <c r="X1053">
        <v>24</v>
      </c>
      <c r="Z1053">
        <v>16</v>
      </c>
      <c r="AB1053">
        <v>8</v>
      </c>
      <c r="AD1053">
        <v>8</v>
      </c>
      <c r="CH1053" t="str">
        <f t="shared" si="16"/>
        <v>D-0493</v>
      </c>
      <c r="CI1053" s="1" t="s">
        <v>102</v>
      </c>
    </row>
    <row r="1054" spans="1:87">
      <c r="A1054" t="s">
        <v>3660</v>
      </c>
      <c r="B1054">
        <v>600</v>
      </c>
      <c r="C1054" t="s">
        <v>3493</v>
      </c>
      <c r="D1054" t="s">
        <v>3494</v>
      </c>
      <c r="E1054" t="s">
        <v>629</v>
      </c>
      <c r="F1054" t="s">
        <v>635</v>
      </c>
      <c r="G1054" t="s">
        <v>1647</v>
      </c>
      <c r="L1054">
        <v>24</v>
      </c>
      <c r="M1054">
        <v>24</v>
      </c>
      <c r="N1054">
        <v>36</v>
      </c>
      <c r="O1054">
        <v>36</v>
      </c>
      <c r="P1054">
        <v>36</v>
      </c>
      <c r="R1054">
        <v>72</v>
      </c>
      <c r="S1054">
        <v>48</v>
      </c>
      <c r="T1054">
        <v>72</v>
      </c>
      <c r="U1054">
        <v>60</v>
      </c>
      <c r="V1054">
        <v>60</v>
      </c>
      <c r="W1054">
        <v>36</v>
      </c>
      <c r="X1054">
        <v>36</v>
      </c>
      <c r="Y1054">
        <v>12</v>
      </c>
      <c r="Z1054">
        <v>36</v>
      </c>
      <c r="AA1054">
        <v>12</v>
      </c>
      <c r="CH1054" t="str">
        <f t="shared" si="16"/>
        <v>D-0493</v>
      </c>
      <c r="CI1054" s="1" t="s">
        <v>102</v>
      </c>
    </row>
    <row r="1055" spans="1:87">
      <c r="A1055" t="s">
        <v>3661</v>
      </c>
      <c r="B1055">
        <v>216</v>
      </c>
      <c r="C1055" t="s">
        <v>3493</v>
      </c>
      <c r="D1055" t="s">
        <v>3494</v>
      </c>
      <c r="E1055" t="s">
        <v>629</v>
      </c>
      <c r="F1055" t="s">
        <v>635</v>
      </c>
      <c r="G1055" t="s">
        <v>1647</v>
      </c>
      <c r="T1055">
        <v>24</v>
      </c>
      <c r="U1055">
        <v>24</v>
      </c>
      <c r="W1055">
        <v>72</v>
      </c>
      <c r="Y1055">
        <v>48</v>
      </c>
      <c r="Z1055">
        <v>24</v>
      </c>
      <c r="AB1055">
        <v>24</v>
      </c>
      <c r="CH1055" t="str">
        <f t="shared" si="16"/>
        <v>D-0493</v>
      </c>
      <c r="CI1055" s="1" t="s">
        <v>102</v>
      </c>
    </row>
    <row r="1056" spans="1:87">
      <c r="A1056" t="s">
        <v>3666</v>
      </c>
      <c r="B1056">
        <v>26</v>
      </c>
      <c r="C1056" t="s">
        <v>3493</v>
      </c>
      <c r="D1056" t="s">
        <v>3494</v>
      </c>
      <c r="E1056" t="s">
        <v>629</v>
      </c>
      <c r="F1056" t="s">
        <v>635</v>
      </c>
      <c r="G1056" t="s">
        <v>1647</v>
      </c>
      <c r="O1056">
        <v>1</v>
      </c>
      <c r="Q1056">
        <v>1</v>
      </c>
      <c r="R1056">
        <v>1</v>
      </c>
      <c r="T1056">
        <v>2</v>
      </c>
      <c r="U1056">
        <v>3</v>
      </c>
      <c r="W1056">
        <v>4</v>
      </c>
      <c r="X1056">
        <v>1</v>
      </c>
      <c r="Y1056">
        <v>4</v>
      </c>
      <c r="Z1056">
        <v>4</v>
      </c>
      <c r="AA1056">
        <v>1</v>
      </c>
      <c r="AB1056">
        <v>3</v>
      </c>
      <c r="AC1056">
        <v>1</v>
      </c>
      <c r="CH1056" t="str">
        <f t="shared" si="16"/>
        <v>D-0493</v>
      </c>
      <c r="CI1056" s="1" t="s">
        <v>102</v>
      </c>
    </row>
    <row r="1057" spans="1:87">
      <c r="A1057" t="s">
        <v>3667</v>
      </c>
      <c r="B1057">
        <v>138</v>
      </c>
      <c r="C1057" t="s">
        <v>3493</v>
      </c>
      <c r="D1057" t="s">
        <v>3494</v>
      </c>
      <c r="E1057" t="s">
        <v>629</v>
      </c>
      <c r="F1057" t="s">
        <v>635</v>
      </c>
      <c r="G1057" t="s">
        <v>1647</v>
      </c>
      <c r="N1057">
        <v>6</v>
      </c>
      <c r="P1057">
        <v>6</v>
      </c>
      <c r="S1057">
        <v>14</v>
      </c>
      <c r="T1057">
        <v>4</v>
      </c>
      <c r="U1057">
        <v>26</v>
      </c>
      <c r="V1057">
        <v>6</v>
      </c>
      <c r="W1057">
        <v>30</v>
      </c>
      <c r="X1057">
        <v>9</v>
      </c>
      <c r="Y1057">
        <v>21</v>
      </c>
      <c r="Z1057">
        <v>4</v>
      </c>
      <c r="AA1057">
        <v>8</v>
      </c>
      <c r="AB1057">
        <v>2</v>
      </c>
      <c r="AC1057">
        <v>2</v>
      </c>
      <c r="CH1057" t="str">
        <f t="shared" si="16"/>
        <v>D-0493</v>
      </c>
      <c r="CI1057" s="1" t="s">
        <v>102</v>
      </c>
    </row>
    <row r="1058" spans="1:87">
      <c r="A1058" t="s">
        <v>3699</v>
      </c>
      <c r="B1058">
        <v>5040</v>
      </c>
      <c r="C1058" t="s">
        <v>3500</v>
      </c>
      <c r="D1058" t="s">
        <v>1002</v>
      </c>
      <c r="E1058" t="s">
        <v>629</v>
      </c>
      <c r="F1058" t="s">
        <v>652</v>
      </c>
      <c r="G1058" t="s">
        <v>1003</v>
      </c>
      <c r="L1058">
        <v>72</v>
      </c>
      <c r="M1058">
        <v>84</v>
      </c>
      <c r="N1058">
        <v>120</v>
      </c>
      <c r="O1058">
        <v>156</v>
      </c>
      <c r="P1058">
        <v>264</v>
      </c>
      <c r="Q1058">
        <v>228</v>
      </c>
      <c r="R1058">
        <v>312</v>
      </c>
      <c r="S1058">
        <v>228</v>
      </c>
      <c r="T1058">
        <v>276</v>
      </c>
      <c r="U1058">
        <v>180</v>
      </c>
      <c r="V1058">
        <v>264</v>
      </c>
      <c r="W1058">
        <v>276</v>
      </c>
      <c r="X1058">
        <v>252</v>
      </c>
      <c r="Y1058">
        <v>276</v>
      </c>
      <c r="Z1058">
        <v>420</v>
      </c>
      <c r="AA1058">
        <v>408</v>
      </c>
      <c r="AB1058">
        <v>384</v>
      </c>
      <c r="AC1058">
        <v>240</v>
      </c>
      <c r="AD1058">
        <v>420</v>
      </c>
      <c r="AF1058">
        <v>180</v>
      </c>
      <c r="CH1058" t="str">
        <f t="shared" si="16"/>
        <v>D-0493</v>
      </c>
      <c r="CI1058" s="1" t="s">
        <v>102</v>
      </c>
    </row>
    <row r="1059" spans="1:87">
      <c r="A1059" t="s">
        <v>3700</v>
      </c>
      <c r="B1059">
        <v>888</v>
      </c>
      <c r="C1059" t="s">
        <v>3500</v>
      </c>
      <c r="D1059" t="s">
        <v>1002</v>
      </c>
      <c r="E1059" t="s">
        <v>629</v>
      </c>
      <c r="F1059" t="s">
        <v>652</v>
      </c>
      <c r="G1059" t="s">
        <v>1003</v>
      </c>
      <c r="N1059">
        <v>12</v>
      </c>
      <c r="O1059">
        <v>12</v>
      </c>
      <c r="P1059">
        <v>12</v>
      </c>
      <c r="Q1059">
        <v>12</v>
      </c>
      <c r="R1059">
        <v>24</v>
      </c>
      <c r="S1059">
        <v>24</v>
      </c>
      <c r="T1059">
        <v>24</v>
      </c>
      <c r="U1059">
        <v>36</v>
      </c>
      <c r="V1059">
        <v>60</v>
      </c>
      <c r="W1059">
        <v>72</v>
      </c>
      <c r="X1059">
        <v>84</v>
      </c>
      <c r="Y1059">
        <v>84</v>
      </c>
      <c r="Z1059">
        <v>96</v>
      </c>
      <c r="AA1059">
        <v>96</v>
      </c>
      <c r="AB1059">
        <v>84</v>
      </c>
      <c r="AC1059">
        <v>48</v>
      </c>
      <c r="AD1059">
        <v>72</v>
      </c>
      <c r="AF1059">
        <v>36</v>
      </c>
      <c r="CH1059" t="str">
        <f t="shared" si="16"/>
        <v>D-0493</v>
      </c>
      <c r="CI1059" s="1" t="s">
        <v>102</v>
      </c>
    </row>
    <row r="1060" spans="1:87">
      <c r="A1060" t="s">
        <v>3701</v>
      </c>
      <c r="B1060">
        <v>816</v>
      </c>
      <c r="C1060" t="s">
        <v>3500</v>
      </c>
      <c r="D1060" t="s">
        <v>1002</v>
      </c>
      <c r="E1060" t="s">
        <v>629</v>
      </c>
      <c r="F1060" t="s">
        <v>652</v>
      </c>
      <c r="G1060" t="s">
        <v>1003</v>
      </c>
      <c r="U1060">
        <v>36</v>
      </c>
      <c r="V1060">
        <v>84</v>
      </c>
      <c r="W1060">
        <v>84</v>
      </c>
      <c r="X1060">
        <v>120</v>
      </c>
      <c r="Y1060">
        <v>84</v>
      </c>
      <c r="Z1060">
        <v>84</v>
      </c>
      <c r="AA1060">
        <v>84</v>
      </c>
      <c r="AB1060">
        <v>84</v>
      </c>
      <c r="AC1060">
        <v>12</v>
      </c>
      <c r="AD1060">
        <v>72</v>
      </c>
      <c r="AF1060">
        <v>72</v>
      </c>
      <c r="CH1060" t="str">
        <f t="shared" si="16"/>
        <v>D-0493</v>
      </c>
      <c r="CI1060" s="1" t="s">
        <v>102</v>
      </c>
    </row>
    <row r="1061" spans="1:87">
      <c r="A1061" t="s">
        <v>3702</v>
      </c>
      <c r="B1061">
        <v>228</v>
      </c>
      <c r="C1061" t="s">
        <v>3500</v>
      </c>
      <c r="D1061" t="s">
        <v>1002</v>
      </c>
      <c r="E1061" t="s">
        <v>629</v>
      </c>
      <c r="F1061" t="s">
        <v>652</v>
      </c>
      <c r="G1061" t="s">
        <v>1003</v>
      </c>
      <c r="L1061">
        <v>12</v>
      </c>
      <c r="M1061">
        <v>12</v>
      </c>
      <c r="N1061">
        <v>12</v>
      </c>
      <c r="O1061">
        <v>12</v>
      </c>
      <c r="P1061">
        <v>12</v>
      </c>
      <c r="Q1061">
        <v>12</v>
      </c>
      <c r="R1061">
        <v>12</v>
      </c>
      <c r="S1061">
        <v>12</v>
      </c>
      <c r="T1061">
        <v>12</v>
      </c>
      <c r="U1061">
        <v>12</v>
      </c>
      <c r="V1061">
        <v>12</v>
      </c>
      <c r="W1061">
        <v>12</v>
      </c>
      <c r="X1061">
        <v>12</v>
      </c>
      <c r="Y1061">
        <v>12</v>
      </c>
      <c r="Z1061">
        <v>12</v>
      </c>
      <c r="AA1061">
        <v>12</v>
      </c>
      <c r="AB1061">
        <v>12</v>
      </c>
      <c r="AC1061">
        <v>12</v>
      </c>
      <c r="AD1061">
        <v>12</v>
      </c>
      <c r="CH1061" t="str">
        <f t="shared" si="16"/>
        <v>D-0493</v>
      </c>
      <c r="CI1061" s="1" t="s">
        <v>102</v>
      </c>
    </row>
    <row r="1062" spans="1:87">
      <c r="A1062" t="s">
        <v>3703</v>
      </c>
      <c r="B1062">
        <v>2535</v>
      </c>
      <c r="C1062" t="s">
        <v>3500</v>
      </c>
      <c r="D1062" t="s">
        <v>1002</v>
      </c>
      <c r="E1062" t="s">
        <v>629</v>
      </c>
      <c r="F1062" t="s">
        <v>652</v>
      </c>
      <c r="G1062" t="s">
        <v>1003</v>
      </c>
      <c r="L1062">
        <v>6</v>
      </c>
      <c r="M1062">
        <v>25</v>
      </c>
      <c r="N1062">
        <v>22</v>
      </c>
      <c r="O1062">
        <v>28</v>
      </c>
      <c r="P1062">
        <v>39</v>
      </c>
      <c r="Q1062">
        <v>48</v>
      </c>
      <c r="R1062">
        <v>94</v>
      </c>
      <c r="S1062">
        <v>37</v>
      </c>
      <c r="T1062">
        <v>161</v>
      </c>
      <c r="U1062">
        <v>128</v>
      </c>
      <c r="V1062">
        <v>225</v>
      </c>
      <c r="W1062">
        <v>191</v>
      </c>
      <c r="X1062">
        <v>289</v>
      </c>
      <c r="Y1062">
        <v>258</v>
      </c>
      <c r="Z1062">
        <v>372</v>
      </c>
      <c r="AA1062">
        <v>132</v>
      </c>
      <c r="AB1062">
        <v>257</v>
      </c>
      <c r="AC1062">
        <v>109</v>
      </c>
      <c r="AD1062">
        <v>79</v>
      </c>
      <c r="AF1062">
        <v>35</v>
      </c>
      <c r="CH1062" t="str">
        <f t="shared" si="16"/>
        <v>D-0493</v>
      </c>
      <c r="CI1062" s="1" t="s">
        <v>102</v>
      </c>
    </row>
    <row r="1063" spans="1:87">
      <c r="A1063" t="s">
        <v>3704</v>
      </c>
      <c r="B1063">
        <v>24</v>
      </c>
      <c r="C1063" t="s">
        <v>3500</v>
      </c>
      <c r="D1063" t="s">
        <v>1002</v>
      </c>
      <c r="E1063" t="s">
        <v>629</v>
      </c>
      <c r="F1063" t="s">
        <v>652</v>
      </c>
      <c r="G1063" t="s">
        <v>1003</v>
      </c>
      <c r="Q1063">
        <v>2</v>
      </c>
      <c r="R1063">
        <v>2</v>
      </c>
      <c r="T1063">
        <v>2</v>
      </c>
      <c r="U1063">
        <v>2</v>
      </c>
      <c r="W1063">
        <v>2</v>
      </c>
      <c r="X1063">
        <v>2</v>
      </c>
      <c r="Y1063">
        <v>4</v>
      </c>
      <c r="Z1063">
        <v>2</v>
      </c>
      <c r="AA1063">
        <v>2</v>
      </c>
      <c r="AB1063">
        <v>2</v>
      </c>
      <c r="AC1063">
        <v>2</v>
      </c>
      <c r="CH1063" t="str">
        <f t="shared" si="16"/>
        <v>D-0493</v>
      </c>
      <c r="CI1063" s="1" t="s">
        <v>102</v>
      </c>
    </row>
    <row r="1064" spans="1:87">
      <c r="A1064" t="s">
        <v>3705</v>
      </c>
      <c r="B1064">
        <v>68</v>
      </c>
      <c r="C1064" t="s">
        <v>3500</v>
      </c>
      <c r="D1064" t="s">
        <v>1002</v>
      </c>
      <c r="E1064" t="s">
        <v>629</v>
      </c>
      <c r="F1064" t="s">
        <v>652</v>
      </c>
      <c r="G1064" t="s">
        <v>1003</v>
      </c>
      <c r="Q1064">
        <v>4</v>
      </c>
      <c r="R1064">
        <v>4</v>
      </c>
      <c r="S1064">
        <v>4</v>
      </c>
      <c r="T1064">
        <v>8</v>
      </c>
      <c r="U1064">
        <v>4</v>
      </c>
      <c r="V1064">
        <v>4</v>
      </c>
      <c r="W1064">
        <v>8</v>
      </c>
      <c r="X1064">
        <v>4</v>
      </c>
      <c r="Y1064">
        <v>8</v>
      </c>
      <c r="Z1064">
        <v>8</v>
      </c>
      <c r="AA1064">
        <v>4</v>
      </c>
      <c r="AB1064">
        <v>4</v>
      </c>
      <c r="AC1064">
        <v>4</v>
      </c>
      <c r="CH1064" t="str">
        <f t="shared" si="16"/>
        <v>D-0493</v>
      </c>
      <c r="CI1064" s="1" t="s">
        <v>102</v>
      </c>
    </row>
    <row r="1065" spans="1:87">
      <c r="A1065" t="s">
        <v>3706</v>
      </c>
      <c r="B1065">
        <v>24</v>
      </c>
      <c r="C1065" t="s">
        <v>3500</v>
      </c>
      <c r="D1065" t="s">
        <v>1002</v>
      </c>
      <c r="E1065" t="s">
        <v>629</v>
      </c>
      <c r="F1065" t="s">
        <v>652</v>
      </c>
      <c r="G1065" t="s">
        <v>1003</v>
      </c>
      <c r="Q1065">
        <v>2</v>
      </c>
      <c r="R1065">
        <v>2</v>
      </c>
      <c r="T1065">
        <v>2</v>
      </c>
      <c r="U1065">
        <v>2</v>
      </c>
      <c r="V1065">
        <v>2</v>
      </c>
      <c r="W1065">
        <v>2</v>
      </c>
      <c r="X1065">
        <v>2</v>
      </c>
      <c r="Y1065">
        <v>2</v>
      </c>
      <c r="Z1065">
        <v>2</v>
      </c>
      <c r="AA1065">
        <v>2</v>
      </c>
      <c r="AB1065">
        <v>2</v>
      </c>
      <c r="AD1065">
        <v>2</v>
      </c>
      <c r="CH1065" t="str">
        <f t="shared" si="16"/>
        <v>D-0493</v>
      </c>
      <c r="CI1065" s="1" t="s">
        <v>102</v>
      </c>
    </row>
    <row r="1066" spans="1:87">
      <c r="A1066" t="s">
        <v>3707</v>
      </c>
      <c r="B1066">
        <v>48</v>
      </c>
      <c r="C1066" t="s">
        <v>3500</v>
      </c>
      <c r="D1066" t="s">
        <v>1002</v>
      </c>
      <c r="E1066" t="s">
        <v>629</v>
      </c>
      <c r="F1066" t="s">
        <v>652</v>
      </c>
      <c r="G1066" t="s">
        <v>1003</v>
      </c>
      <c r="L1066">
        <v>1</v>
      </c>
      <c r="M1066">
        <v>3</v>
      </c>
      <c r="N1066">
        <v>3</v>
      </c>
      <c r="O1066">
        <v>6</v>
      </c>
      <c r="P1066">
        <v>6</v>
      </c>
      <c r="Q1066">
        <v>6</v>
      </c>
      <c r="R1066">
        <v>6</v>
      </c>
      <c r="S1066">
        <v>6</v>
      </c>
      <c r="T1066">
        <v>3</v>
      </c>
      <c r="U1066">
        <v>3</v>
      </c>
      <c r="V1066">
        <v>3</v>
      </c>
      <c r="W1066">
        <v>1</v>
      </c>
      <c r="X1066">
        <v>1</v>
      </c>
      <c r="CH1066" t="str">
        <f t="shared" si="16"/>
        <v>D-0493</v>
      </c>
      <c r="CI1066" s="1" t="s">
        <v>102</v>
      </c>
    </row>
    <row r="1067" spans="1:87">
      <c r="A1067" t="s">
        <v>3708</v>
      </c>
      <c r="B1067">
        <v>245</v>
      </c>
      <c r="C1067" t="s">
        <v>3500</v>
      </c>
      <c r="D1067" t="s">
        <v>1002</v>
      </c>
      <c r="E1067" t="s">
        <v>629</v>
      </c>
      <c r="F1067" t="s">
        <v>652</v>
      </c>
      <c r="G1067" t="s">
        <v>1003</v>
      </c>
      <c r="L1067">
        <v>1</v>
      </c>
      <c r="M1067">
        <v>7</v>
      </c>
      <c r="N1067">
        <v>3</v>
      </c>
      <c r="O1067">
        <v>12</v>
      </c>
      <c r="P1067">
        <v>4</v>
      </c>
      <c r="Q1067">
        <v>18</v>
      </c>
      <c r="R1067">
        <v>18</v>
      </c>
      <c r="S1067">
        <v>5</v>
      </c>
      <c r="T1067">
        <v>17</v>
      </c>
      <c r="U1067">
        <v>16</v>
      </c>
      <c r="V1067">
        <v>11</v>
      </c>
      <c r="W1067">
        <v>24</v>
      </c>
      <c r="X1067">
        <v>11</v>
      </c>
      <c r="Y1067">
        <v>31</v>
      </c>
      <c r="Z1067">
        <v>31</v>
      </c>
      <c r="AA1067">
        <v>9</v>
      </c>
      <c r="AB1067">
        <v>15</v>
      </c>
      <c r="AC1067">
        <v>9</v>
      </c>
      <c r="AD1067">
        <v>2</v>
      </c>
      <c r="AF1067">
        <v>1</v>
      </c>
      <c r="CH1067" t="str">
        <f t="shared" si="16"/>
        <v>D-0493</v>
      </c>
      <c r="CI1067" s="1" t="s">
        <v>102</v>
      </c>
    </row>
    <row r="1068" spans="1:87">
      <c r="A1068" t="s">
        <v>3709</v>
      </c>
      <c r="B1068">
        <v>1195</v>
      </c>
      <c r="C1068" t="s">
        <v>3500</v>
      </c>
      <c r="D1068" t="s">
        <v>1002</v>
      </c>
      <c r="E1068" t="s">
        <v>629</v>
      </c>
      <c r="F1068" t="s">
        <v>652</v>
      </c>
      <c r="G1068" t="s">
        <v>1003</v>
      </c>
      <c r="L1068">
        <v>9</v>
      </c>
      <c r="M1068">
        <v>30</v>
      </c>
      <c r="N1068">
        <v>27</v>
      </c>
      <c r="O1068">
        <v>50</v>
      </c>
      <c r="P1068">
        <v>37</v>
      </c>
      <c r="Q1068">
        <v>45</v>
      </c>
      <c r="R1068">
        <v>48</v>
      </c>
      <c r="S1068">
        <v>22</v>
      </c>
      <c r="T1068">
        <v>132</v>
      </c>
      <c r="U1068">
        <v>162</v>
      </c>
      <c r="V1068">
        <v>89</v>
      </c>
      <c r="W1068">
        <v>178</v>
      </c>
      <c r="X1068">
        <v>103</v>
      </c>
      <c r="Y1068">
        <v>143</v>
      </c>
      <c r="Z1068">
        <v>78</v>
      </c>
      <c r="AA1068">
        <v>25</v>
      </c>
      <c r="AB1068">
        <v>17</v>
      </c>
      <c r="CH1068" t="str">
        <f t="shared" si="16"/>
        <v>D-0493</v>
      </c>
      <c r="CI1068" s="1" t="s">
        <v>102</v>
      </c>
    </row>
    <row r="1069" spans="1:87">
      <c r="A1069" t="s">
        <v>3710</v>
      </c>
      <c r="B1069">
        <v>98</v>
      </c>
      <c r="C1069" t="s">
        <v>3500</v>
      </c>
      <c r="D1069" t="s">
        <v>1002</v>
      </c>
      <c r="E1069" t="s">
        <v>629</v>
      </c>
      <c r="F1069" t="s">
        <v>652</v>
      </c>
      <c r="G1069" t="s">
        <v>1003</v>
      </c>
      <c r="N1069">
        <v>1</v>
      </c>
      <c r="O1069">
        <v>2</v>
      </c>
      <c r="P1069">
        <v>2</v>
      </c>
      <c r="Q1069">
        <v>2</v>
      </c>
      <c r="R1069">
        <v>2</v>
      </c>
      <c r="S1069">
        <v>5</v>
      </c>
      <c r="T1069">
        <v>7</v>
      </c>
      <c r="U1069">
        <v>9</v>
      </c>
      <c r="V1069">
        <v>11</v>
      </c>
      <c r="W1069">
        <v>12</v>
      </c>
      <c r="X1069">
        <v>12</v>
      </c>
      <c r="Y1069">
        <v>12</v>
      </c>
      <c r="Z1069">
        <v>11</v>
      </c>
      <c r="AA1069">
        <v>6</v>
      </c>
      <c r="AB1069">
        <v>3</v>
      </c>
      <c r="AD1069">
        <v>1</v>
      </c>
      <c r="CH1069" t="str">
        <f t="shared" si="16"/>
        <v>D-0493</v>
      </c>
      <c r="CI1069" s="1" t="s">
        <v>102</v>
      </c>
    </row>
    <row r="1070" spans="1:87">
      <c r="A1070" t="s">
        <v>3711</v>
      </c>
      <c r="B1070">
        <v>559</v>
      </c>
      <c r="C1070" t="s">
        <v>3500</v>
      </c>
      <c r="D1070" t="s">
        <v>1002</v>
      </c>
      <c r="E1070" t="s">
        <v>629</v>
      </c>
      <c r="F1070" t="s">
        <v>652</v>
      </c>
      <c r="G1070" t="s">
        <v>1003</v>
      </c>
      <c r="M1070">
        <v>9</v>
      </c>
      <c r="N1070">
        <v>15</v>
      </c>
      <c r="O1070">
        <v>19</v>
      </c>
      <c r="P1070">
        <v>20</v>
      </c>
      <c r="Q1070">
        <v>21</v>
      </c>
      <c r="R1070">
        <v>8</v>
      </c>
      <c r="S1070">
        <v>18</v>
      </c>
      <c r="T1070">
        <v>22</v>
      </c>
      <c r="U1070">
        <v>30</v>
      </c>
      <c r="V1070">
        <v>58</v>
      </c>
      <c r="W1070">
        <v>77</v>
      </c>
      <c r="X1070">
        <v>82</v>
      </c>
      <c r="Y1070">
        <v>68</v>
      </c>
      <c r="Z1070">
        <v>55</v>
      </c>
      <c r="AA1070">
        <v>40</v>
      </c>
      <c r="AB1070">
        <v>15</v>
      </c>
      <c r="AD1070">
        <v>2</v>
      </c>
      <c r="CH1070" t="str">
        <f t="shared" si="16"/>
        <v>D-0493</v>
      </c>
      <c r="CI1070" s="1" t="s">
        <v>102</v>
      </c>
    </row>
    <row r="1071" spans="1:87">
      <c r="A1071" t="s">
        <v>3712</v>
      </c>
      <c r="B1071">
        <v>228</v>
      </c>
      <c r="C1071" t="s">
        <v>3500</v>
      </c>
      <c r="D1071" t="s">
        <v>1002</v>
      </c>
      <c r="E1071" t="s">
        <v>629</v>
      </c>
      <c r="F1071" t="s">
        <v>652</v>
      </c>
      <c r="G1071" t="s">
        <v>1003</v>
      </c>
      <c r="O1071">
        <v>19</v>
      </c>
      <c r="Q1071">
        <v>19</v>
      </c>
      <c r="R1071">
        <v>19</v>
      </c>
      <c r="T1071">
        <v>19</v>
      </c>
      <c r="U1071">
        <v>38</v>
      </c>
      <c r="W1071">
        <v>38</v>
      </c>
      <c r="Y1071">
        <v>38</v>
      </c>
      <c r="Z1071">
        <v>38</v>
      </c>
      <c r="CH1071" t="str">
        <f t="shared" si="16"/>
        <v>D-0493</v>
      </c>
      <c r="CI1071" s="1" t="s">
        <v>102</v>
      </c>
    </row>
    <row r="1072" spans="1:87">
      <c r="A1072" t="s">
        <v>3713</v>
      </c>
      <c r="B1072">
        <v>1104</v>
      </c>
      <c r="C1072" t="s">
        <v>3500</v>
      </c>
      <c r="D1072" t="s">
        <v>1002</v>
      </c>
      <c r="E1072" t="s">
        <v>629</v>
      </c>
      <c r="F1072" t="s">
        <v>652</v>
      </c>
      <c r="G1072" t="s">
        <v>1003</v>
      </c>
      <c r="L1072">
        <v>6</v>
      </c>
      <c r="N1072">
        <v>30</v>
      </c>
      <c r="P1072">
        <v>72</v>
      </c>
      <c r="R1072">
        <v>108</v>
      </c>
      <c r="T1072">
        <v>168</v>
      </c>
      <c r="V1072">
        <v>168</v>
      </c>
      <c r="X1072">
        <v>156</v>
      </c>
      <c r="Z1072">
        <v>156</v>
      </c>
      <c r="AB1072">
        <v>144</v>
      </c>
      <c r="AD1072">
        <v>90</v>
      </c>
      <c r="AF1072">
        <v>6</v>
      </c>
      <c r="CH1072" t="str">
        <f t="shared" si="16"/>
        <v>D-0493</v>
      </c>
      <c r="CI1072" s="1" t="s">
        <v>102</v>
      </c>
    </row>
    <row r="1073" spans="1:87">
      <c r="A1073" t="s">
        <v>3714</v>
      </c>
      <c r="B1073">
        <v>62</v>
      </c>
      <c r="C1073" t="s">
        <v>3500</v>
      </c>
      <c r="D1073" t="s">
        <v>1002</v>
      </c>
      <c r="E1073" t="s">
        <v>629</v>
      </c>
      <c r="F1073" t="s">
        <v>652</v>
      </c>
      <c r="G1073" t="s">
        <v>1003</v>
      </c>
      <c r="N1073">
        <v>1</v>
      </c>
      <c r="P1073">
        <v>4</v>
      </c>
      <c r="R1073">
        <v>7</v>
      </c>
      <c r="T1073">
        <v>9</v>
      </c>
      <c r="V1073">
        <v>10</v>
      </c>
      <c r="X1073">
        <v>9</v>
      </c>
      <c r="Z1073">
        <v>9</v>
      </c>
      <c r="AB1073">
        <v>6</v>
      </c>
      <c r="AD1073">
        <v>4</v>
      </c>
      <c r="AF1073">
        <v>3</v>
      </c>
      <c r="CH1073" t="str">
        <f t="shared" si="16"/>
        <v>D-0493</v>
      </c>
      <c r="CI1073" s="1" t="s">
        <v>102</v>
      </c>
    </row>
    <row r="1074" spans="1:87">
      <c r="A1074" t="s">
        <v>3715</v>
      </c>
      <c r="B1074">
        <v>222</v>
      </c>
      <c r="C1074" t="s">
        <v>3500</v>
      </c>
      <c r="D1074" t="s">
        <v>1002</v>
      </c>
      <c r="E1074" t="s">
        <v>629</v>
      </c>
      <c r="F1074" t="s">
        <v>652</v>
      </c>
      <c r="G1074" t="s">
        <v>1003</v>
      </c>
      <c r="M1074">
        <v>11</v>
      </c>
      <c r="O1074">
        <v>22</v>
      </c>
      <c r="Q1074">
        <v>25</v>
      </c>
      <c r="R1074">
        <v>29</v>
      </c>
      <c r="T1074">
        <v>27</v>
      </c>
      <c r="U1074">
        <v>32</v>
      </c>
      <c r="W1074">
        <v>32</v>
      </c>
      <c r="Y1074">
        <v>20</v>
      </c>
      <c r="Z1074">
        <v>13</v>
      </c>
      <c r="AB1074">
        <v>11</v>
      </c>
      <c r="CH1074" t="str">
        <f t="shared" si="16"/>
        <v>D-0493</v>
      </c>
      <c r="CI1074" s="1" t="s">
        <v>102</v>
      </c>
    </row>
    <row r="1075" spans="1:87">
      <c r="A1075" t="s">
        <v>3716</v>
      </c>
      <c r="B1075">
        <v>1212</v>
      </c>
      <c r="C1075" t="s">
        <v>3500</v>
      </c>
      <c r="D1075" t="s">
        <v>1002</v>
      </c>
      <c r="E1075" t="s">
        <v>629</v>
      </c>
      <c r="F1075" t="s">
        <v>652</v>
      </c>
      <c r="G1075" t="s">
        <v>1003</v>
      </c>
      <c r="L1075">
        <v>24</v>
      </c>
      <c r="M1075">
        <v>60</v>
      </c>
      <c r="N1075">
        <v>48</v>
      </c>
      <c r="O1075">
        <v>24</v>
      </c>
      <c r="P1075">
        <v>60</v>
      </c>
      <c r="Q1075">
        <v>72</v>
      </c>
      <c r="R1075">
        <v>36</v>
      </c>
      <c r="S1075">
        <v>72</v>
      </c>
      <c r="T1075">
        <v>96</v>
      </c>
      <c r="U1075">
        <v>120</v>
      </c>
      <c r="V1075">
        <v>156</v>
      </c>
      <c r="W1075">
        <v>156</v>
      </c>
      <c r="X1075">
        <v>72</v>
      </c>
      <c r="Y1075">
        <v>96</v>
      </c>
      <c r="Z1075">
        <v>36</v>
      </c>
      <c r="AA1075">
        <v>36</v>
      </c>
      <c r="AB1075">
        <v>24</v>
      </c>
      <c r="AC1075">
        <v>24</v>
      </c>
      <c r="CH1075" t="str">
        <f t="shared" si="16"/>
        <v>D-0493</v>
      </c>
      <c r="CI1075" s="1" t="s">
        <v>102</v>
      </c>
    </row>
    <row r="1076" spans="1:87">
      <c r="A1076" t="s">
        <v>3717</v>
      </c>
      <c r="B1076">
        <v>360</v>
      </c>
      <c r="C1076" t="s">
        <v>3500</v>
      </c>
      <c r="D1076" t="s">
        <v>1002</v>
      </c>
      <c r="E1076" t="s">
        <v>629</v>
      </c>
      <c r="F1076" t="s">
        <v>652</v>
      </c>
      <c r="G1076" t="s">
        <v>1003</v>
      </c>
      <c r="M1076">
        <v>20</v>
      </c>
      <c r="N1076">
        <v>20</v>
      </c>
      <c r="O1076">
        <v>30</v>
      </c>
      <c r="P1076">
        <v>20</v>
      </c>
      <c r="Q1076">
        <v>20</v>
      </c>
      <c r="R1076">
        <v>10</v>
      </c>
      <c r="S1076">
        <v>20</v>
      </c>
      <c r="T1076">
        <v>40</v>
      </c>
      <c r="U1076">
        <v>40</v>
      </c>
      <c r="V1076">
        <v>40</v>
      </c>
      <c r="W1076">
        <v>40</v>
      </c>
      <c r="X1076">
        <v>20</v>
      </c>
      <c r="Y1076">
        <v>20</v>
      </c>
      <c r="Z1076">
        <v>20</v>
      </c>
      <c r="CH1076" t="str">
        <f t="shared" si="16"/>
        <v>D-0493</v>
      </c>
      <c r="CI1076" s="1" t="s">
        <v>102</v>
      </c>
    </row>
    <row r="1077" spans="1:87">
      <c r="A1077" t="s">
        <v>3718</v>
      </c>
      <c r="B1077">
        <v>180</v>
      </c>
      <c r="C1077" t="s">
        <v>3500</v>
      </c>
      <c r="D1077" t="s">
        <v>1002</v>
      </c>
      <c r="E1077" t="s">
        <v>629</v>
      </c>
      <c r="F1077" t="s">
        <v>652</v>
      </c>
      <c r="G1077" t="s">
        <v>1003</v>
      </c>
      <c r="P1077">
        <v>12</v>
      </c>
      <c r="R1077">
        <v>12</v>
      </c>
      <c r="T1077">
        <v>12</v>
      </c>
      <c r="V1077">
        <v>13</v>
      </c>
      <c r="W1077">
        <v>13</v>
      </c>
      <c r="X1077">
        <v>15</v>
      </c>
      <c r="Y1077">
        <v>25</v>
      </c>
      <c r="Z1077">
        <v>27</v>
      </c>
      <c r="AA1077">
        <v>25</v>
      </c>
      <c r="AB1077">
        <v>13</v>
      </c>
      <c r="AD1077">
        <v>7</v>
      </c>
      <c r="AF1077">
        <v>6</v>
      </c>
      <c r="CH1077" t="str">
        <f t="shared" si="16"/>
        <v>D-0493</v>
      </c>
      <c r="CI1077" s="1" t="s">
        <v>102</v>
      </c>
    </row>
    <row r="1078" spans="1:87">
      <c r="A1078" t="s">
        <v>3719</v>
      </c>
      <c r="B1078">
        <v>36</v>
      </c>
      <c r="C1078" t="s">
        <v>3500</v>
      </c>
      <c r="D1078" t="s">
        <v>1002</v>
      </c>
      <c r="E1078" t="s">
        <v>629</v>
      </c>
      <c r="F1078" t="s">
        <v>652</v>
      </c>
      <c r="G1078" t="s">
        <v>1003</v>
      </c>
      <c r="T1078">
        <v>3</v>
      </c>
      <c r="U1078">
        <v>6</v>
      </c>
      <c r="W1078">
        <v>9</v>
      </c>
      <c r="Y1078">
        <v>9</v>
      </c>
      <c r="Z1078">
        <v>6</v>
      </c>
      <c r="AB1078">
        <v>3</v>
      </c>
      <c r="CH1078" t="str">
        <f t="shared" si="16"/>
        <v>D-0493</v>
      </c>
      <c r="CI1078" s="1" t="s">
        <v>102</v>
      </c>
    </row>
    <row r="1079" spans="1:87">
      <c r="A1079" t="s">
        <v>3720</v>
      </c>
      <c r="B1079">
        <v>105</v>
      </c>
      <c r="C1079" t="s">
        <v>3500</v>
      </c>
      <c r="D1079" t="s">
        <v>1002</v>
      </c>
      <c r="E1079" t="s">
        <v>629</v>
      </c>
      <c r="F1079" t="s">
        <v>652</v>
      </c>
      <c r="G1079" t="s">
        <v>1003</v>
      </c>
      <c r="M1079">
        <v>7</v>
      </c>
      <c r="O1079">
        <v>7</v>
      </c>
      <c r="P1079">
        <v>7</v>
      </c>
      <c r="Q1079">
        <v>7</v>
      </c>
      <c r="R1079">
        <v>7</v>
      </c>
      <c r="T1079">
        <v>7</v>
      </c>
      <c r="U1079">
        <v>7</v>
      </c>
      <c r="W1079">
        <v>14</v>
      </c>
      <c r="X1079">
        <v>7</v>
      </c>
      <c r="Y1079">
        <v>14</v>
      </c>
      <c r="Z1079">
        <v>7</v>
      </c>
      <c r="AB1079">
        <v>7</v>
      </c>
      <c r="AC1079">
        <v>7</v>
      </c>
      <c r="CH1079" t="str">
        <f t="shared" si="16"/>
        <v>D-0493</v>
      </c>
      <c r="CI1079" s="1" t="s">
        <v>102</v>
      </c>
    </row>
    <row r="1080" spans="1:87">
      <c r="A1080" t="s">
        <v>3721</v>
      </c>
      <c r="B1080">
        <v>343</v>
      </c>
      <c r="C1080" t="s">
        <v>3500</v>
      </c>
      <c r="D1080" t="s">
        <v>1002</v>
      </c>
      <c r="E1080" t="s">
        <v>629</v>
      </c>
      <c r="F1080" t="s">
        <v>652</v>
      </c>
      <c r="G1080" t="s">
        <v>1003</v>
      </c>
      <c r="T1080">
        <v>35</v>
      </c>
      <c r="V1080">
        <v>94</v>
      </c>
      <c r="X1080">
        <v>107</v>
      </c>
      <c r="Z1080">
        <v>72</v>
      </c>
      <c r="AB1080">
        <v>35</v>
      </c>
      <c r="CH1080" t="str">
        <f t="shared" si="16"/>
        <v>D-0493</v>
      </c>
      <c r="CI1080" s="1" t="s">
        <v>102</v>
      </c>
    </row>
    <row r="1081" spans="1:87">
      <c r="A1081" t="s">
        <v>3722</v>
      </c>
      <c r="B1081">
        <v>84</v>
      </c>
      <c r="C1081" t="s">
        <v>3500</v>
      </c>
      <c r="D1081" t="s">
        <v>1002</v>
      </c>
      <c r="E1081" t="s">
        <v>629</v>
      </c>
      <c r="F1081" t="s">
        <v>652</v>
      </c>
      <c r="G1081" t="s">
        <v>1003</v>
      </c>
      <c r="T1081">
        <v>3</v>
      </c>
      <c r="V1081">
        <v>8</v>
      </c>
      <c r="X1081">
        <v>32</v>
      </c>
      <c r="Z1081">
        <v>24</v>
      </c>
      <c r="AB1081">
        <v>12</v>
      </c>
      <c r="AD1081">
        <v>5</v>
      </c>
      <c r="CH1081" t="str">
        <f t="shared" si="16"/>
        <v>D-0493</v>
      </c>
      <c r="CI1081" s="1" t="s">
        <v>102</v>
      </c>
    </row>
    <row r="1082" spans="1:87">
      <c r="A1082" t="s">
        <v>3723</v>
      </c>
      <c r="B1082">
        <v>216</v>
      </c>
      <c r="C1082" t="s">
        <v>3500</v>
      </c>
      <c r="D1082" t="s">
        <v>1002</v>
      </c>
      <c r="E1082" t="s">
        <v>629</v>
      </c>
      <c r="F1082" t="s">
        <v>652</v>
      </c>
      <c r="G1082" t="s">
        <v>1003</v>
      </c>
      <c r="S1082">
        <v>18</v>
      </c>
      <c r="T1082">
        <v>36</v>
      </c>
      <c r="U1082">
        <v>36</v>
      </c>
      <c r="V1082">
        <v>36</v>
      </c>
      <c r="W1082">
        <v>36</v>
      </c>
      <c r="X1082">
        <v>18</v>
      </c>
      <c r="Y1082">
        <v>18</v>
      </c>
      <c r="Z1082">
        <v>18</v>
      </c>
      <c r="CH1082" t="str">
        <f t="shared" si="16"/>
        <v>D-0493</v>
      </c>
      <c r="CI1082" s="1" t="s">
        <v>102</v>
      </c>
    </row>
    <row r="1083" spans="1:87">
      <c r="A1083" t="s">
        <v>3724</v>
      </c>
      <c r="B1083">
        <v>36</v>
      </c>
      <c r="C1083" t="s">
        <v>3500</v>
      </c>
      <c r="D1083" t="s">
        <v>1002</v>
      </c>
      <c r="E1083" t="s">
        <v>629</v>
      </c>
      <c r="F1083" t="s">
        <v>652</v>
      </c>
      <c r="G1083" t="s">
        <v>1003</v>
      </c>
      <c r="S1083">
        <v>3</v>
      </c>
      <c r="T1083">
        <v>6</v>
      </c>
      <c r="U1083">
        <v>6</v>
      </c>
      <c r="V1083">
        <v>6</v>
      </c>
      <c r="W1083">
        <v>6</v>
      </c>
      <c r="X1083">
        <v>3</v>
      </c>
      <c r="Y1083">
        <v>3</v>
      </c>
      <c r="Z1083">
        <v>3</v>
      </c>
      <c r="CH1083" t="str">
        <f t="shared" si="16"/>
        <v>D-0493</v>
      </c>
      <c r="CI1083" s="1" t="s">
        <v>102</v>
      </c>
    </row>
    <row r="1084" spans="1:87">
      <c r="A1084" t="s">
        <v>3725</v>
      </c>
      <c r="B1084">
        <v>48</v>
      </c>
      <c r="C1084" t="s">
        <v>3500</v>
      </c>
      <c r="D1084" t="s">
        <v>1002</v>
      </c>
      <c r="E1084" t="s">
        <v>629</v>
      </c>
      <c r="F1084" t="s">
        <v>652</v>
      </c>
      <c r="G1084" t="s">
        <v>1003</v>
      </c>
      <c r="S1084">
        <v>4</v>
      </c>
      <c r="T1084">
        <v>8</v>
      </c>
      <c r="U1084">
        <v>8</v>
      </c>
      <c r="V1084">
        <v>8</v>
      </c>
      <c r="W1084">
        <v>8</v>
      </c>
      <c r="X1084">
        <v>8</v>
      </c>
      <c r="Y1084">
        <v>4</v>
      </c>
      <c r="CH1084" t="str">
        <f t="shared" si="16"/>
        <v>D-0493</v>
      </c>
      <c r="CI1084" s="1" t="s">
        <v>102</v>
      </c>
    </row>
    <row r="1085" spans="1:87">
      <c r="A1085" t="s">
        <v>3726</v>
      </c>
      <c r="B1085">
        <v>24</v>
      </c>
      <c r="C1085" t="s">
        <v>3500</v>
      </c>
      <c r="D1085" t="s">
        <v>1002</v>
      </c>
      <c r="E1085" t="s">
        <v>629</v>
      </c>
      <c r="F1085" t="s">
        <v>652</v>
      </c>
      <c r="G1085" t="s">
        <v>1003</v>
      </c>
      <c r="N1085">
        <v>2</v>
      </c>
      <c r="O1085">
        <v>2</v>
      </c>
      <c r="P1085">
        <v>2</v>
      </c>
      <c r="Q1085">
        <v>4</v>
      </c>
      <c r="R1085">
        <v>4</v>
      </c>
      <c r="S1085">
        <v>4</v>
      </c>
      <c r="T1085">
        <v>2</v>
      </c>
      <c r="U1085">
        <v>2</v>
      </c>
      <c r="V1085">
        <v>2</v>
      </c>
      <c r="CH1085" t="str">
        <f t="shared" si="16"/>
        <v>D-0493</v>
      </c>
      <c r="CI1085" s="1" t="s">
        <v>102</v>
      </c>
    </row>
    <row r="1086" spans="1:87">
      <c r="A1086" t="s">
        <v>3727</v>
      </c>
      <c r="B1086">
        <v>24</v>
      </c>
      <c r="C1086" t="s">
        <v>3500</v>
      </c>
      <c r="D1086" t="s">
        <v>1002</v>
      </c>
      <c r="E1086" t="s">
        <v>629</v>
      </c>
      <c r="F1086" t="s">
        <v>652</v>
      </c>
      <c r="G1086" t="s">
        <v>1003</v>
      </c>
      <c r="T1086">
        <v>2</v>
      </c>
      <c r="U1086">
        <v>2</v>
      </c>
      <c r="V1086">
        <v>2</v>
      </c>
      <c r="W1086">
        <v>4</v>
      </c>
      <c r="X1086">
        <v>4</v>
      </c>
      <c r="Y1086">
        <v>4</v>
      </c>
      <c r="Z1086">
        <v>2</v>
      </c>
      <c r="AA1086">
        <v>2</v>
      </c>
      <c r="AB1086">
        <v>2</v>
      </c>
      <c r="CH1086" t="str">
        <f t="shared" si="16"/>
        <v>D-0493</v>
      </c>
      <c r="CI1086" s="1" t="s">
        <v>102</v>
      </c>
    </row>
    <row r="1087" spans="1:87">
      <c r="A1087" t="s">
        <v>3728</v>
      </c>
      <c r="B1087">
        <v>24</v>
      </c>
      <c r="C1087" t="s">
        <v>3500</v>
      </c>
      <c r="D1087" t="s">
        <v>1002</v>
      </c>
      <c r="E1087" t="s">
        <v>629</v>
      </c>
      <c r="F1087" t="s">
        <v>652</v>
      </c>
      <c r="G1087" t="s">
        <v>1003</v>
      </c>
      <c r="L1087">
        <v>2</v>
      </c>
      <c r="M1087">
        <v>4</v>
      </c>
      <c r="N1087">
        <v>4</v>
      </c>
      <c r="O1087">
        <v>4</v>
      </c>
      <c r="P1087">
        <v>4</v>
      </c>
      <c r="Q1087">
        <v>4</v>
      </c>
      <c r="R1087">
        <v>2</v>
      </c>
      <c r="CH1087" t="str">
        <f t="shared" si="16"/>
        <v>D-0493</v>
      </c>
      <c r="CI1087" s="1" t="s">
        <v>102</v>
      </c>
    </row>
    <row r="1088" spans="1:87">
      <c r="A1088" t="s">
        <v>3729</v>
      </c>
      <c r="B1088">
        <v>114</v>
      </c>
      <c r="C1088" t="s">
        <v>3500</v>
      </c>
      <c r="D1088" t="s">
        <v>1002</v>
      </c>
      <c r="E1088" t="s">
        <v>629</v>
      </c>
      <c r="F1088" t="s">
        <v>652</v>
      </c>
      <c r="G1088" t="s">
        <v>1003</v>
      </c>
      <c r="T1088">
        <v>10</v>
      </c>
      <c r="U1088">
        <v>16</v>
      </c>
      <c r="V1088">
        <v>10</v>
      </c>
      <c r="W1088">
        <v>22</v>
      </c>
      <c r="X1088">
        <v>8</v>
      </c>
      <c r="Y1088">
        <v>22</v>
      </c>
      <c r="Z1088">
        <v>18</v>
      </c>
      <c r="AA1088">
        <v>8</v>
      </c>
      <c r="CH1088" t="str">
        <f t="shared" si="16"/>
        <v>D-0493</v>
      </c>
      <c r="CI1088" s="1" t="s">
        <v>102</v>
      </c>
    </row>
    <row r="1089" spans="1:87">
      <c r="A1089" t="s">
        <v>3730</v>
      </c>
      <c r="B1089">
        <v>162</v>
      </c>
      <c r="C1089" t="s">
        <v>3500</v>
      </c>
      <c r="D1089" t="s">
        <v>1002</v>
      </c>
      <c r="E1089" t="s">
        <v>629</v>
      </c>
      <c r="F1089" t="s">
        <v>652</v>
      </c>
      <c r="G1089" t="s">
        <v>1003</v>
      </c>
      <c r="T1089">
        <v>26</v>
      </c>
      <c r="V1089">
        <v>40</v>
      </c>
      <c r="X1089">
        <v>40</v>
      </c>
      <c r="Z1089">
        <v>28</v>
      </c>
      <c r="AB1089">
        <v>16</v>
      </c>
      <c r="AD1089">
        <v>12</v>
      </c>
      <c r="CH1089" t="str">
        <f t="shared" si="16"/>
        <v>D-0493</v>
      </c>
      <c r="CI1089" s="1" t="s">
        <v>102</v>
      </c>
    </row>
    <row r="1090" spans="1:87">
      <c r="A1090" t="s">
        <v>3731</v>
      </c>
      <c r="B1090">
        <v>120</v>
      </c>
      <c r="C1090" t="s">
        <v>3500</v>
      </c>
      <c r="D1090" t="s">
        <v>1002</v>
      </c>
      <c r="E1090" t="s">
        <v>629</v>
      </c>
      <c r="F1090" t="s">
        <v>652</v>
      </c>
      <c r="G1090" t="s">
        <v>1003</v>
      </c>
      <c r="T1090">
        <v>20</v>
      </c>
      <c r="V1090">
        <v>30</v>
      </c>
      <c r="X1090">
        <v>30</v>
      </c>
      <c r="Z1090">
        <v>20</v>
      </c>
      <c r="AB1090">
        <v>10</v>
      </c>
      <c r="AD1090">
        <v>10</v>
      </c>
      <c r="CH1090" t="str">
        <f t="shared" ref="CH1090:CH1153" si="17">TRIM(IFERROR(IFERROR(MID($D1090,FIND("(D-",$D1090)+1,6),LEFT($D1090,FIND("(",$D1090)-1)),$D1090))</f>
        <v>D-0493</v>
      </c>
      <c r="CI1090" s="1" t="s">
        <v>102</v>
      </c>
    </row>
    <row r="1091" spans="1:87">
      <c r="A1091" t="s">
        <v>3732</v>
      </c>
      <c r="B1091">
        <v>840</v>
      </c>
      <c r="C1091" t="s">
        <v>3500</v>
      </c>
      <c r="D1091" t="s">
        <v>1002</v>
      </c>
      <c r="E1091" t="s">
        <v>629</v>
      </c>
      <c r="F1091" t="s">
        <v>652</v>
      </c>
      <c r="G1091" t="s">
        <v>1003</v>
      </c>
      <c r="L1091">
        <v>36</v>
      </c>
      <c r="M1091">
        <v>36</v>
      </c>
      <c r="N1091">
        <v>48</v>
      </c>
      <c r="O1091">
        <v>48</v>
      </c>
      <c r="P1091">
        <v>48</v>
      </c>
      <c r="R1091">
        <v>108</v>
      </c>
      <c r="S1091">
        <v>72</v>
      </c>
      <c r="T1091">
        <v>96</v>
      </c>
      <c r="U1091">
        <v>84</v>
      </c>
      <c r="V1091">
        <v>84</v>
      </c>
      <c r="W1091">
        <v>60</v>
      </c>
      <c r="X1091">
        <v>48</v>
      </c>
      <c r="Y1091">
        <v>12</v>
      </c>
      <c r="Z1091">
        <v>48</v>
      </c>
      <c r="AA1091">
        <v>12</v>
      </c>
      <c r="CH1091" t="str">
        <f t="shared" si="17"/>
        <v>D-0493</v>
      </c>
      <c r="CI1091" s="1" t="s">
        <v>102</v>
      </c>
    </row>
    <row r="1092" spans="1:87">
      <c r="A1092" t="s">
        <v>3733</v>
      </c>
      <c r="B1092">
        <v>234</v>
      </c>
      <c r="C1092" t="s">
        <v>3500</v>
      </c>
      <c r="D1092" t="s">
        <v>1002</v>
      </c>
      <c r="E1092" t="s">
        <v>629</v>
      </c>
      <c r="F1092" t="s">
        <v>652</v>
      </c>
      <c r="G1092" t="s">
        <v>1003</v>
      </c>
      <c r="T1092">
        <v>26</v>
      </c>
      <c r="U1092">
        <v>26</v>
      </c>
      <c r="W1092">
        <v>78</v>
      </c>
      <c r="Y1092">
        <v>52</v>
      </c>
      <c r="Z1092">
        <v>26</v>
      </c>
      <c r="AB1092">
        <v>26</v>
      </c>
      <c r="CH1092" t="str">
        <f t="shared" si="17"/>
        <v>D-0493</v>
      </c>
      <c r="CI1092" s="1" t="s">
        <v>102</v>
      </c>
    </row>
    <row r="1093" spans="1:87">
      <c r="A1093" t="s">
        <v>3734</v>
      </c>
      <c r="B1093">
        <v>90</v>
      </c>
      <c r="C1093" t="s">
        <v>3500</v>
      </c>
      <c r="D1093" t="s">
        <v>1002</v>
      </c>
      <c r="E1093" t="s">
        <v>629</v>
      </c>
      <c r="F1093" t="s">
        <v>652</v>
      </c>
      <c r="G1093" t="s">
        <v>1003</v>
      </c>
      <c r="O1093">
        <v>4</v>
      </c>
      <c r="P1093">
        <v>4</v>
      </c>
      <c r="Q1093">
        <v>4</v>
      </c>
      <c r="R1093">
        <v>4</v>
      </c>
      <c r="S1093">
        <v>4</v>
      </c>
      <c r="T1093">
        <v>6</v>
      </c>
      <c r="U1093">
        <v>7</v>
      </c>
      <c r="V1093">
        <v>4</v>
      </c>
      <c r="W1093">
        <v>8</v>
      </c>
      <c r="X1093">
        <v>5</v>
      </c>
      <c r="Y1093">
        <v>9</v>
      </c>
      <c r="Z1093">
        <v>9</v>
      </c>
      <c r="AA1093">
        <v>5</v>
      </c>
      <c r="AB1093">
        <v>7</v>
      </c>
      <c r="AC1093">
        <v>6</v>
      </c>
      <c r="AD1093">
        <v>4</v>
      </c>
      <c r="CH1093" t="str">
        <f t="shared" si="17"/>
        <v>D-0493</v>
      </c>
      <c r="CI1093" s="1" t="s">
        <v>102</v>
      </c>
    </row>
    <row r="1094" spans="1:87">
      <c r="A1094" t="s">
        <v>3735</v>
      </c>
      <c r="B1094">
        <v>140</v>
      </c>
      <c r="C1094" t="s">
        <v>3500</v>
      </c>
      <c r="D1094" t="s">
        <v>1002</v>
      </c>
      <c r="E1094" t="s">
        <v>629</v>
      </c>
      <c r="F1094" t="s">
        <v>652</v>
      </c>
      <c r="G1094" t="s">
        <v>1003</v>
      </c>
      <c r="N1094">
        <v>6</v>
      </c>
      <c r="P1094">
        <v>6</v>
      </c>
      <c r="S1094">
        <v>14</v>
      </c>
      <c r="T1094">
        <v>4</v>
      </c>
      <c r="U1094">
        <v>27</v>
      </c>
      <c r="V1094">
        <v>6</v>
      </c>
      <c r="W1094">
        <v>30</v>
      </c>
      <c r="X1094">
        <v>9</v>
      </c>
      <c r="Y1094">
        <v>22</v>
      </c>
      <c r="Z1094">
        <v>4</v>
      </c>
      <c r="AA1094">
        <v>8</v>
      </c>
      <c r="AB1094">
        <v>2</v>
      </c>
      <c r="AC1094">
        <v>2</v>
      </c>
      <c r="CH1094" t="str">
        <f t="shared" si="17"/>
        <v>D-0493</v>
      </c>
      <c r="CI1094" s="1" t="s">
        <v>102</v>
      </c>
    </row>
    <row r="1095" spans="1:87">
      <c r="A1095" t="s">
        <v>758</v>
      </c>
      <c r="B1095">
        <v>1</v>
      </c>
      <c r="C1095" t="s">
        <v>759</v>
      </c>
      <c r="D1095" t="s">
        <v>124</v>
      </c>
      <c r="E1095" t="s">
        <v>629</v>
      </c>
      <c r="F1095" t="s">
        <v>760</v>
      </c>
      <c r="G1095" t="s">
        <v>761</v>
      </c>
      <c r="Y1095">
        <v>1</v>
      </c>
      <c r="CH1095" t="str">
        <f t="shared" si="17"/>
        <v>D-0015</v>
      </c>
      <c r="CI1095" s="1" t="s">
        <v>102</v>
      </c>
    </row>
    <row r="1096" spans="1:87">
      <c r="A1096" t="s">
        <v>762</v>
      </c>
      <c r="B1096">
        <v>5</v>
      </c>
      <c r="C1096" t="s">
        <v>763</v>
      </c>
      <c r="D1096" t="s">
        <v>275</v>
      </c>
      <c r="E1096" t="s">
        <v>629</v>
      </c>
      <c r="F1096" t="s">
        <v>764</v>
      </c>
      <c r="G1096" t="s">
        <v>765</v>
      </c>
      <c r="W1096">
        <v>5</v>
      </c>
      <c r="CH1096" t="str">
        <f t="shared" si="17"/>
        <v>D-0374</v>
      </c>
      <c r="CI1096" s="1" t="s">
        <v>102</v>
      </c>
    </row>
    <row r="1097" spans="1:87">
      <c r="A1097" t="s">
        <v>766</v>
      </c>
      <c r="B1097">
        <v>1</v>
      </c>
      <c r="C1097" t="s">
        <v>767</v>
      </c>
      <c r="D1097" t="s">
        <v>122</v>
      </c>
      <c r="E1097" t="s">
        <v>642</v>
      </c>
      <c r="F1097" t="s">
        <v>760</v>
      </c>
      <c r="G1097" t="s">
        <v>761</v>
      </c>
      <c r="S1097">
        <v>1</v>
      </c>
      <c r="CH1097" t="str">
        <f t="shared" si="17"/>
        <v>D-0014</v>
      </c>
      <c r="CI1097" s="1" t="s">
        <v>102</v>
      </c>
    </row>
    <row r="1098" spans="1:87">
      <c r="A1098" t="s">
        <v>768</v>
      </c>
      <c r="B1098">
        <v>3</v>
      </c>
      <c r="C1098" t="s">
        <v>769</v>
      </c>
      <c r="D1098" t="s">
        <v>237</v>
      </c>
      <c r="E1098" t="s">
        <v>642</v>
      </c>
      <c r="F1098" t="s">
        <v>645</v>
      </c>
      <c r="G1098" t="s">
        <v>697</v>
      </c>
      <c r="T1098">
        <v>1</v>
      </c>
      <c r="X1098">
        <v>2</v>
      </c>
      <c r="CH1098" t="str">
        <f t="shared" si="17"/>
        <v>D-0267</v>
      </c>
      <c r="CI1098" s="1" t="s">
        <v>102</v>
      </c>
    </row>
    <row r="1099" spans="1:87">
      <c r="A1099" t="s">
        <v>770</v>
      </c>
      <c r="B1099">
        <v>2</v>
      </c>
      <c r="C1099" t="s">
        <v>771</v>
      </c>
      <c r="D1099" t="s">
        <v>251</v>
      </c>
      <c r="E1099" t="s">
        <v>629</v>
      </c>
      <c r="F1099" t="s">
        <v>657</v>
      </c>
      <c r="G1099" t="s">
        <v>711</v>
      </c>
      <c r="X1099">
        <v>2</v>
      </c>
      <c r="CH1099" t="str">
        <f t="shared" si="17"/>
        <v>D-0272</v>
      </c>
      <c r="CI1099" s="1" t="s">
        <v>102</v>
      </c>
    </row>
    <row r="1100" spans="1:87">
      <c r="A1100" t="s">
        <v>772</v>
      </c>
      <c r="B1100">
        <v>2</v>
      </c>
      <c r="C1100" t="s">
        <v>773</v>
      </c>
      <c r="D1100" t="s">
        <v>251</v>
      </c>
      <c r="E1100" t="s">
        <v>629</v>
      </c>
      <c r="F1100" t="s">
        <v>657</v>
      </c>
      <c r="G1100" t="s">
        <v>774</v>
      </c>
      <c r="X1100">
        <v>2</v>
      </c>
      <c r="CH1100" t="str">
        <f t="shared" si="17"/>
        <v>D-0272</v>
      </c>
      <c r="CI1100" s="1" t="s">
        <v>102</v>
      </c>
    </row>
    <row r="1101" spans="1:87">
      <c r="A1101" t="s">
        <v>775</v>
      </c>
      <c r="B1101">
        <v>2</v>
      </c>
      <c r="C1101" t="s">
        <v>776</v>
      </c>
      <c r="D1101" t="s">
        <v>217</v>
      </c>
      <c r="E1101" t="s">
        <v>629</v>
      </c>
      <c r="F1101" t="s">
        <v>690</v>
      </c>
      <c r="G1101" t="s">
        <v>670</v>
      </c>
      <c r="X1101">
        <v>2</v>
      </c>
      <c r="CH1101" t="str">
        <f t="shared" si="17"/>
        <v>D-0260</v>
      </c>
      <c r="CI1101" s="1" t="s">
        <v>102</v>
      </c>
    </row>
    <row r="1102" spans="1:87">
      <c r="A1102" t="s">
        <v>777</v>
      </c>
      <c r="B1102">
        <v>2</v>
      </c>
      <c r="C1102" t="s">
        <v>778</v>
      </c>
      <c r="D1102" t="s">
        <v>251</v>
      </c>
      <c r="E1102" t="s">
        <v>629</v>
      </c>
      <c r="F1102" t="s">
        <v>709</v>
      </c>
      <c r="G1102" t="s">
        <v>779</v>
      </c>
      <c r="X1102">
        <v>2</v>
      </c>
      <c r="CH1102" t="str">
        <f t="shared" si="17"/>
        <v>D-0272</v>
      </c>
      <c r="CI1102" s="1" t="s">
        <v>102</v>
      </c>
    </row>
    <row r="1103" spans="1:87">
      <c r="A1103" t="s">
        <v>780</v>
      </c>
      <c r="B1103">
        <v>2</v>
      </c>
      <c r="C1103" t="s">
        <v>781</v>
      </c>
      <c r="D1103" t="s">
        <v>217</v>
      </c>
      <c r="E1103" t="s">
        <v>642</v>
      </c>
      <c r="F1103" t="s">
        <v>690</v>
      </c>
      <c r="G1103" t="s">
        <v>670</v>
      </c>
      <c r="T1103">
        <v>2</v>
      </c>
      <c r="CH1103" t="str">
        <f t="shared" si="17"/>
        <v>D-0260</v>
      </c>
      <c r="CI1103" s="1" t="s">
        <v>102</v>
      </c>
    </row>
    <row r="1104" spans="1:87">
      <c r="A1104" t="s">
        <v>782</v>
      </c>
      <c r="B1104">
        <v>2</v>
      </c>
      <c r="C1104" t="s">
        <v>783</v>
      </c>
      <c r="D1104" t="s">
        <v>217</v>
      </c>
      <c r="E1104" t="s">
        <v>642</v>
      </c>
      <c r="F1104" t="s">
        <v>690</v>
      </c>
      <c r="G1104" t="s">
        <v>670</v>
      </c>
      <c r="T1104">
        <v>2</v>
      </c>
      <c r="CH1104" t="str">
        <f t="shared" si="17"/>
        <v>D-0260</v>
      </c>
      <c r="CI1104" s="1" t="s">
        <v>102</v>
      </c>
    </row>
    <row r="1105" spans="1:87">
      <c r="A1105" t="s">
        <v>784</v>
      </c>
      <c r="B1105">
        <v>2</v>
      </c>
      <c r="C1105" t="s">
        <v>785</v>
      </c>
      <c r="D1105" t="s">
        <v>210</v>
      </c>
      <c r="E1105" t="s">
        <v>642</v>
      </c>
      <c r="F1105" t="s">
        <v>633</v>
      </c>
      <c r="G1105" t="s">
        <v>786</v>
      </c>
      <c r="T1105">
        <v>2</v>
      </c>
      <c r="CH1105" t="str">
        <f t="shared" si="17"/>
        <v>D-0256</v>
      </c>
      <c r="CI1105" s="1" t="s">
        <v>102</v>
      </c>
    </row>
    <row r="1106" spans="1:87">
      <c r="A1106" t="s">
        <v>787</v>
      </c>
      <c r="B1106">
        <v>2</v>
      </c>
      <c r="C1106" t="s">
        <v>788</v>
      </c>
      <c r="D1106" t="s">
        <v>217</v>
      </c>
      <c r="E1106" t="s">
        <v>642</v>
      </c>
      <c r="F1106" t="s">
        <v>690</v>
      </c>
      <c r="G1106" t="s">
        <v>789</v>
      </c>
      <c r="T1106">
        <v>2</v>
      </c>
      <c r="CH1106" t="str">
        <f t="shared" si="17"/>
        <v>D-0260</v>
      </c>
      <c r="CI1106" s="1" t="s">
        <v>102</v>
      </c>
    </row>
    <row r="1107" spans="1:87">
      <c r="A1107" t="s">
        <v>790</v>
      </c>
      <c r="B1107">
        <v>2</v>
      </c>
      <c r="C1107" t="s">
        <v>791</v>
      </c>
      <c r="D1107" t="s">
        <v>217</v>
      </c>
      <c r="E1107" t="s">
        <v>642</v>
      </c>
      <c r="F1107" t="s">
        <v>690</v>
      </c>
      <c r="G1107" t="s">
        <v>631</v>
      </c>
      <c r="T1107">
        <v>2</v>
      </c>
      <c r="CH1107" t="str">
        <f t="shared" si="17"/>
        <v>D-0260</v>
      </c>
      <c r="CI1107" s="1" t="s">
        <v>102</v>
      </c>
    </row>
    <row r="1108" spans="1:87">
      <c r="A1108" t="s">
        <v>792</v>
      </c>
      <c r="B1108">
        <v>3</v>
      </c>
      <c r="C1108" t="s">
        <v>793</v>
      </c>
      <c r="D1108" t="s">
        <v>224</v>
      </c>
      <c r="E1108" t="s">
        <v>629</v>
      </c>
      <c r="F1108" t="s">
        <v>721</v>
      </c>
      <c r="G1108" t="s">
        <v>794</v>
      </c>
      <c r="X1108">
        <v>3</v>
      </c>
      <c r="CH1108" t="str">
        <f t="shared" si="17"/>
        <v>D-0264</v>
      </c>
      <c r="CI1108" s="1" t="s">
        <v>102</v>
      </c>
    </row>
    <row r="1109" spans="1:87">
      <c r="A1109" t="s">
        <v>795</v>
      </c>
      <c r="B1109">
        <v>3</v>
      </c>
      <c r="C1109" t="s">
        <v>793</v>
      </c>
      <c r="D1109" t="s">
        <v>224</v>
      </c>
      <c r="E1109" t="s">
        <v>629</v>
      </c>
      <c r="F1109" t="s">
        <v>721</v>
      </c>
      <c r="G1109" t="s">
        <v>794</v>
      </c>
      <c r="X1109">
        <v>3</v>
      </c>
      <c r="CH1109" t="str">
        <f t="shared" si="17"/>
        <v>D-0264</v>
      </c>
      <c r="CI1109" s="1" t="s">
        <v>102</v>
      </c>
    </row>
    <row r="1110" spans="1:87">
      <c r="A1110" t="s">
        <v>796</v>
      </c>
      <c r="B1110">
        <v>3</v>
      </c>
      <c r="C1110" t="s">
        <v>797</v>
      </c>
      <c r="D1110" t="s">
        <v>224</v>
      </c>
      <c r="E1110" t="s">
        <v>642</v>
      </c>
      <c r="F1110" t="s">
        <v>721</v>
      </c>
      <c r="G1110" t="s">
        <v>649</v>
      </c>
      <c r="V1110">
        <v>3</v>
      </c>
      <c r="CH1110" t="str">
        <f t="shared" si="17"/>
        <v>D-0264</v>
      </c>
      <c r="CI1110" s="1" t="s">
        <v>102</v>
      </c>
    </row>
    <row r="1111" spans="1:87">
      <c r="A1111" t="s">
        <v>798</v>
      </c>
      <c r="B1111">
        <v>3</v>
      </c>
      <c r="C1111" t="s">
        <v>797</v>
      </c>
      <c r="D1111" t="s">
        <v>224</v>
      </c>
      <c r="E1111" t="s">
        <v>642</v>
      </c>
      <c r="F1111" t="s">
        <v>721</v>
      </c>
      <c r="G1111" t="s">
        <v>649</v>
      </c>
      <c r="V1111">
        <v>3</v>
      </c>
      <c r="CH1111" t="str">
        <f t="shared" si="17"/>
        <v>D-0264</v>
      </c>
      <c r="CI1111" s="1" t="s">
        <v>102</v>
      </c>
    </row>
    <row r="1112" spans="1:87">
      <c r="A1112" t="s">
        <v>799</v>
      </c>
      <c r="B1112">
        <v>3</v>
      </c>
      <c r="C1112" t="s">
        <v>800</v>
      </c>
      <c r="D1112" t="s">
        <v>237</v>
      </c>
      <c r="E1112" t="s">
        <v>642</v>
      </c>
      <c r="F1112" t="s">
        <v>721</v>
      </c>
      <c r="G1112" t="s">
        <v>801</v>
      </c>
      <c r="T1112">
        <v>3</v>
      </c>
      <c r="CH1112" t="str">
        <f t="shared" si="17"/>
        <v>D-0267</v>
      </c>
      <c r="CI1112" s="1" t="s">
        <v>102</v>
      </c>
    </row>
    <row r="1113" spans="1:87">
      <c r="A1113" t="s">
        <v>802</v>
      </c>
      <c r="B1113">
        <v>3</v>
      </c>
      <c r="C1113" t="s">
        <v>800</v>
      </c>
      <c r="D1113" t="s">
        <v>237</v>
      </c>
      <c r="E1113" t="s">
        <v>642</v>
      </c>
      <c r="F1113" t="s">
        <v>721</v>
      </c>
      <c r="G1113" t="s">
        <v>801</v>
      </c>
      <c r="T1113">
        <v>3</v>
      </c>
      <c r="CH1113" t="str">
        <f t="shared" si="17"/>
        <v>D-0267</v>
      </c>
      <c r="CI1113" s="1" t="s">
        <v>102</v>
      </c>
    </row>
    <row r="1114" spans="1:87">
      <c r="A1114" t="s">
        <v>803</v>
      </c>
      <c r="B1114">
        <v>3</v>
      </c>
      <c r="C1114" t="s">
        <v>800</v>
      </c>
      <c r="D1114" t="s">
        <v>237</v>
      </c>
      <c r="E1114" t="s">
        <v>642</v>
      </c>
      <c r="F1114" t="s">
        <v>721</v>
      </c>
      <c r="G1114" t="s">
        <v>801</v>
      </c>
      <c r="T1114">
        <v>3</v>
      </c>
      <c r="CH1114" t="str">
        <f t="shared" si="17"/>
        <v>D-0267</v>
      </c>
      <c r="CI1114" s="1" t="s">
        <v>102</v>
      </c>
    </row>
    <row r="1115" spans="1:87">
      <c r="A1115" t="s">
        <v>804</v>
      </c>
      <c r="B1115">
        <v>3</v>
      </c>
      <c r="C1115" t="s">
        <v>800</v>
      </c>
      <c r="D1115" t="s">
        <v>237</v>
      </c>
      <c r="E1115" t="s">
        <v>642</v>
      </c>
      <c r="F1115" t="s">
        <v>721</v>
      </c>
      <c r="G1115" t="s">
        <v>801</v>
      </c>
      <c r="T1115">
        <v>3</v>
      </c>
      <c r="CH1115" t="str">
        <f t="shared" si="17"/>
        <v>D-0267</v>
      </c>
      <c r="CI1115" s="1" t="s">
        <v>102</v>
      </c>
    </row>
    <row r="1116" spans="1:87">
      <c r="A1116" t="s">
        <v>805</v>
      </c>
      <c r="B1116">
        <v>3</v>
      </c>
      <c r="C1116" t="s">
        <v>800</v>
      </c>
      <c r="D1116" t="s">
        <v>237</v>
      </c>
      <c r="E1116" t="s">
        <v>642</v>
      </c>
      <c r="F1116" t="s">
        <v>721</v>
      </c>
      <c r="G1116" t="s">
        <v>801</v>
      </c>
      <c r="T1116">
        <v>3</v>
      </c>
      <c r="CH1116" t="str">
        <f t="shared" si="17"/>
        <v>D-0267</v>
      </c>
      <c r="CI1116" s="1" t="s">
        <v>102</v>
      </c>
    </row>
    <row r="1117" spans="1:87">
      <c r="A1117" t="s">
        <v>806</v>
      </c>
      <c r="B1117">
        <v>3</v>
      </c>
      <c r="C1117" t="s">
        <v>800</v>
      </c>
      <c r="D1117" t="s">
        <v>237</v>
      </c>
      <c r="E1117" t="s">
        <v>642</v>
      </c>
      <c r="F1117" t="s">
        <v>721</v>
      </c>
      <c r="G1117" t="s">
        <v>801</v>
      </c>
      <c r="T1117">
        <v>3</v>
      </c>
      <c r="CH1117" t="str">
        <f t="shared" si="17"/>
        <v>D-0267</v>
      </c>
      <c r="CI1117" s="1" t="s">
        <v>102</v>
      </c>
    </row>
    <row r="1118" spans="1:87">
      <c r="A1118" t="s">
        <v>807</v>
      </c>
      <c r="B1118">
        <v>3</v>
      </c>
      <c r="C1118" t="s">
        <v>800</v>
      </c>
      <c r="D1118" t="s">
        <v>237</v>
      </c>
      <c r="E1118" t="s">
        <v>642</v>
      </c>
      <c r="F1118" t="s">
        <v>721</v>
      </c>
      <c r="G1118" t="s">
        <v>801</v>
      </c>
      <c r="T1118">
        <v>3</v>
      </c>
      <c r="CH1118" t="str">
        <f t="shared" si="17"/>
        <v>D-0267</v>
      </c>
      <c r="CI1118" s="1" t="s">
        <v>102</v>
      </c>
    </row>
    <row r="1119" spans="1:87">
      <c r="A1119" t="s">
        <v>808</v>
      </c>
      <c r="B1119">
        <v>3</v>
      </c>
      <c r="C1119" t="s">
        <v>800</v>
      </c>
      <c r="D1119" t="s">
        <v>237</v>
      </c>
      <c r="E1119" t="s">
        <v>642</v>
      </c>
      <c r="F1119" t="s">
        <v>721</v>
      </c>
      <c r="G1119" t="s">
        <v>801</v>
      </c>
      <c r="T1119">
        <v>3</v>
      </c>
      <c r="CH1119" t="str">
        <f t="shared" si="17"/>
        <v>D-0267</v>
      </c>
      <c r="CI1119" s="1" t="s">
        <v>102</v>
      </c>
    </row>
    <row r="1120" spans="1:87">
      <c r="A1120" t="s">
        <v>809</v>
      </c>
      <c r="B1120">
        <v>3</v>
      </c>
      <c r="C1120" t="s">
        <v>800</v>
      </c>
      <c r="D1120" t="s">
        <v>237</v>
      </c>
      <c r="E1120" t="s">
        <v>642</v>
      </c>
      <c r="F1120" t="s">
        <v>721</v>
      </c>
      <c r="G1120" t="s">
        <v>801</v>
      </c>
      <c r="T1120">
        <v>3</v>
      </c>
      <c r="CH1120" t="str">
        <f t="shared" si="17"/>
        <v>D-0267</v>
      </c>
      <c r="CI1120" s="1" t="s">
        <v>102</v>
      </c>
    </row>
    <row r="1121" spans="1:87">
      <c r="A1121" t="s">
        <v>810</v>
      </c>
      <c r="B1121">
        <v>3</v>
      </c>
      <c r="C1121" t="s">
        <v>811</v>
      </c>
      <c r="D1121" t="s">
        <v>237</v>
      </c>
      <c r="E1121" t="s">
        <v>629</v>
      </c>
      <c r="F1121" t="s">
        <v>721</v>
      </c>
      <c r="G1121" t="s">
        <v>631</v>
      </c>
      <c r="X1121">
        <v>3</v>
      </c>
      <c r="CH1121" t="str">
        <f t="shared" si="17"/>
        <v>D-0267</v>
      </c>
      <c r="CI1121" s="1" t="s">
        <v>102</v>
      </c>
    </row>
    <row r="1122" spans="1:87">
      <c r="A1122" t="s">
        <v>812</v>
      </c>
      <c r="B1122">
        <v>3</v>
      </c>
      <c r="C1122" t="s">
        <v>813</v>
      </c>
      <c r="D1122" t="s">
        <v>237</v>
      </c>
      <c r="E1122" t="s">
        <v>629</v>
      </c>
      <c r="F1122" t="s">
        <v>721</v>
      </c>
      <c r="G1122" t="s">
        <v>814</v>
      </c>
      <c r="X1122">
        <v>3</v>
      </c>
      <c r="CH1122" t="str">
        <f t="shared" si="17"/>
        <v>D-0267</v>
      </c>
      <c r="CI1122" s="1" t="s">
        <v>102</v>
      </c>
    </row>
    <row r="1123" spans="1:87">
      <c r="A1123" t="s">
        <v>815</v>
      </c>
      <c r="B1123">
        <v>3</v>
      </c>
      <c r="C1123" t="s">
        <v>816</v>
      </c>
      <c r="D1123" t="s">
        <v>120</v>
      </c>
      <c r="E1123" t="s">
        <v>642</v>
      </c>
      <c r="F1123" t="s">
        <v>721</v>
      </c>
      <c r="G1123" t="s">
        <v>717</v>
      </c>
      <c r="T1123">
        <v>1</v>
      </c>
      <c r="X1123">
        <v>2</v>
      </c>
      <c r="CH1123" t="str">
        <f t="shared" si="17"/>
        <v>D-0009</v>
      </c>
      <c r="CI1123" s="1" t="s">
        <v>102</v>
      </c>
    </row>
    <row r="1124" spans="1:87">
      <c r="A1124" t="s">
        <v>817</v>
      </c>
      <c r="B1124">
        <v>3</v>
      </c>
      <c r="C1124" t="s">
        <v>813</v>
      </c>
      <c r="D1124" t="s">
        <v>237</v>
      </c>
      <c r="E1124" t="s">
        <v>629</v>
      </c>
      <c r="F1124" t="s">
        <v>721</v>
      </c>
      <c r="G1124" t="s">
        <v>814</v>
      </c>
      <c r="X1124">
        <v>3</v>
      </c>
      <c r="CH1124" t="str">
        <f t="shared" si="17"/>
        <v>D-0267</v>
      </c>
      <c r="CI1124" s="1" t="s">
        <v>102</v>
      </c>
    </row>
    <row r="1125" spans="1:87">
      <c r="A1125" t="s">
        <v>818</v>
      </c>
      <c r="B1125">
        <v>3</v>
      </c>
      <c r="C1125" t="s">
        <v>819</v>
      </c>
      <c r="D1125" t="s">
        <v>237</v>
      </c>
      <c r="E1125" t="s">
        <v>629</v>
      </c>
      <c r="F1125" t="s">
        <v>721</v>
      </c>
      <c r="G1125" t="s">
        <v>631</v>
      </c>
      <c r="X1125">
        <v>3</v>
      </c>
      <c r="CH1125" t="str">
        <f t="shared" si="17"/>
        <v>D-0267</v>
      </c>
      <c r="CI1125" s="1" t="s">
        <v>102</v>
      </c>
    </row>
    <row r="1126" spans="1:87">
      <c r="A1126" t="s">
        <v>820</v>
      </c>
      <c r="B1126">
        <v>3</v>
      </c>
      <c r="C1126" t="s">
        <v>819</v>
      </c>
      <c r="D1126" t="s">
        <v>237</v>
      </c>
      <c r="E1126" t="s">
        <v>629</v>
      </c>
      <c r="F1126" t="s">
        <v>721</v>
      </c>
      <c r="G1126" t="s">
        <v>631</v>
      </c>
      <c r="X1126">
        <v>3</v>
      </c>
      <c r="CH1126" t="str">
        <f t="shared" si="17"/>
        <v>D-0267</v>
      </c>
      <c r="CI1126" s="1" t="s">
        <v>102</v>
      </c>
    </row>
    <row r="1127" spans="1:87">
      <c r="A1127" t="s">
        <v>821</v>
      </c>
      <c r="B1127">
        <v>3</v>
      </c>
      <c r="C1127" t="s">
        <v>822</v>
      </c>
      <c r="D1127" t="s">
        <v>237</v>
      </c>
      <c r="E1127" t="s">
        <v>629</v>
      </c>
      <c r="F1127" t="s">
        <v>632</v>
      </c>
      <c r="G1127" t="s">
        <v>631</v>
      </c>
      <c r="X1127">
        <v>3</v>
      </c>
      <c r="CH1127" t="str">
        <f t="shared" si="17"/>
        <v>D-0267</v>
      </c>
      <c r="CI1127" s="1" t="s">
        <v>102</v>
      </c>
    </row>
    <row r="1128" spans="1:87">
      <c r="A1128" t="s">
        <v>823</v>
      </c>
      <c r="B1128">
        <v>3</v>
      </c>
      <c r="C1128" t="s">
        <v>824</v>
      </c>
      <c r="D1128" t="s">
        <v>237</v>
      </c>
      <c r="E1128" t="s">
        <v>629</v>
      </c>
      <c r="F1128" t="s">
        <v>632</v>
      </c>
      <c r="G1128" t="s">
        <v>825</v>
      </c>
      <c r="X1128">
        <v>3</v>
      </c>
      <c r="CH1128" t="str">
        <f t="shared" si="17"/>
        <v>D-0267</v>
      </c>
      <c r="CI1128" s="1" t="s">
        <v>102</v>
      </c>
    </row>
    <row r="1129" spans="1:87">
      <c r="A1129" t="s">
        <v>826</v>
      </c>
      <c r="B1129">
        <v>3</v>
      </c>
      <c r="C1129" t="s">
        <v>824</v>
      </c>
      <c r="D1129" t="s">
        <v>237</v>
      </c>
      <c r="E1129" t="s">
        <v>629</v>
      </c>
      <c r="F1129" t="s">
        <v>632</v>
      </c>
      <c r="G1129" t="s">
        <v>825</v>
      </c>
      <c r="X1129">
        <v>3</v>
      </c>
      <c r="CH1129" t="str">
        <f t="shared" si="17"/>
        <v>D-0267</v>
      </c>
      <c r="CI1129" s="1" t="s">
        <v>102</v>
      </c>
    </row>
    <row r="1130" spans="1:87">
      <c r="A1130" t="s">
        <v>827</v>
      </c>
      <c r="B1130">
        <v>3</v>
      </c>
      <c r="C1130" t="s">
        <v>824</v>
      </c>
      <c r="D1130" t="s">
        <v>237</v>
      </c>
      <c r="E1130" t="s">
        <v>629</v>
      </c>
      <c r="F1130" t="s">
        <v>632</v>
      </c>
      <c r="G1130" t="s">
        <v>825</v>
      </c>
      <c r="X1130">
        <v>3</v>
      </c>
      <c r="CH1130" t="str">
        <f t="shared" si="17"/>
        <v>D-0267</v>
      </c>
      <c r="CI1130" s="1" t="s">
        <v>102</v>
      </c>
    </row>
    <row r="1131" spans="1:87">
      <c r="A1131" t="s">
        <v>828</v>
      </c>
      <c r="B1131">
        <v>3</v>
      </c>
      <c r="C1131" t="s">
        <v>829</v>
      </c>
      <c r="D1131" t="s">
        <v>237</v>
      </c>
      <c r="E1131" t="s">
        <v>642</v>
      </c>
      <c r="F1131" t="s">
        <v>632</v>
      </c>
      <c r="G1131" t="s">
        <v>649</v>
      </c>
      <c r="T1131">
        <v>3</v>
      </c>
      <c r="CH1131" t="str">
        <f t="shared" si="17"/>
        <v>D-0267</v>
      </c>
      <c r="CI1131" s="1" t="s">
        <v>102</v>
      </c>
    </row>
    <row r="1132" spans="1:87">
      <c r="A1132" t="s">
        <v>830</v>
      </c>
      <c r="B1132">
        <v>3</v>
      </c>
      <c r="C1132" t="s">
        <v>829</v>
      </c>
      <c r="D1132" t="s">
        <v>237</v>
      </c>
      <c r="E1132" t="s">
        <v>642</v>
      </c>
      <c r="F1132" t="s">
        <v>632</v>
      </c>
      <c r="G1132" t="s">
        <v>649</v>
      </c>
      <c r="T1132">
        <v>3</v>
      </c>
      <c r="CH1132" t="str">
        <f t="shared" si="17"/>
        <v>D-0267</v>
      </c>
      <c r="CI1132" s="1" t="s">
        <v>102</v>
      </c>
    </row>
    <row r="1133" spans="1:87">
      <c r="A1133" t="s">
        <v>831</v>
      </c>
      <c r="B1133">
        <v>3</v>
      </c>
      <c r="C1133" t="s">
        <v>832</v>
      </c>
      <c r="D1133" t="s">
        <v>246</v>
      </c>
      <c r="E1133" t="s">
        <v>629</v>
      </c>
      <c r="F1133" t="s">
        <v>632</v>
      </c>
      <c r="G1133" t="s">
        <v>631</v>
      </c>
      <c r="X1133">
        <v>3</v>
      </c>
      <c r="CH1133" t="str">
        <f t="shared" si="17"/>
        <v>D-0269</v>
      </c>
      <c r="CI1133" s="1" t="s">
        <v>102</v>
      </c>
    </row>
    <row r="1134" spans="1:87">
      <c r="A1134" t="s">
        <v>833</v>
      </c>
      <c r="B1134">
        <v>1</v>
      </c>
      <c r="C1134" t="s">
        <v>834</v>
      </c>
      <c r="D1134" t="s">
        <v>126</v>
      </c>
      <c r="E1134" t="s">
        <v>629</v>
      </c>
      <c r="F1134" t="s">
        <v>835</v>
      </c>
      <c r="G1134" t="s">
        <v>836</v>
      </c>
      <c r="N1134">
        <v>1</v>
      </c>
      <c r="CH1134" t="str">
        <f t="shared" si="17"/>
        <v>D-0021</v>
      </c>
      <c r="CI1134" s="1" t="s">
        <v>102</v>
      </c>
    </row>
    <row r="1135" spans="1:87">
      <c r="A1135" t="s">
        <v>837</v>
      </c>
      <c r="B1135">
        <v>1</v>
      </c>
      <c r="C1135" t="s">
        <v>838</v>
      </c>
      <c r="D1135" t="s">
        <v>130</v>
      </c>
      <c r="E1135" t="s">
        <v>629</v>
      </c>
      <c r="F1135" t="s">
        <v>835</v>
      </c>
      <c r="G1135" t="s">
        <v>836</v>
      </c>
      <c r="AB1135">
        <v>1</v>
      </c>
      <c r="CH1135" t="str">
        <f t="shared" si="17"/>
        <v>D-0031</v>
      </c>
      <c r="CI1135" s="1" t="s">
        <v>102</v>
      </c>
    </row>
    <row r="1136" spans="1:87">
      <c r="A1136" t="s">
        <v>839</v>
      </c>
      <c r="B1136">
        <v>4</v>
      </c>
      <c r="C1136" t="s">
        <v>834</v>
      </c>
      <c r="D1136" t="s">
        <v>126</v>
      </c>
      <c r="E1136" t="s">
        <v>629</v>
      </c>
      <c r="F1136" t="s">
        <v>835</v>
      </c>
      <c r="G1136" t="s">
        <v>836</v>
      </c>
      <c r="R1136">
        <v>4</v>
      </c>
      <c r="CH1136" t="str">
        <f t="shared" si="17"/>
        <v>D-0021</v>
      </c>
      <c r="CI1136" s="1" t="s">
        <v>102</v>
      </c>
    </row>
    <row r="1137" spans="1:87">
      <c r="A1137" t="s">
        <v>840</v>
      </c>
      <c r="B1137">
        <v>1</v>
      </c>
      <c r="C1137" t="s">
        <v>834</v>
      </c>
      <c r="D1137" t="s">
        <v>126</v>
      </c>
      <c r="E1137" t="s">
        <v>629</v>
      </c>
      <c r="F1137" t="s">
        <v>835</v>
      </c>
      <c r="G1137" t="s">
        <v>836</v>
      </c>
      <c r="T1137">
        <v>1</v>
      </c>
      <c r="CH1137" t="str">
        <f t="shared" si="17"/>
        <v>D-0021</v>
      </c>
      <c r="CI1137" s="1" t="s">
        <v>102</v>
      </c>
    </row>
    <row r="1138" spans="1:87">
      <c r="A1138" t="s">
        <v>841</v>
      </c>
      <c r="B1138">
        <v>1</v>
      </c>
      <c r="C1138" t="s">
        <v>834</v>
      </c>
      <c r="D1138" t="s">
        <v>126</v>
      </c>
      <c r="E1138" t="s">
        <v>629</v>
      </c>
      <c r="F1138" t="s">
        <v>835</v>
      </c>
      <c r="G1138" t="s">
        <v>836</v>
      </c>
      <c r="U1138">
        <v>1</v>
      </c>
      <c r="CH1138" t="str">
        <f t="shared" si="17"/>
        <v>D-0021</v>
      </c>
      <c r="CI1138" s="1" t="s">
        <v>102</v>
      </c>
    </row>
    <row r="1139" spans="1:87">
      <c r="A1139" t="s">
        <v>842</v>
      </c>
      <c r="B1139">
        <v>1</v>
      </c>
      <c r="C1139" t="s">
        <v>834</v>
      </c>
      <c r="D1139" t="s">
        <v>126</v>
      </c>
      <c r="E1139" t="s">
        <v>629</v>
      </c>
      <c r="F1139" t="s">
        <v>835</v>
      </c>
      <c r="G1139" t="s">
        <v>836</v>
      </c>
      <c r="AA1139">
        <v>1</v>
      </c>
      <c r="CH1139" t="str">
        <f t="shared" si="17"/>
        <v>D-0021</v>
      </c>
      <c r="CI1139" s="1" t="s">
        <v>102</v>
      </c>
    </row>
    <row r="1140" spans="1:87">
      <c r="A1140" t="s">
        <v>843</v>
      </c>
      <c r="B1140">
        <v>2</v>
      </c>
      <c r="C1140" t="s">
        <v>844</v>
      </c>
      <c r="D1140" t="s">
        <v>217</v>
      </c>
      <c r="E1140" t="s">
        <v>629</v>
      </c>
      <c r="F1140" t="s">
        <v>690</v>
      </c>
      <c r="G1140" t="s">
        <v>845</v>
      </c>
      <c r="X1140">
        <v>2</v>
      </c>
      <c r="CH1140" t="str">
        <f t="shared" si="17"/>
        <v>D-0260</v>
      </c>
      <c r="CI1140" s="1" t="s">
        <v>102</v>
      </c>
    </row>
    <row r="1141" spans="1:87">
      <c r="A1141" t="s">
        <v>846</v>
      </c>
      <c r="B1141">
        <v>2</v>
      </c>
      <c r="C1141" t="s">
        <v>844</v>
      </c>
      <c r="D1141" t="s">
        <v>217</v>
      </c>
      <c r="E1141" t="s">
        <v>629</v>
      </c>
      <c r="F1141" t="s">
        <v>690</v>
      </c>
      <c r="G1141" t="s">
        <v>845</v>
      </c>
      <c r="X1141">
        <v>2</v>
      </c>
      <c r="CH1141" t="str">
        <f t="shared" si="17"/>
        <v>D-0260</v>
      </c>
      <c r="CI1141" s="1" t="s">
        <v>102</v>
      </c>
    </row>
    <row r="1142" spans="1:87">
      <c r="A1142" t="s">
        <v>847</v>
      </c>
      <c r="B1142">
        <v>2</v>
      </c>
      <c r="C1142" t="s">
        <v>848</v>
      </c>
      <c r="D1142" t="s">
        <v>224</v>
      </c>
      <c r="E1142" t="s">
        <v>629</v>
      </c>
      <c r="F1142" t="s">
        <v>646</v>
      </c>
      <c r="G1142" t="s">
        <v>647</v>
      </c>
      <c r="X1142">
        <v>2</v>
      </c>
      <c r="CH1142" t="str">
        <f t="shared" si="17"/>
        <v>D-0264</v>
      </c>
      <c r="CI1142" s="1" t="s">
        <v>102</v>
      </c>
    </row>
    <row r="1143" spans="1:87">
      <c r="A1143" t="s">
        <v>849</v>
      </c>
      <c r="B1143">
        <v>2</v>
      </c>
      <c r="C1143" t="s">
        <v>848</v>
      </c>
      <c r="D1143" t="s">
        <v>224</v>
      </c>
      <c r="E1143" t="s">
        <v>629</v>
      </c>
      <c r="F1143" t="s">
        <v>646</v>
      </c>
      <c r="G1143" t="s">
        <v>647</v>
      </c>
      <c r="X1143">
        <v>2</v>
      </c>
      <c r="CH1143" t="str">
        <f t="shared" si="17"/>
        <v>D-0264</v>
      </c>
      <c r="CI1143" s="1" t="s">
        <v>102</v>
      </c>
    </row>
    <row r="1144" spans="1:87">
      <c r="A1144" t="s">
        <v>850</v>
      </c>
      <c r="B1144">
        <v>2</v>
      </c>
      <c r="C1144" t="s">
        <v>851</v>
      </c>
      <c r="D1144" t="s">
        <v>224</v>
      </c>
      <c r="E1144" t="s">
        <v>629</v>
      </c>
      <c r="F1144" t="s">
        <v>646</v>
      </c>
      <c r="G1144" t="s">
        <v>647</v>
      </c>
      <c r="X1144">
        <v>2</v>
      </c>
      <c r="CH1144" t="str">
        <f t="shared" si="17"/>
        <v>D-0264</v>
      </c>
      <c r="CI1144" s="1" t="s">
        <v>102</v>
      </c>
    </row>
    <row r="1145" spans="1:87">
      <c r="A1145" t="s">
        <v>852</v>
      </c>
      <c r="B1145">
        <v>2</v>
      </c>
      <c r="C1145" t="s">
        <v>853</v>
      </c>
      <c r="D1145" t="s">
        <v>210</v>
      </c>
      <c r="E1145" t="s">
        <v>629</v>
      </c>
      <c r="F1145" t="s">
        <v>633</v>
      </c>
      <c r="G1145" t="s">
        <v>670</v>
      </c>
      <c r="X1145">
        <v>2</v>
      </c>
      <c r="CH1145" t="str">
        <f t="shared" si="17"/>
        <v>D-0256</v>
      </c>
      <c r="CI1145" s="1" t="s">
        <v>102</v>
      </c>
    </row>
    <row r="1146" spans="1:87">
      <c r="A1146" t="s">
        <v>854</v>
      </c>
      <c r="B1146">
        <v>2</v>
      </c>
      <c r="C1146" t="s">
        <v>778</v>
      </c>
      <c r="D1146" t="s">
        <v>251</v>
      </c>
      <c r="E1146" t="s">
        <v>629</v>
      </c>
      <c r="F1146" t="s">
        <v>709</v>
      </c>
      <c r="G1146" t="s">
        <v>779</v>
      </c>
      <c r="X1146">
        <v>2</v>
      </c>
      <c r="CH1146" t="str">
        <f t="shared" si="17"/>
        <v>D-0272</v>
      </c>
      <c r="CI1146" s="1" t="s">
        <v>102</v>
      </c>
    </row>
    <row r="1147" spans="1:87">
      <c r="A1147" t="s">
        <v>855</v>
      </c>
      <c r="B1147">
        <v>2</v>
      </c>
      <c r="C1147" t="s">
        <v>856</v>
      </c>
      <c r="D1147" t="s">
        <v>210</v>
      </c>
      <c r="E1147" t="s">
        <v>642</v>
      </c>
      <c r="F1147" t="s">
        <v>633</v>
      </c>
      <c r="G1147" t="s">
        <v>670</v>
      </c>
      <c r="T1147">
        <v>2</v>
      </c>
      <c r="CH1147" t="str">
        <f t="shared" si="17"/>
        <v>D-0256</v>
      </c>
      <c r="CI1147" s="1" t="s">
        <v>102</v>
      </c>
    </row>
    <row r="1148" spans="1:87">
      <c r="A1148" t="s">
        <v>857</v>
      </c>
      <c r="B1148">
        <v>2</v>
      </c>
      <c r="C1148" t="s">
        <v>858</v>
      </c>
      <c r="D1148" t="s">
        <v>210</v>
      </c>
      <c r="E1148" t="s">
        <v>642</v>
      </c>
      <c r="F1148" t="s">
        <v>633</v>
      </c>
      <c r="G1148" t="s">
        <v>670</v>
      </c>
      <c r="T1148">
        <v>2</v>
      </c>
      <c r="CH1148" t="str">
        <f t="shared" si="17"/>
        <v>D-0256</v>
      </c>
      <c r="CI1148" s="1" t="s">
        <v>102</v>
      </c>
    </row>
    <row r="1149" spans="1:87">
      <c r="A1149" t="s">
        <v>859</v>
      </c>
      <c r="B1149">
        <v>2</v>
      </c>
      <c r="C1149" t="s">
        <v>860</v>
      </c>
      <c r="D1149" t="s">
        <v>138</v>
      </c>
      <c r="E1149" t="s">
        <v>642</v>
      </c>
      <c r="F1149" t="s">
        <v>633</v>
      </c>
      <c r="G1149" t="s">
        <v>670</v>
      </c>
      <c r="T1149">
        <v>2</v>
      </c>
      <c r="CH1149" t="str">
        <f t="shared" si="17"/>
        <v>D-0045</v>
      </c>
      <c r="CI1149" s="1" t="s">
        <v>102</v>
      </c>
    </row>
    <row r="1150" spans="1:87">
      <c r="A1150" t="s">
        <v>861</v>
      </c>
      <c r="B1150">
        <v>2</v>
      </c>
      <c r="C1150" t="s">
        <v>862</v>
      </c>
      <c r="D1150" t="s">
        <v>138</v>
      </c>
      <c r="E1150" t="s">
        <v>642</v>
      </c>
      <c r="F1150" t="s">
        <v>633</v>
      </c>
      <c r="G1150" t="s">
        <v>668</v>
      </c>
      <c r="T1150">
        <v>2</v>
      </c>
      <c r="CH1150" t="str">
        <f t="shared" si="17"/>
        <v>D-0045</v>
      </c>
      <c r="CI1150" s="1" t="s">
        <v>102</v>
      </c>
    </row>
    <row r="1151" spans="1:87">
      <c r="A1151" t="s">
        <v>863</v>
      </c>
      <c r="B1151">
        <v>2</v>
      </c>
      <c r="C1151" t="s">
        <v>864</v>
      </c>
      <c r="D1151" t="s">
        <v>252</v>
      </c>
      <c r="E1151" t="s">
        <v>642</v>
      </c>
      <c r="F1151" t="s">
        <v>695</v>
      </c>
      <c r="G1151" t="s">
        <v>691</v>
      </c>
      <c r="T1151">
        <v>2</v>
      </c>
      <c r="CH1151" t="str">
        <f t="shared" si="17"/>
        <v>D-0273</v>
      </c>
      <c r="CI1151" s="1" t="s">
        <v>102</v>
      </c>
    </row>
    <row r="1152" spans="1:87">
      <c r="A1152" t="s">
        <v>865</v>
      </c>
      <c r="B1152">
        <v>3</v>
      </c>
      <c r="C1152" t="s">
        <v>866</v>
      </c>
      <c r="D1152" t="s">
        <v>120</v>
      </c>
      <c r="E1152" t="s">
        <v>629</v>
      </c>
      <c r="F1152" t="s">
        <v>721</v>
      </c>
      <c r="G1152" t="s">
        <v>754</v>
      </c>
      <c r="T1152">
        <v>1</v>
      </c>
      <c r="X1152">
        <v>2</v>
      </c>
      <c r="CH1152" t="str">
        <f t="shared" si="17"/>
        <v>D-0009</v>
      </c>
      <c r="CI1152" s="1" t="s">
        <v>102</v>
      </c>
    </row>
    <row r="1153" spans="1:87">
      <c r="A1153" t="s">
        <v>867</v>
      </c>
      <c r="B1153">
        <v>3</v>
      </c>
      <c r="C1153" t="s">
        <v>868</v>
      </c>
      <c r="D1153" t="s">
        <v>120</v>
      </c>
      <c r="E1153" t="s">
        <v>642</v>
      </c>
      <c r="F1153" t="s">
        <v>721</v>
      </c>
      <c r="G1153" t="s">
        <v>869</v>
      </c>
      <c r="T1153">
        <v>1</v>
      </c>
      <c r="X1153">
        <v>2</v>
      </c>
      <c r="CH1153" t="str">
        <f t="shared" si="17"/>
        <v>D-0009</v>
      </c>
      <c r="CI1153" s="1" t="s">
        <v>102</v>
      </c>
    </row>
    <row r="1154" spans="1:87">
      <c r="A1154" t="s">
        <v>870</v>
      </c>
      <c r="B1154">
        <v>3</v>
      </c>
      <c r="C1154" t="s">
        <v>871</v>
      </c>
      <c r="D1154" t="s">
        <v>247</v>
      </c>
      <c r="E1154" t="s">
        <v>642</v>
      </c>
      <c r="F1154" t="s">
        <v>872</v>
      </c>
      <c r="G1154" t="s">
        <v>873</v>
      </c>
      <c r="T1154">
        <v>1</v>
      </c>
      <c r="X1154">
        <v>2</v>
      </c>
      <c r="CH1154" t="str">
        <f t="shared" ref="CH1154:CH1217" si="18">TRIM(IFERROR(IFERROR(MID($D1154,FIND("(D-",$D1154)+1,6),LEFT($D1154,FIND("(",$D1154)-1)),$D1154))</f>
        <v>D-0270</v>
      </c>
      <c r="CI1154" s="1" t="s">
        <v>102</v>
      </c>
    </row>
    <row r="1155" spans="1:87">
      <c r="A1155" t="s">
        <v>874</v>
      </c>
      <c r="B1155">
        <v>3</v>
      </c>
      <c r="C1155" t="s">
        <v>875</v>
      </c>
      <c r="D1155" t="s">
        <v>249</v>
      </c>
      <c r="E1155" t="s">
        <v>642</v>
      </c>
      <c r="F1155" t="s">
        <v>657</v>
      </c>
      <c r="G1155" t="s">
        <v>876</v>
      </c>
      <c r="T1155">
        <v>1</v>
      </c>
      <c r="X1155">
        <v>2</v>
      </c>
      <c r="CH1155" t="str">
        <f t="shared" si="18"/>
        <v>D-0271</v>
      </c>
      <c r="CI1155" s="1" t="s">
        <v>102</v>
      </c>
    </row>
    <row r="1156" spans="1:87">
      <c r="A1156" t="s">
        <v>877</v>
      </c>
      <c r="B1156">
        <v>2</v>
      </c>
      <c r="C1156" t="s">
        <v>878</v>
      </c>
      <c r="D1156" t="s">
        <v>213</v>
      </c>
      <c r="E1156" t="s">
        <v>642</v>
      </c>
      <c r="F1156" t="s">
        <v>643</v>
      </c>
      <c r="G1156" t="s">
        <v>670</v>
      </c>
      <c r="T1156">
        <v>2</v>
      </c>
      <c r="CH1156" t="str">
        <f t="shared" si="18"/>
        <v>D-0257</v>
      </c>
      <c r="CI1156" s="1" t="s">
        <v>102</v>
      </c>
    </row>
    <row r="1157" spans="1:87">
      <c r="A1157" t="s">
        <v>879</v>
      </c>
      <c r="B1157">
        <v>2</v>
      </c>
      <c r="C1157" t="s">
        <v>878</v>
      </c>
      <c r="D1157" t="s">
        <v>213</v>
      </c>
      <c r="E1157" t="s">
        <v>642</v>
      </c>
      <c r="F1157" t="s">
        <v>643</v>
      </c>
      <c r="G1157" t="s">
        <v>670</v>
      </c>
      <c r="T1157">
        <v>2</v>
      </c>
      <c r="CH1157" t="str">
        <f t="shared" si="18"/>
        <v>D-0257</v>
      </c>
      <c r="CI1157" s="1" t="s">
        <v>102</v>
      </c>
    </row>
    <row r="1158" spans="1:87">
      <c r="A1158" t="s">
        <v>880</v>
      </c>
      <c r="B1158">
        <v>2</v>
      </c>
      <c r="C1158" t="s">
        <v>878</v>
      </c>
      <c r="D1158" t="s">
        <v>213</v>
      </c>
      <c r="E1158" t="s">
        <v>642</v>
      </c>
      <c r="F1158" t="s">
        <v>643</v>
      </c>
      <c r="G1158" t="s">
        <v>670</v>
      </c>
      <c r="U1158">
        <v>2</v>
      </c>
      <c r="CH1158" t="str">
        <f t="shared" si="18"/>
        <v>D-0257</v>
      </c>
      <c r="CI1158" s="1" t="s">
        <v>102</v>
      </c>
    </row>
    <row r="1159" spans="1:87">
      <c r="A1159" t="s">
        <v>881</v>
      </c>
      <c r="B1159">
        <v>3</v>
      </c>
      <c r="C1159" t="s">
        <v>882</v>
      </c>
      <c r="D1159" t="s">
        <v>235</v>
      </c>
      <c r="E1159" t="s">
        <v>642</v>
      </c>
      <c r="F1159" t="s">
        <v>695</v>
      </c>
      <c r="G1159" t="s">
        <v>883</v>
      </c>
      <c r="T1159">
        <v>1</v>
      </c>
      <c r="X1159">
        <v>2</v>
      </c>
      <c r="CH1159" t="str">
        <f t="shared" si="18"/>
        <v>D-0266</v>
      </c>
      <c r="CI1159" s="1" t="s">
        <v>102</v>
      </c>
    </row>
    <row r="1160" spans="1:87">
      <c r="A1160" t="s">
        <v>884</v>
      </c>
      <c r="B1160">
        <v>3</v>
      </c>
      <c r="C1160" t="s">
        <v>797</v>
      </c>
      <c r="D1160" t="s">
        <v>224</v>
      </c>
      <c r="E1160" t="s">
        <v>642</v>
      </c>
      <c r="F1160" t="s">
        <v>721</v>
      </c>
      <c r="G1160" t="s">
        <v>649</v>
      </c>
      <c r="T1160">
        <v>3</v>
      </c>
      <c r="CH1160" t="str">
        <f t="shared" si="18"/>
        <v>D-0264</v>
      </c>
      <c r="CI1160" s="1" t="s">
        <v>102</v>
      </c>
    </row>
    <row r="1161" spans="1:87">
      <c r="A1161" t="s">
        <v>885</v>
      </c>
      <c r="B1161">
        <v>3</v>
      </c>
      <c r="C1161" t="s">
        <v>886</v>
      </c>
      <c r="D1161" t="s">
        <v>114</v>
      </c>
      <c r="E1161" t="s">
        <v>642</v>
      </c>
      <c r="F1161" t="s">
        <v>632</v>
      </c>
      <c r="G1161" t="s">
        <v>631</v>
      </c>
      <c r="T1161">
        <v>1</v>
      </c>
      <c r="X1161">
        <v>2</v>
      </c>
      <c r="CH1161" t="str">
        <f t="shared" si="18"/>
        <v>D-0002</v>
      </c>
      <c r="CI1161" s="1" t="s">
        <v>102</v>
      </c>
    </row>
    <row r="1162" spans="1:87">
      <c r="A1162" t="s">
        <v>887</v>
      </c>
      <c r="B1162">
        <v>3</v>
      </c>
      <c r="C1162" t="s">
        <v>819</v>
      </c>
      <c r="D1162" t="s">
        <v>237</v>
      </c>
      <c r="E1162" t="s">
        <v>629</v>
      </c>
      <c r="F1162" t="s">
        <v>721</v>
      </c>
      <c r="G1162" t="s">
        <v>631</v>
      </c>
      <c r="X1162">
        <v>3</v>
      </c>
      <c r="CH1162" t="str">
        <f t="shared" si="18"/>
        <v>D-0267</v>
      </c>
      <c r="CI1162" s="1" t="s">
        <v>102</v>
      </c>
    </row>
    <row r="1163" spans="1:87">
      <c r="A1163" t="s">
        <v>888</v>
      </c>
      <c r="B1163">
        <v>3</v>
      </c>
      <c r="C1163" t="s">
        <v>889</v>
      </c>
      <c r="D1163" t="s">
        <v>224</v>
      </c>
      <c r="E1163" t="s">
        <v>642</v>
      </c>
      <c r="F1163" t="s">
        <v>721</v>
      </c>
      <c r="G1163" t="s">
        <v>631</v>
      </c>
      <c r="T1163">
        <v>3</v>
      </c>
      <c r="CH1163" t="str">
        <f t="shared" si="18"/>
        <v>D-0264</v>
      </c>
      <c r="CI1163" s="1" t="s">
        <v>102</v>
      </c>
    </row>
    <row r="1164" spans="1:87">
      <c r="A1164" t="s">
        <v>890</v>
      </c>
      <c r="B1164">
        <v>3</v>
      </c>
      <c r="C1164" t="s">
        <v>889</v>
      </c>
      <c r="D1164" t="s">
        <v>224</v>
      </c>
      <c r="E1164" t="s">
        <v>642</v>
      </c>
      <c r="F1164" t="s">
        <v>721</v>
      </c>
      <c r="G1164" t="s">
        <v>631</v>
      </c>
      <c r="T1164">
        <v>3</v>
      </c>
      <c r="CH1164" t="str">
        <f t="shared" si="18"/>
        <v>D-0264</v>
      </c>
      <c r="CI1164" s="1" t="s">
        <v>102</v>
      </c>
    </row>
    <row r="1165" spans="1:87">
      <c r="A1165" t="s">
        <v>891</v>
      </c>
      <c r="B1165">
        <v>3</v>
      </c>
      <c r="C1165" t="s">
        <v>889</v>
      </c>
      <c r="D1165" t="s">
        <v>224</v>
      </c>
      <c r="E1165" t="s">
        <v>642</v>
      </c>
      <c r="F1165" t="s">
        <v>721</v>
      </c>
      <c r="G1165" t="s">
        <v>631</v>
      </c>
      <c r="T1165">
        <v>3</v>
      </c>
      <c r="CH1165" t="str">
        <f t="shared" si="18"/>
        <v>D-0264</v>
      </c>
      <c r="CI1165" s="1" t="s">
        <v>102</v>
      </c>
    </row>
    <row r="1166" spans="1:87">
      <c r="A1166" t="s">
        <v>892</v>
      </c>
      <c r="B1166">
        <v>3</v>
      </c>
      <c r="C1166" t="s">
        <v>889</v>
      </c>
      <c r="D1166" t="s">
        <v>224</v>
      </c>
      <c r="E1166" t="s">
        <v>642</v>
      </c>
      <c r="F1166" t="s">
        <v>721</v>
      </c>
      <c r="G1166" t="s">
        <v>631</v>
      </c>
      <c r="T1166">
        <v>3</v>
      </c>
      <c r="CH1166" t="str">
        <f t="shared" si="18"/>
        <v>D-0264</v>
      </c>
      <c r="CI1166" s="1" t="s">
        <v>102</v>
      </c>
    </row>
    <row r="1167" spans="1:87">
      <c r="A1167" t="s">
        <v>893</v>
      </c>
      <c r="B1167">
        <v>3</v>
      </c>
      <c r="C1167" t="s">
        <v>894</v>
      </c>
      <c r="D1167" t="s">
        <v>249</v>
      </c>
      <c r="E1167" t="s">
        <v>629</v>
      </c>
      <c r="F1167" t="s">
        <v>657</v>
      </c>
      <c r="G1167" t="s">
        <v>895</v>
      </c>
      <c r="T1167">
        <v>1</v>
      </c>
      <c r="X1167">
        <v>2</v>
      </c>
      <c r="CH1167" t="str">
        <f t="shared" si="18"/>
        <v>D-0271</v>
      </c>
      <c r="CI1167" s="1" t="s">
        <v>102</v>
      </c>
    </row>
    <row r="1168" spans="1:87">
      <c r="A1168" t="s">
        <v>896</v>
      </c>
      <c r="B1168">
        <v>3</v>
      </c>
      <c r="C1168" t="s">
        <v>894</v>
      </c>
      <c r="D1168" t="s">
        <v>249</v>
      </c>
      <c r="E1168" t="s">
        <v>629</v>
      </c>
      <c r="F1168" t="s">
        <v>657</v>
      </c>
      <c r="G1168" t="s">
        <v>895</v>
      </c>
      <c r="T1168">
        <v>1</v>
      </c>
      <c r="X1168">
        <v>2</v>
      </c>
      <c r="CH1168" t="str">
        <f t="shared" si="18"/>
        <v>D-0271</v>
      </c>
      <c r="CI1168" s="1" t="s">
        <v>102</v>
      </c>
    </row>
    <row r="1169" spans="1:87">
      <c r="A1169" t="s">
        <v>897</v>
      </c>
      <c r="B1169">
        <v>3</v>
      </c>
      <c r="C1169" t="s">
        <v>898</v>
      </c>
      <c r="D1169" t="s">
        <v>128</v>
      </c>
      <c r="E1169" t="s">
        <v>642</v>
      </c>
      <c r="F1169" t="s">
        <v>632</v>
      </c>
      <c r="G1169" t="s">
        <v>899</v>
      </c>
      <c r="T1169">
        <v>1</v>
      </c>
      <c r="X1169">
        <v>2</v>
      </c>
      <c r="CH1169" t="str">
        <f t="shared" si="18"/>
        <v>D-0023</v>
      </c>
      <c r="CI1169" s="1" t="s">
        <v>102</v>
      </c>
    </row>
    <row r="1170" spans="1:87">
      <c r="A1170" t="s">
        <v>900</v>
      </c>
      <c r="B1170">
        <v>3</v>
      </c>
      <c r="C1170" t="s">
        <v>901</v>
      </c>
      <c r="D1170" t="s">
        <v>249</v>
      </c>
      <c r="E1170" t="s">
        <v>642</v>
      </c>
      <c r="F1170" t="s">
        <v>657</v>
      </c>
      <c r="G1170" t="s">
        <v>902</v>
      </c>
      <c r="T1170">
        <v>1</v>
      </c>
      <c r="X1170">
        <v>2</v>
      </c>
      <c r="CH1170" t="str">
        <f t="shared" si="18"/>
        <v>D-0271</v>
      </c>
      <c r="CI1170" s="1" t="s">
        <v>102</v>
      </c>
    </row>
    <row r="1171" spans="1:87">
      <c r="A1171" t="s">
        <v>903</v>
      </c>
      <c r="B1171">
        <v>2</v>
      </c>
      <c r="C1171" t="s">
        <v>904</v>
      </c>
      <c r="D1171" t="s">
        <v>237</v>
      </c>
      <c r="E1171" t="s">
        <v>642</v>
      </c>
      <c r="F1171" t="s">
        <v>721</v>
      </c>
      <c r="G1171" t="s">
        <v>905</v>
      </c>
      <c r="Z1171">
        <v>2</v>
      </c>
      <c r="CH1171" t="str">
        <f t="shared" si="18"/>
        <v>D-0267</v>
      </c>
      <c r="CI1171" s="1" t="s">
        <v>102</v>
      </c>
    </row>
    <row r="1172" spans="1:87">
      <c r="A1172" t="s">
        <v>906</v>
      </c>
      <c r="B1172">
        <v>2</v>
      </c>
      <c r="C1172" t="s">
        <v>907</v>
      </c>
      <c r="D1172" t="s">
        <v>214</v>
      </c>
      <c r="E1172" t="s">
        <v>629</v>
      </c>
      <c r="F1172" t="s">
        <v>721</v>
      </c>
      <c r="G1172" t="s">
        <v>670</v>
      </c>
      <c r="T1172">
        <v>2</v>
      </c>
      <c r="CH1172" t="str">
        <f t="shared" si="18"/>
        <v>D-0258</v>
      </c>
      <c r="CI1172" s="1" t="s">
        <v>102</v>
      </c>
    </row>
    <row r="1173" spans="1:87">
      <c r="A1173" t="s">
        <v>908</v>
      </c>
      <c r="B1173">
        <v>3</v>
      </c>
      <c r="C1173" t="s">
        <v>909</v>
      </c>
      <c r="D1173" t="s">
        <v>221</v>
      </c>
      <c r="E1173" t="s">
        <v>642</v>
      </c>
      <c r="F1173" t="s">
        <v>632</v>
      </c>
      <c r="G1173" t="s">
        <v>910</v>
      </c>
      <c r="T1173">
        <v>1</v>
      </c>
      <c r="X1173">
        <v>2</v>
      </c>
      <c r="CH1173" t="str">
        <f t="shared" si="18"/>
        <v>D-0261</v>
      </c>
      <c r="CI1173" s="1" t="s">
        <v>102</v>
      </c>
    </row>
    <row r="1174" spans="1:87">
      <c r="A1174" t="s">
        <v>911</v>
      </c>
      <c r="B1174">
        <v>3</v>
      </c>
      <c r="C1174" t="s">
        <v>912</v>
      </c>
      <c r="D1174" t="s">
        <v>237</v>
      </c>
      <c r="E1174" t="s">
        <v>642</v>
      </c>
      <c r="F1174" t="s">
        <v>632</v>
      </c>
      <c r="G1174" t="s">
        <v>631</v>
      </c>
      <c r="T1174">
        <v>1</v>
      </c>
      <c r="V1174">
        <v>2</v>
      </c>
      <c r="CH1174" t="str">
        <f t="shared" si="18"/>
        <v>D-0267</v>
      </c>
      <c r="CI1174" s="1" t="s">
        <v>102</v>
      </c>
    </row>
    <row r="1175" spans="1:87">
      <c r="A1175" t="s">
        <v>913</v>
      </c>
      <c r="B1175">
        <v>2</v>
      </c>
      <c r="C1175" t="s">
        <v>783</v>
      </c>
      <c r="D1175" t="s">
        <v>217</v>
      </c>
      <c r="E1175" t="s">
        <v>642</v>
      </c>
      <c r="F1175" t="s">
        <v>690</v>
      </c>
      <c r="G1175" t="s">
        <v>670</v>
      </c>
      <c r="T1175">
        <v>2</v>
      </c>
      <c r="CH1175" t="str">
        <f t="shared" si="18"/>
        <v>D-0260</v>
      </c>
      <c r="CI1175" s="1" t="s">
        <v>102</v>
      </c>
    </row>
    <row r="1176" spans="1:87">
      <c r="A1176" t="s">
        <v>914</v>
      </c>
      <c r="B1176">
        <v>2</v>
      </c>
      <c r="C1176" t="s">
        <v>915</v>
      </c>
      <c r="D1176" t="s">
        <v>138</v>
      </c>
      <c r="E1176" t="s">
        <v>642</v>
      </c>
      <c r="F1176" t="s">
        <v>633</v>
      </c>
      <c r="G1176" t="s">
        <v>631</v>
      </c>
      <c r="T1176">
        <v>2</v>
      </c>
      <c r="CH1176" t="str">
        <f t="shared" si="18"/>
        <v>D-0045</v>
      </c>
      <c r="CI1176" s="1" t="s">
        <v>102</v>
      </c>
    </row>
    <row r="1177" spans="1:87">
      <c r="A1177" t="s">
        <v>916</v>
      </c>
      <c r="B1177">
        <v>3</v>
      </c>
      <c r="C1177" t="s">
        <v>871</v>
      </c>
      <c r="D1177" t="s">
        <v>247</v>
      </c>
      <c r="E1177" t="s">
        <v>642</v>
      </c>
      <c r="F1177" t="s">
        <v>872</v>
      </c>
      <c r="G1177" t="s">
        <v>873</v>
      </c>
      <c r="T1177">
        <v>1</v>
      </c>
      <c r="X1177">
        <v>2</v>
      </c>
      <c r="CH1177" t="str">
        <f t="shared" si="18"/>
        <v>D-0270</v>
      </c>
      <c r="CI1177" s="1" t="s">
        <v>102</v>
      </c>
    </row>
    <row r="1178" spans="1:87">
      <c r="A1178" t="s">
        <v>917</v>
      </c>
      <c r="B1178">
        <v>6</v>
      </c>
      <c r="C1178" t="s">
        <v>918</v>
      </c>
      <c r="D1178" t="s">
        <v>224</v>
      </c>
      <c r="E1178" t="s">
        <v>629</v>
      </c>
      <c r="F1178" t="s">
        <v>646</v>
      </c>
      <c r="G1178" t="s">
        <v>647</v>
      </c>
      <c r="R1178">
        <v>6</v>
      </c>
      <c r="CH1178" t="str">
        <f t="shared" si="18"/>
        <v>D-0264</v>
      </c>
      <c r="CI1178" s="1" t="s">
        <v>102</v>
      </c>
    </row>
    <row r="1179" spans="1:87">
      <c r="A1179" t="s">
        <v>919</v>
      </c>
      <c r="B1179">
        <v>6</v>
      </c>
      <c r="C1179" t="s">
        <v>920</v>
      </c>
      <c r="D1179" t="s">
        <v>224</v>
      </c>
      <c r="E1179" t="s">
        <v>629</v>
      </c>
      <c r="F1179" t="s">
        <v>646</v>
      </c>
      <c r="G1179" t="s">
        <v>921</v>
      </c>
      <c r="R1179">
        <v>6</v>
      </c>
      <c r="CH1179" t="str">
        <f t="shared" si="18"/>
        <v>D-0264</v>
      </c>
      <c r="CI1179" s="1" t="s">
        <v>102</v>
      </c>
    </row>
    <row r="1180" spans="1:87">
      <c r="A1180" t="s">
        <v>922</v>
      </c>
      <c r="B1180">
        <v>4</v>
      </c>
      <c r="C1180" t="s">
        <v>920</v>
      </c>
      <c r="D1180" t="s">
        <v>224</v>
      </c>
      <c r="E1180" t="s">
        <v>629</v>
      </c>
      <c r="F1180" t="s">
        <v>646</v>
      </c>
      <c r="G1180" t="s">
        <v>921</v>
      </c>
      <c r="R1180">
        <v>4</v>
      </c>
      <c r="CH1180" t="str">
        <f t="shared" si="18"/>
        <v>D-0264</v>
      </c>
      <c r="CI1180" s="1" t="s">
        <v>102</v>
      </c>
    </row>
    <row r="1181" spans="1:87">
      <c r="A1181" t="s">
        <v>923</v>
      </c>
      <c r="B1181">
        <v>6</v>
      </c>
      <c r="C1181" t="s">
        <v>924</v>
      </c>
      <c r="D1181" t="s">
        <v>224</v>
      </c>
      <c r="E1181" t="s">
        <v>629</v>
      </c>
      <c r="F1181" t="s">
        <v>636</v>
      </c>
      <c r="G1181" t="s">
        <v>925</v>
      </c>
      <c r="X1181">
        <v>6</v>
      </c>
      <c r="CH1181" t="str">
        <f t="shared" si="18"/>
        <v>D-0264</v>
      </c>
      <c r="CI1181" s="1" t="s">
        <v>102</v>
      </c>
    </row>
    <row r="1182" spans="1:87">
      <c r="A1182" t="s">
        <v>926</v>
      </c>
      <c r="B1182">
        <v>6</v>
      </c>
      <c r="C1182" t="s">
        <v>924</v>
      </c>
      <c r="D1182" t="s">
        <v>224</v>
      </c>
      <c r="E1182" t="s">
        <v>629</v>
      </c>
      <c r="F1182" t="s">
        <v>636</v>
      </c>
      <c r="G1182" t="s">
        <v>925</v>
      </c>
      <c r="Z1182">
        <v>6</v>
      </c>
      <c r="CH1182" t="str">
        <f t="shared" si="18"/>
        <v>D-0264</v>
      </c>
      <c r="CI1182" s="1" t="s">
        <v>102</v>
      </c>
    </row>
    <row r="1183" spans="1:87">
      <c r="A1183" t="s">
        <v>927</v>
      </c>
      <c r="B1183">
        <v>4</v>
      </c>
      <c r="C1183" t="s">
        <v>928</v>
      </c>
      <c r="D1183" t="s">
        <v>224</v>
      </c>
      <c r="E1183" t="s">
        <v>629</v>
      </c>
      <c r="F1183" t="s">
        <v>695</v>
      </c>
      <c r="G1183" t="s">
        <v>647</v>
      </c>
      <c r="Z1183">
        <v>4</v>
      </c>
      <c r="CH1183" t="str">
        <f t="shared" si="18"/>
        <v>D-0264</v>
      </c>
      <c r="CI1183" s="1" t="s">
        <v>102</v>
      </c>
    </row>
    <row r="1184" spans="1:87">
      <c r="A1184" t="s">
        <v>929</v>
      </c>
      <c r="B1184">
        <v>6</v>
      </c>
      <c r="C1184" t="s">
        <v>930</v>
      </c>
      <c r="D1184" t="s">
        <v>224</v>
      </c>
      <c r="E1184" t="s">
        <v>629</v>
      </c>
      <c r="F1184" t="s">
        <v>695</v>
      </c>
      <c r="G1184" t="s">
        <v>714</v>
      </c>
      <c r="X1184">
        <v>6</v>
      </c>
      <c r="CH1184" t="str">
        <f t="shared" si="18"/>
        <v>D-0264</v>
      </c>
      <c r="CI1184" s="1" t="s">
        <v>102</v>
      </c>
    </row>
    <row r="1185" spans="1:87">
      <c r="A1185" t="s">
        <v>931</v>
      </c>
      <c r="B1185">
        <v>3</v>
      </c>
      <c r="C1185" t="s">
        <v>932</v>
      </c>
      <c r="D1185" t="s">
        <v>224</v>
      </c>
      <c r="E1185" t="s">
        <v>629</v>
      </c>
      <c r="F1185" t="s">
        <v>646</v>
      </c>
      <c r="G1185" t="s">
        <v>714</v>
      </c>
      <c r="T1185">
        <v>3</v>
      </c>
      <c r="CH1185" t="str">
        <f t="shared" si="18"/>
        <v>D-0264</v>
      </c>
      <c r="CI1185" s="1" t="s">
        <v>102</v>
      </c>
    </row>
    <row r="1186" spans="1:87">
      <c r="A1186" t="s">
        <v>933</v>
      </c>
      <c r="B1186">
        <v>6</v>
      </c>
      <c r="C1186" t="s">
        <v>932</v>
      </c>
      <c r="D1186" t="s">
        <v>224</v>
      </c>
      <c r="E1186" t="s">
        <v>629</v>
      </c>
      <c r="F1186" t="s">
        <v>646</v>
      </c>
      <c r="G1186" t="s">
        <v>714</v>
      </c>
      <c r="T1186">
        <v>6</v>
      </c>
      <c r="CH1186" t="str">
        <f t="shared" si="18"/>
        <v>D-0264</v>
      </c>
      <c r="CI1186" s="1" t="s">
        <v>102</v>
      </c>
    </row>
    <row r="1187" spans="1:87">
      <c r="A1187" t="s">
        <v>934</v>
      </c>
      <c r="B1187">
        <v>6</v>
      </c>
      <c r="C1187" t="s">
        <v>928</v>
      </c>
      <c r="D1187" t="s">
        <v>224</v>
      </c>
      <c r="E1187" t="s">
        <v>629</v>
      </c>
      <c r="F1187" t="s">
        <v>695</v>
      </c>
      <c r="G1187" t="s">
        <v>647</v>
      </c>
      <c r="X1187">
        <v>6</v>
      </c>
      <c r="CH1187" t="str">
        <f t="shared" si="18"/>
        <v>D-0264</v>
      </c>
      <c r="CI1187" s="1" t="s">
        <v>102</v>
      </c>
    </row>
    <row r="1188" spans="1:87">
      <c r="A1188" t="s">
        <v>935</v>
      </c>
      <c r="B1188">
        <v>6</v>
      </c>
      <c r="C1188" t="s">
        <v>928</v>
      </c>
      <c r="D1188" t="s">
        <v>224</v>
      </c>
      <c r="E1188" t="s">
        <v>629</v>
      </c>
      <c r="F1188" t="s">
        <v>695</v>
      </c>
      <c r="G1188" t="s">
        <v>647</v>
      </c>
      <c r="X1188">
        <v>6</v>
      </c>
      <c r="CH1188" t="str">
        <f t="shared" si="18"/>
        <v>D-0264</v>
      </c>
      <c r="CI1188" s="1" t="s">
        <v>102</v>
      </c>
    </row>
    <row r="1189" spans="1:87">
      <c r="A1189" t="s">
        <v>936</v>
      </c>
      <c r="B1189">
        <v>6</v>
      </c>
      <c r="C1189" t="s">
        <v>918</v>
      </c>
      <c r="D1189" t="s">
        <v>224</v>
      </c>
      <c r="E1189" t="s">
        <v>629</v>
      </c>
      <c r="F1189" t="s">
        <v>646</v>
      </c>
      <c r="G1189" t="s">
        <v>647</v>
      </c>
      <c r="R1189">
        <v>6</v>
      </c>
      <c r="CH1189" t="str">
        <f t="shared" si="18"/>
        <v>D-0264</v>
      </c>
      <c r="CI1189" s="1" t="s">
        <v>102</v>
      </c>
    </row>
    <row r="1190" spans="1:87">
      <c r="A1190" t="s">
        <v>937</v>
      </c>
      <c r="B1190">
        <v>671</v>
      </c>
      <c r="C1190" t="s">
        <v>734</v>
      </c>
      <c r="D1190" t="s">
        <v>210</v>
      </c>
      <c r="E1190" t="s">
        <v>629</v>
      </c>
      <c r="F1190" t="s">
        <v>633</v>
      </c>
      <c r="G1190" t="s">
        <v>670</v>
      </c>
      <c r="T1190">
        <v>51</v>
      </c>
      <c r="V1190">
        <v>92</v>
      </c>
      <c r="W1190">
        <v>103</v>
      </c>
      <c r="X1190">
        <v>73</v>
      </c>
      <c r="Y1190">
        <v>103</v>
      </c>
      <c r="Z1190">
        <v>97</v>
      </c>
      <c r="AA1190">
        <v>29</v>
      </c>
      <c r="AB1190">
        <v>69</v>
      </c>
      <c r="AC1190">
        <v>2</v>
      </c>
      <c r="AD1190">
        <v>52</v>
      </c>
      <c r="CH1190" t="str">
        <f t="shared" si="18"/>
        <v>D-0256</v>
      </c>
      <c r="CI1190" s="1" t="s">
        <v>102</v>
      </c>
    </row>
    <row r="1191" spans="1:87">
      <c r="A1191" t="s">
        <v>990</v>
      </c>
      <c r="B1191">
        <v>1832</v>
      </c>
      <c r="C1191" t="s">
        <v>734</v>
      </c>
      <c r="D1191" t="s">
        <v>210</v>
      </c>
      <c r="E1191" t="s">
        <v>629</v>
      </c>
      <c r="F1191" t="s">
        <v>633</v>
      </c>
      <c r="G1191" t="s">
        <v>670</v>
      </c>
      <c r="T1191">
        <v>151</v>
      </c>
      <c r="V1191">
        <v>284</v>
      </c>
      <c r="W1191">
        <v>285</v>
      </c>
      <c r="X1191">
        <v>192</v>
      </c>
      <c r="Y1191">
        <v>338</v>
      </c>
      <c r="Z1191">
        <v>256</v>
      </c>
      <c r="AA1191">
        <v>52</v>
      </c>
      <c r="AB1191">
        <v>169</v>
      </c>
      <c r="AC1191">
        <v>23</v>
      </c>
      <c r="AD1191">
        <v>82</v>
      </c>
      <c r="CH1191" t="str">
        <f t="shared" si="18"/>
        <v>D-0256</v>
      </c>
      <c r="CI1191" s="1" t="s">
        <v>102</v>
      </c>
    </row>
    <row r="1192" spans="1:87">
      <c r="A1192" t="s">
        <v>1018</v>
      </c>
      <c r="B1192">
        <v>2160</v>
      </c>
      <c r="C1192" t="s">
        <v>730</v>
      </c>
      <c r="D1192" t="s">
        <v>138</v>
      </c>
      <c r="E1192" t="s">
        <v>642</v>
      </c>
      <c r="F1192" t="s">
        <v>693</v>
      </c>
      <c r="G1192" t="s">
        <v>670</v>
      </c>
      <c r="Q1192">
        <v>94</v>
      </c>
      <c r="S1192">
        <v>834</v>
      </c>
      <c r="U1192">
        <v>422</v>
      </c>
      <c r="W1192">
        <v>810</v>
      </c>
      <c r="CH1192" t="str">
        <f t="shared" si="18"/>
        <v>D-0045</v>
      </c>
      <c r="CI1192" s="1" t="s">
        <v>102</v>
      </c>
    </row>
    <row r="1193" spans="1:87">
      <c r="A1193" t="s">
        <v>1030</v>
      </c>
      <c r="B1193">
        <v>1074</v>
      </c>
      <c r="C1193" t="s">
        <v>1031</v>
      </c>
      <c r="D1193" t="s">
        <v>457</v>
      </c>
      <c r="E1193" t="s">
        <v>629</v>
      </c>
      <c r="F1193" t="s">
        <v>672</v>
      </c>
      <c r="G1193" t="s">
        <v>1005</v>
      </c>
      <c r="X1193">
        <v>234</v>
      </c>
      <c r="Y1193">
        <v>102</v>
      </c>
      <c r="Z1193">
        <v>228</v>
      </c>
      <c r="AA1193">
        <v>84</v>
      </c>
      <c r="AB1193">
        <v>180</v>
      </c>
      <c r="AC1193">
        <v>42</v>
      </c>
      <c r="AD1193">
        <v>126</v>
      </c>
      <c r="AF1193">
        <v>54</v>
      </c>
      <c r="AH1193">
        <v>24</v>
      </c>
      <c r="CH1193" t="str">
        <f t="shared" si="18"/>
        <v>JV1-0695-3</v>
      </c>
      <c r="CI1193" s="1" t="s">
        <v>102</v>
      </c>
    </row>
    <row r="1194" spans="1:87">
      <c r="A1194" t="s">
        <v>1032</v>
      </c>
      <c r="B1194">
        <v>1008</v>
      </c>
      <c r="C1194" t="s">
        <v>689</v>
      </c>
      <c r="D1194" t="s">
        <v>457</v>
      </c>
      <c r="E1194" t="s">
        <v>629</v>
      </c>
      <c r="F1194" t="s">
        <v>672</v>
      </c>
      <c r="G1194" t="s">
        <v>686</v>
      </c>
      <c r="O1194">
        <v>144</v>
      </c>
      <c r="Q1194">
        <v>240</v>
      </c>
      <c r="S1194">
        <v>288</v>
      </c>
      <c r="U1194">
        <v>216</v>
      </c>
      <c r="W1194">
        <v>120</v>
      </c>
      <c r="CH1194" t="str">
        <f t="shared" si="18"/>
        <v>JV1-0695-3</v>
      </c>
      <c r="CI1194" s="1" t="s">
        <v>102</v>
      </c>
    </row>
    <row r="1195" spans="1:87">
      <c r="A1195" t="s">
        <v>1033</v>
      </c>
      <c r="B1195">
        <v>1008</v>
      </c>
      <c r="C1195" t="s">
        <v>689</v>
      </c>
      <c r="D1195" t="s">
        <v>457</v>
      </c>
      <c r="E1195" t="s">
        <v>629</v>
      </c>
      <c r="F1195" t="s">
        <v>672</v>
      </c>
      <c r="G1195" t="s">
        <v>686</v>
      </c>
      <c r="O1195">
        <v>144</v>
      </c>
      <c r="Q1195">
        <v>216</v>
      </c>
      <c r="S1195">
        <v>288</v>
      </c>
      <c r="U1195">
        <v>240</v>
      </c>
      <c r="W1195">
        <v>120</v>
      </c>
      <c r="CH1195" t="str">
        <f t="shared" si="18"/>
        <v>JV1-0695-3</v>
      </c>
      <c r="CI1195" s="1" t="s">
        <v>102</v>
      </c>
    </row>
    <row r="1196" spans="1:87">
      <c r="A1196" t="s">
        <v>5148</v>
      </c>
      <c r="B1196">
        <v>3</v>
      </c>
      <c r="C1196" t="s">
        <v>5144</v>
      </c>
      <c r="D1196" t="s">
        <v>5145</v>
      </c>
      <c r="E1196" t="s">
        <v>642</v>
      </c>
      <c r="F1196" t="s">
        <v>5146</v>
      </c>
      <c r="G1196" t="s">
        <v>2593</v>
      </c>
      <c r="T1196">
        <v>3</v>
      </c>
      <c r="CH1196" t="str">
        <f t="shared" si="18"/>
        <v>D-0514</v>
      </c>
      <c r="CI1196" s="1" t="s">
        <v>102</v>
      </c>
    </row>
    <row r="1197" spans="1:87">
      <c r="A1197" t="s">
        <v>5149</v>
      </c>
      <c r="B1197">
        <v>3</v>
      </c>
      <c r="C1197" t="s">
        <v>5150</v>
      </c>
      <c r="D1197" t="s">
        <v>5145</v>
      </c>
      <c r="E1197" t="s">
        <v>642</v>
      </c>
      <c r="F1197" t="s">
        <v>5146</v>
      </c>
      <c r="G1197" t="s">
        <v>2427</v>
      </c>
      <c r="T1197">
        <v>3</v>
      </c>
      <c r="CH1197" t="str">
        <f t="shared" si="18"/>
        <v>D-0514</v>
      </c>
      <c r="CI1197" s="1" t="s">
        <v>102</v>
      </c>
    </row>
    <row r="1198" spans="1:87">
      <c r="A1198" t="s">
        <v>1557</v>
      </c>
      <c r="B1198">
        <v>3278</v>
      </c>
      <c r="C1198" t="s">
        <v>650</v>
      </c>
      <c r="D1198" t="s">
        <v>261</v>
      </c>
      <c r="E1198" t="s">
        <v>629</v>
      </c>
      <c r="F1198" t="s">
        <v>635</v>
      </c>
      <c r="G1198" t="s">
        <v>651</v>
      </c>
      <c r="N1198">
        <v>250</v>
      </c>
      <c r="O1198">
        <v>250</v>
      </c>
      <c r="P1198">
        <v>250</v>
      </c>
      <c r="Q1198">
        <v>250</v>
      </c>
      <c r="R1198">
        <v>250</v>
      </c>
      <c r="S1198">
        <v>250</v>
      </c>
      <c r="T1198">
        <v>250</v>
      </c>
      <c r="U1198">
        <v>250</v>
      </c>
      <c r="V1198">
        <v>250</v>
      </c>
      <c r="W1198">
        <v>250</v>
      </c>
      <c r="X1198">
        <v>250</v>
      </c>
      <c r="Y1198">
        <v>250</v>
      </c>
      <c r="Z1198">
        <v>278</v>
      </c>
      <c r="CH1198" t="str">
        <f t="shared" si="18"/>
        <v>D-0310</v>
      </c>
      <c r="CI1198" s="1" t="s">
        <v>102</v>
      </c>
    </row>
    <row r="1199" spans="1:87">
      <c r="A1199" t="s">
        <v>1558</v>
      </c>
      <c r="B1199">
        <v>1800</v>
      </c>
      <c r="C1199" t="s">
        <v>1542</v>
      </c>
      <c r="D1199" t="s">
        <v>261</v>
      </c>
      <c r="E1199" t="s">
        <v>629</v>
      </c>
      <c r="F1199" t="s">
        <v>635</v>
      </c>
      <c r="G1199" t="s">
        <v>1516</v>
      </c>
      <c r="X1199">
        <v>1800</v>
      </c>
      <c r="CH1199" t="str">
        <f t="shared" si="18"/>
        <v>D-0310</v>
      </c>
      <c r="CI1199" s="1" t="s">
        <v>102</v>
      </c>
    </row>
    <row r="1200" spans="1:87">
      <c r="A1200" t="s">
        <v>1559</v>
      </c>
      <c r="B1200">
        <v>1800</v>
      </c>
      <c r="C1200" t="s">
        <v>1542</v>
      </c>
      <c r="D1200" t="s">
        <v>261</v>
      </c>
      <c r="E1200" t="s">
        <v>629</v>
      </c>
      <c r="F1200" t="s">
        <v>635</v>
      </c>
      <c r="G1200" t="s">
        <v>1516</v>
      </c>
      <c r="X1200">
        <v>1800</v>
      </c>
      <c r="CH1200" t="str">
        <f t="shared" si="18"/>
        <v>D-0310</v>
      </c>
      <c r="CI1200" s="1" t="s">
        <v>102</v>
      </c>
    </row>
    <row r="1201" spans="1:87">
      <c r="A1201" t="s">
        <v>1560</v>
      </c>
      <c r="B1201">
        <v>1800</v>
      </c>
      <c r="C1201" t="s">
        <v>1550</v>
      </c>
      <c r="D1201" t="s">
        <v>261</v>
      </c>
      <c r="E1201" t="s">
        <v>629</v>
      </c>
      <c r="F1201" t="s">
        <v>635</v>
      </c>
      <c r="G1201" t="s">
        <v>1551</v>
      </c>
      <c r="X1201">
        <v>1800</v>
      </c>
      <c r="CH1201" t="str">
        <f t="shared" si="18"/>
        <v>D-0310</v>
      </c>
      <c r="CI1201" s="1" t="s">
        <v>102</v>
      </c>
    </row>
    <row r="1202" spans="1:87">
      <c r="A1202" t="s">
        <v>1066</v>
      </c>
      <c r="B1202">
        <v>3002</v>
      </c>
      <c r="C1202" t="s">
        <v>1067</v>
      </c>
      <c r="D1202" t="s">
        <v>365</v>
      </c>
      <c r="E1202" t="s">
        <v>629</v>
      </c>
      <c r="F1202" t="s">
        <v>706</v>
      </c>
      <c r="G1202" t="s">
        <v>1068</v>
      </c>
      <c r="V1202">
        <v>144</v>
      </c>
      <c r="W1202">
        <v>228</v>
      </c>
      <c r="X1202">
        <v>266</v>
      </c>
      <c r="Y1202">
        <v>192</v>
      </c>
      <c r="Z1202">
        <v>456</v>
      </c>
      <c r="AA1202">
        <v>204</v>
      </c>
      <c r="AB1202">
        <v>384</v>
      </c>
      <c r="AC1202">
        <v>348</v>
      </c>
      <c r="AD1202">
        <v>360</v>
      </c>
      <c r="AE1202">
        <v>156</v>
      </c>
      <c r="AF1202">
        <v>96</v>
      </c>
      <c r="AH1202">
        <v>168</v>
      </c>
      <c r="CH1202" t="str">
        <f t="shared" si="18"/>
        <v>D-0524</v>
      </c>
      <c r="CI1202" s="1" t="s">
        <v>102</v>
      </c>
    </row>
    <row r="1203" spans="1:87">
      <c r="A1203" t="s">
        <v>1069</v>
      </c>
      <c r="B1203">
        <v>2498</v>
      </c>
      <c r="C1203" t="s">
        <v>1056</v>
      </c>
      <c r="D1203" t="s">
        <v>365</v>
      </c>
      <c r="E1203" t="s">
        <v>629</v>
      </c>
      <c r="F1203" t="s">
        <v>706</v>
      </c>
      <c r="G1203" t="s">
        <v>737</v>
      </c>
      <c r="V1203">
        <v>84</v>
      </c>
      <c r="W1203">
        <v>228</v>
      </c>
      <c r="X1203">
        <v>134</v>
      </c>
      <c r="Y1203">
        <v>216</v>
      </c>
      <c r="Z1203">
        <v>372</v>
      </c>
      <c r="AA1203">
        <v>264</v>
      </c>
      <c r="AB1203">
        <v>348</v>
      </c>
      <c r="AC1203">
        <v>324</v>
      </c>
      <c r="AD1203">
        <v>372</v>
      </c>
      <c r="AE1203">
        <v>48</v>
      </c>
      <c r="AF1203">
        <v>60</v>
      </c>
      <c r="AH1203">
        <v>48</v>
      </c>
      <c r="CH1203" t="str">
        <f t="shared" si="18"/>
        <v>D-0524</v>
      </c>
      <c r="CI1203" s="1" t="s">
        <v>102</v>
      </c>
    </row>
    <row r="1204" spans="1:87">
      <c r="A1204" t="s">
        <v>1070</v>
      </c>
      <c r="B1204">
        <v>2498</v>
      </c>
      <c r="C1204" t="s">
        <v>1056</v>
      </c>
      <c r="D1204" t="s">
        <v>365</v>
      </c>
      <c r="E1204" t="s">
        <v>629</v>
      </c>
      <c r="F1204" t="s">
        <v>706</v>
      </c>
      <c r="G1204" t="s">
        <v>737</v>
      </c>
      <c r="T1204">
        <v>12</v>
      </c>
      <c r="U1204">
        <v>12</v>
      </c>
      <c r="V1204">
        <v>96</v>
      </c>
      <c r="W1204">
        <v>132</v>
      </c>
      <c r="X1204">
        <v>182</v>
      </c>
      <c r="Y1204">
        <v>240</v>
      </c>
      <c r="Z1204">
        <v>300</v>
      </c>
      <c r="AA1204">
        <v>360</v>
      </c>
      <c r="AB1204">
        <v>348</v>
      </c>
      <c r="AC1204">
        <v>228</v>
      </c>
      <c r="AD1204">
        <v>300</v>
      </c>
      <c r="AE1204">
        <v>24</v>
      </c>
      <c r="AF1204">
        <v>192</v>
      </c>
      <c r="AH1204">
        <v>72</v>
      </c>
      <c r="CH1204" t="str">
        <f t="shared" si="18"/>
        <v>D-0524</v>
      </c>
      <c r="CI1204" s="1" t="s">
        <v>102</v>
      </c>
    </row>
    <row r="1205" spans="1:87">
      <c r="A1205" t="s">
        <v>1071</v>
      </c>
      <c r="B1205">
        <v>2498</v>
      </c>
      <c r="C1205" t="s">
        <v>946</v>
      </c>
      <c r="D1205" t="s">
        <v>365</v>
      </c>
      <c r="E1205" t="s">
        <v>629</v>
      </c>
      <c r="F1205" t="s">
        <v>706</v>
      </c>
      <c r="G1205" t="s">
        <v>947</v>
      </c>
      <c r="U1205">
        <v>24</v>
      </c>
      <c r="V1205">
        <v>60</v>
      </c>
      <c r="W1205">
        <v>300</v>
      </c>
      <c r="X1205">
        <v>74</v>
      </c>
      <c r="Y1205">
        <v>312</v>
      </c>
      <c r="Z1205">
        <v>312</v>
      </c>
      <c r="AA1205">
        <v>324</v>
      </c>
      <c r="AB1205">
        <v>324</v>
      </c>
      <c r="AC1205">
        <v>72</v>
      </c>
      <c r="AD1205">
        <v>324</v>
      </c>
      <c r="AF1205">
        <v>300</v>
      </c>
      <c r="AH1205">
        <v>72</v>
      </c>
      <c r="CH1205" t="str">
        <f t="shared" si="18"/>
        <v>D-0524</v>
      </c>
      <c r="CI1205" s="1" t="s">
        <v>102</v>
      </c>
    </row>
    <row r="1206" spans="1:87">
      <c r="A1206" t="s">
        <v>1072</v>
      </c>
      <c r="B1206">
        <v>3002</v>
      </c>
      <c r="C1206" t="s">
        <v>946</v>
      </c>
      <c r="D1206" t="s">
        <v>365</v>
      </c>
      <c r="E1206" t="s">
        <v>629</v>
      </c>
      <c r="F1206" t="s">
        <v>706</v>
      </c>
      <c r="G1206" t="s">
        <v>947</v>
      </c>
      <c r="V1206">
        <v>120</v>
      </c>
      <c r="W1206">
        <v>156</v>
      </c>
      <c r="X1206">
        <v>122</v>
      </c>
      <c r="Y1206">
        <v>456</v>
      </c>
      <c r="Z1206">
        <v>468</v>
      </c>
      <c r="AA1206">
        <v>468</v>
      </c>
      <c r="AB1206">
        <v>456</v>
      </c>
      <c r="AC1206">
        <v>120</v>
      </c>
      <c r="AD1206">
        <v>456</v>
      </c>
      <c r="AF1206">
        <v>168</v>
      </c>
      <c r="AH1206">
        <v>12</v>
      </c>
      <c r="CH1206" t="str">
        <f t="shared" si="18"/>
        <v>D-0524</v>
      </c>
      <c r="CI1206" s="1" t="s">
        <v>102</v>
      </c>
    </row>
    <row r="1207" spans="1:87">
      <c r="A1207" t="s">
        <v>1073</v>
      </c>
      <c r="B1207">
        <v>302</v>
      </c>
      <c r="C1207" t="s">
        <v>946</v>
      </c>
      <c r="D1207" t="s">
        <v>365</v>
      </c>
      <c r="E1207" t="s">
        <v>629</v>
      </c>
      <c r="F1207" t="s">
        <v>706</v>
      </c>
      <c r="G1207" t="s">
        <v>947</v>
      </c>
      <c r="T1207">
        <v>12</v>
      </c>
      <c r="U1207">
        <v>12</v>
      </c>
      <c r="V1207">
        <v>12</v>
      </c>
      <c r="W1207">
        <v>12</v>
      </c>
      <c r="X1207">
        <v>26</v>
      </c>
      <c r="Y1207">
        <v>24</v>
      </c>
      <c r="Z1207">
        <v>24</v>
      </c>
      <c r="AA1207">
        <v>36</v>
      </c>
      <c r="AB1207">
        <v>36</v>
      </c>
      <c r="AC1207">
        <v>24</v>
      </c>
      <c r="AD1207">
        <v>24</v>
      </c>
      <c r="AE1207">
        <v>12</v>
      </c>
      <c r="AF1207">
        <v>24</v>
      </c>
      <c r="AH1207">
        <v>12</v>
      </c>
      <c r="AJ1207">
        <v>12</v>
      </c>
      <c r="CH1207" t="str">
        <f t="shared" si="18"/>
        <v>D-0524</v>
      </c>
      <c r="CI1207" s="1" t="s">
        <v>102</v>
      </c>
    </row>
    <row r="1208" spans="1:87">
      <c r="A1208" t="s">
        <v>1074</v>
      </c>
      <c r="B1208">
        <v>3998</v>
      </c>
      <c r="C1208" t="s">
        <v>1056</v>
      </c>
      <c r="D1208" t="s">
        <v>365</v>
      </c>
      <c r="E1208" t="s">
        <v>629</v>
      </c>
      <c r="F1208" t="s">
        <v>706</v>
      </c>
      <c r="G1208" t="s">
        <v>737</v>
      </c>
      <c r="T1208">
        <v>36</v>
      </c>
      <c r="U1208">
        <v>84</v>
      </c>
      <c r="V1208">
        <v>324</v>
      </c>
      <c r="W1208">
        <v>324</v>
      </c>
      <c r="X1208">
        <v>326</v>
      </c>
      <c r="Y1208">
        <v>336</v>
      </c>
      <c r="Z1208">
        <v>336</v>
      </c>
      <c r="AA1208">
        <v>336</v>
      </c>
      <c r="AB1208">
        <v>336</v>
      </c>
      <c r="AC1208">
        <v>336</v>
      </c>
      <c r="AD1208">
        <v>336</v>
      </c>
      <c r="AE1208">
        <v>156</v>
      </c>
      <c r="AF1208">
        <v>336</v>
      </c>
      <c r="AH1208">
        <v>312</v>
      </c>
      <c r="AJ1208">
        <v>84</v>
      </c>
      <c r="CH1208" t="str">
        <f t="shared" si="18"/>
        <v>D-0524</v>
      </c>
      <c r="CI1208" s="1" t="s">
        <v>102</v>
      </c>
    </row>
    <row r="1209" spans="1:87">
      <c r="A1209" t="s">
        <v>1075</v>
      </c>
      <c r="B1209">
        <v>5498</v>
      </c>
      <c r="C1209" t="s">
        <v>1056</v>
      </c>
      <c r="D1209" t="s">
        <v>365</v>
      </c>
      <c r="E1209" t="s">
        <v>629</v>
      </c>
      <c r="F1209" t="s">
        <v>706</v>
      </c>
      <c r="G1209" t="s">
        <v>737</v>
      </c>
      <c r="T1209">
        <v>36</v>
      </c>
      <c r="U1209">
        <v>84</v>
      </c>
      <c r="V1209">
        <v>456</v>
      </c>
      <c r="W1209">
        <v>480</v>
      </c>
      <c r="X1209">
        <v>482</v>
      </c>
      <c r="Y1209">
        <v>480</v>
      </c>
      <c r="Z1209">
        <v>492</v>
      </c>
      <c r="AA1209">
        <v>492</v>
      </c>
      <c r="AB1209">
        <v>492</v>
      </c>
      <c r="AC1209">
        <v>480</v>
      </c>
      <c r="AD1209">
        <v>492</v>
      </c>
      <c r="AE1209">
        <v>156</v>
      </c>
      <c r="AF1209">
        <v>480</v>
      </c>
      <c r="AH1209">
        <v>312</v>
      </c>
      <c r="AJ1209">
        <v>84</v>
      </c>
      <c r="CH1209" t="str">
        <f t="shared" si="18"/>
        <v>D-0524</v>
      </c>
      <c r="CI1209" s="1" t="s">
        <v>102</v>
      </c>
    </row>
    <row r="1210" spans="1:87">
      <c r="A1210" t="s">
        <v>1076</v>
      </c>
      <c r="B1210">
        <v>734</v>
      </c>
      <c r="C1210" t="s">
        <v>1056</v>
      </c>
      <c r="D1210" t="s">
        <v>365</v>
      </c>
      <c r="E1210" t="s">
        <v>629</v>
      </c>
      <c r="F1210" t="s">
        <v>706</v>
      </c>
      <c r="G1210" t="s">
        <v>737</v>
      </c>
      <c r="V1210">
        <v>24</v>
      </c>
      <c r="W1210">
        <v>24</v>
      </c>
      <c r="X1210">
        <v>62</v>
      </c>
      <c r="Y1210">
        <v>72</v>
      </c>
      <c r="Z1210">
        <v>84</v>
      </c>
      <c r="AA1210">
        <v>108</v>
      </c>
      <c r="AB1210">
        <v>96</v>
      </c>
      <c r="AC1210">
        <v>72</v>
      </c>
      <c r="AD1210">
        <v>84</v>
      </c>
      <c r="AE1210">
        <v>12</v>
      </c>
      <c r="AF1210">
        <v>72</v>
      </c>
      <c r="AH1210">
        <v>24</v>
      </c>
      <c r="CH1210" t="str">
        <f t="shared" si="18"/>
        <v>D-0524</v>
      </c>
      <c r="CI1210" s="1" t="s">
        <v>102</v>
      </c>
    </row>
    <row r="1211" spans="1:87">
      <c r="A1211" t="s">
        <v>1077</v>
      </c>
      <c r="B1211">
        <v>2498</v>
      </c>
      <c r="C1211" t="s">
        <v>705</v>
      </c>
      <c r="D1211" t="s">
        <v>365</v>
      </c>
      <c r="E1211" t="s">
        <v>642</v>
      </c>
      <c r="F1211" t="s">
        <v>706</v>
      </c>
      <c r="G1211" t="s">
        <v>707</v>
      </c>
      <c r="P1211">
        <v>60</v>
      </c>
      <c r="Q1211">
        <v>288</v>
      </c>
      <c r="R1211">
        <v>492</v>
      </c>
      <c r="S1211">
        <v>564</v>
      </c>
      <c r="T1211">
        <v>458</v>
      </c>
      <c r="U1211">
        <v>492</v>
      </c>
      <c r="V1211">
        <v>84</v>
      </c>
      <c r="W1211">
        <v>60</v>
      </c>
      <c r="CH1211" t="str">
        <f t="shared" si="18"/>
        <v>D-0524</v>
      </c>
      <c r="CI1211" s="1" t="s">
        <v>102</v>
      </c>
    </row>
    <row r="1212" spans="1:87">
      <c r="A1212" t="s">
        <v>1081</v>
      </c>
      <c r="B1212">
        <v>3494</v>
      </c>
      <c r="C1212" t="s">
        <v>1079</v>
      </c>
      <c r="D1212" t="s">
        <v>365</v>
      </c>
      <c r="E1212" t="s">
        <v>642</v>
      </c>
      <c r="F1212" t="s">
        <v>706</v>
      </c>
      <c r="G1212" t="s">
        <v>1080</v>
      </c>
      <c r="P1212">
        <v>120</v>
      </c>
      <c r="Q1212">
        <v>312</v>
      </c>
      <c r="R1212">
        <v>468</v>
      </c>
      <c r="S1212">
        <v>576</v>
      </c>
      <c r="T1212">
        <v>590</v>
      </c>
      <c r="U1212">
        <v>576</v>
      </c>
      <c r="V1212">
        <v>336</v>
      </c>
      <c r="W1212">
        <v>396</v>
      </c>
      <c r="Y1212">
        <v>120</v>
      </c>
      <c r="CH1212" t="str">
        <f t="shared" si="18"/>
        <v>D-0524</v>
      </c>
      <c r="CI1212" s="1" t="s">
        <v>102</v>
      </c>
    </row>
    <row r="1213" spans="1:87">
      <c r="A1213" t="s">
        <v>1082</v>
      </c>
      <c r="B1213">
        <v>1394</v>
      </c>
      <c r="C1213" t="s">
        <v>736</v>
      </c>
      <c r="D1213" t="s">
        <v>365</v>
      </c>
      <c r="E1213" t="s">
        <v>642</v>
      </c>
      <c r="F1213" t="s">
        <v>706</v>
      </c>
      <c r="G1213" t="s">
        <v>737</v>
      </c>
      <c r="M1213">
        <v>12</v>
      </c>
      <c r="N1213">
        <v>12</v>
      </c>
      <c r="O1213">
        <v>48</v>
      </c>
      <c r="P1213">
        <v>60</v>
      </c>
      <c r="Q1213">
        <v>108</v>
      </c>
      <c r="R1213">
        <v>156</v>
      </c>
      <c r="S1213">
        <v>216</v>
      </c>
      <c r="T1213">
        <v>206</v>
      </c>
      <c r="U1213">
        <v>180</v>
      </c>
      <c r="V1213">
        <v>132</v>
      </c>
      <c r="W1213">
        <v>120</v>
      </c>
      <c r="X1213">
        <v>60</v>
      </c>
      <c r="Y1213">
        <v>60</v>
      </c>
      <c r="AA1213">
        <v>24</v>
      </c>
      <c r="CH1213" t="str">
        <f t="shared" si="18"/>
        <v>D-0524</v>
      </c>
      <c r="CI1213" s="1" t="s">
        <v>102</v>
      </c>
    </row>
    <row r="1214" spans="1:87">
      <c r="A1214" t="s">
        <v>1084</v>
      </c>
      <c r="B1214">
        <v>6002</v>
      </c>
      <c r="C1214" t="s">
        <v>705</v>
      </c>
      <c r="D1214" t="s">
        <v>365</v>
      </c>
      <c r="E1214" t="s">
        <v>642</v>
      </c>
      <c r="F1214" t="s">
        <v>706</v>
      </c>
      <c r="G1214" t="s">
        <v>707</v>
      </c>
      <c r="Q1214">
        <v>276</v>
      </c>
      <c r="R1214">
        <v>912</v>
      </c>
      <c r="S1214">
        <v>1284</v>
      </c>
      <c r="T1214">
        <v>1298</v>
      </c>
      <c r="U1214">
        <v>1284</v>
      </c>
      <c r="V1214">
        <v>300</v>
      </c>
      <c r="W1214">
        <v>648</v>
      </c>
      <c r="CH1214" t="str">
        <f t="shared" si="18"/>
        <v>D-0524</v>
      </c>
      <c r="CI1214" s="1" t="s">
        <v>102</v>
      </c>
    </row>
    <row r="1215" spans="1:87">
      <c r="A1215" t="s">
        <v>1085</v>
      </c>
      <c r="B1215">
        <v>110</v>
      </c>
      <c r="C1215" t="s">
        <v>953</v>
      </c>
      <c r="D1215" t="s">
        <v>365</v>
      </c>
      <c r="E1215" t="s">
        <v>629</v>
      </c>
      <c r="F1215" t="s">
        <v>706</v>
      </c>
      <c r="G1215" t="s">
        <v>954</v>
      </c>
      <c r="V1215">
        <v>6</v>
      </c>
      <c r="X1215">
        <v>20</v>
      </c>
      <c r="Z1215">
        <v>24</v>
      </c>
      <c r="AB1215">
        <v>24</v>
      </c>
      <c r="AD1215">
        <v>18</v>
      </c>
      <c r="AF1215">
        <v>12</v>
      </c>
      <c r="AH1215">
        <v>6</v>
      </c>
      <c r="CH1215" t="str">
        <f t="shared" si="18"/>
        <v>D-0524</v>
      </c>
      <c r="CI1215" s="1" t="s">
        <v>102</v>
      </c>
    </row>
    <row r="1216" spans="1:87">
      <c r="A1216" t="s">
        <v>1088</v>
      </c>
      <c r="B1216">
        <v>206</v>
      </c>
      <c r="C1216" t="s">
        <v>946</v>
      </c>
      <c r="D1216" t="s">
        <v>365</v>
      </c>
      <c r="E1216" t="s">
        <v>629</v>
      </c>
      <c r="F1216" t="s">
        <v>706</v>
      </c>
      <c r="G1216" t="s">
        <v>947</v>
      </c>
      <c r="T1216">
        <v>12</v>
      </c>
      <c r="U1216">
        <v>12</v>
      </c>
      <c r="V1216">
        <v>12</v>
      </c>
      <c r="W1216">
        <v>12</v>
      </c>
      <c r="X1216">
        <v>20</v>
      </c>
      <c r="Y1216">
        <v>18</v>
      </c>
      <c r="Z1216">
        <v>18</v>
      </c>
      <c r="AA1216">
        <v>18</v>
      </c>
      <c r="AB1216">
        <v>18</v>
      </c>
      <c r="AC1216">
        <v>18</v>
      </c>
      <c r="AD1216">
        <v>18</v>
      </c>
      <c r="AF1216">
        <v>18</v>
      </c>
      <c r="AH1216">
        <v>12</v>
      </c>
      <c r="CH1216" t="str">
        <f t="shared" si="18"/>
        <v>D-0524</v>
      </c>
      <c r="CI1216" s="1" t="s">
        <v>102</v>
      </c>
    </row>
    <row r="1217" spans="1:87">
      <c r="A1217" t="s">
        <v>1117</v>
      </c>
      <c r="B1217">
        <v>5195</v>
      </c>
      <c r="C1217" t="s">
        <v>1118</v>
      </c>
      <c r="D1217" t="s">
        <v>199</v>
      </c>
      <c r="E1217" t="s">
        <v>629</v>
      </c>
      <c r="F1217" t="s">
        <v>725</v>
      </c>
      <c r="G1217" t="s">
        <v>1119</v>
      </c>
      <c r="N1217">
        <v>6</v>
      </c>
      <c r="O1217">
        <v>6</v>
      </c>
      <c r="P1217">
        <v>12</v>
      </c>
      <c r="Q1217">
        <v>12</v>
      </c>
      <c r="R1217">
        <v>54</v>
      </c>
      <c r="S1217">
        <v>90</v>
      </c>
      <c r="T1217">
        <v>205</v>
      </c>
      <c r="U1217">
        <v>200</v>
      </c>
      <c r="V1217">
        <v>384</v>
      </c>
      <c r="W1217">
        <v>360</v>
      </c>
      <c r="X1217">
        <v>566</v>
      </c>
      <c r="Y1217">
        <v>480</v>
      </c>
      <c r="Z1217">
        <v>684</v>
      </c>
      <c r="AA1217">
        <v>360</v>
      </c>
      <c r="AB1217">
        <v>540</v>
      </c>
      <c r="AC1217">
        <v>240</v>
      </c>
      <c r="AD1217">
        <v>360</v>
      </c>
      <c r="AE1217">
        <v>242</v>
      </c>
      <c r="AF1217">
        <v>228</v>
      </c>
      <c r="AH1217">
        <v>105</v>
      </c>
      <c r="AJ1217">
        <v>61</v>
      </c>
      <c r="CH1217" t="str">
        <f t="shared" si="18"/>
        <v>D-0203</v>
      </c>
      <c r="CI1217" s="1" t="s">
        <v>102</v>
      </c>
    </row>
    <row r="1218" spans="1:87">
      <c r="A1218" t="s">
        <v>1120</v>
      </c>
      <c r="B1218">
        <v>4038</v>
      </c>
      <c r="C1218" t="s">
        <v>1118</v>
      </c>
      <c r="D1218" t="s">
        <v>199</v>
      </c>
      <c r="E1218" t="s">
        <v>629</v>
      </c>
      <c r="F1218" t="s">
        <v>725</v>
      </c>
      <c r="G1218" t="s">
        <v>1119</v>
      </c>
      <c r="T1218">
        <v>98</v>
      </c>
      <c r="V1218">
        <v>384</v>
      </c>
      <c r="W1218">
        <v>300</v>
      </c>
      <c r="X1218">
        <v>566</v>
      </c>
      <c r="Y1218">
        <v>480</v>
      </c>
      <c r="Z1218">
        <v>684</v>
      </c>
      <c r="AA1218">
        <v>300</v>
      </c>
      <c r="AB1218">
        <v>540</v>
      </c>
      <c r="AC1218">
        <v>240</v>
      </c>
      <c r="AD1218">
        <v>348</v>
      </c>
      <c r="AF1218">
        <v>98</v>
      </c>
      <c r="CH1218" t="str">
        <f t="shared" ref="CH1218:CH1281" si="19">TRIM(IFERROR(IFERROR(MID($D1218,FIND("(D-",$D1218)+1,6),LEFT($D1218,FIND("(",$D1218)-1)),$D1218))</f>
        <v>D-0203</v>
      </c>
      <c r="CI1218" s="1" t="s">
        <v>102</v>
      </c>
    </row>
    <row r="1219" spans="1:87">
      <c r="A1219" t="s">
        <v>1121</v>
      </c>
      <c r="B1219">
        <v>2628</v>
      </c>
      <c r="C1219" t="s">
        <v>1118</v>
      </c>
      <c r="D1219" t="s">
        <v>199</v>
      </c>
      <c r="E1219" t="s">
        <v>629</v>
      </c>
      <c r="F1219" t="s">
        <v>725</v>
      </c>
      <c r="G1219" t="s">
        <v>1119</v>
      </c>
      <c r="V1219">
        <v>248</v>
      </c>
      <c r="W1219">
        <v>187</v>
      </c>
      <c r="X1219">
        <v>409</v>
      </c>
      <c r="Y1219">
        <v>364</v>
      </c>
      <c r="Z1219">
        <v>549</v>
      </c>
      <c r="AA1219">
        <v>176</v>
      </c>
      <c r="AB1219">
        <v>386</v>
      </c>
      <c r="AC1219">
        <v>96</v>
      </c>
      <c r="AD1219">
        <v>213</v>
      </c>
      <c r="CH1219" t="str">
        <f t="shared" si="19"/>
        <v>D-0203</v>
      </c>
      <c r="CI1219" s="1" t="s">
        <v>102</v>
      </c>
    </row>
    <row r="1220" spans="1:87">
      <c r="A1220" t="s">
        <v>1128</v>
      </c>
      <c r="B1220">
        <v>297</v>
      </c>
      <c r="C1220" t="s">
        <v>1129</v>
      </c>
      <c r="D1220" t="s">
        <v>1125</v>
      </c>
      <c r="E1220" t="s">
        <v>642</v>
      </c>
      <c r="F1220" t="s">
        <v>672</v>
      </c>
      <c r="G1220" t="s">
        <v>1130</v>
      </c>
      <c r="P1220">
        <v>1</v>
      </c>
      <c r="R1220">
        <v>53</v>
      </c>
      <c r="T1220">
        <v>121</v>
      </c>
      <c r="V1220">
        <v>88</v>
      </c>
      <c r="X1220">
        <v>34</v>
      </c>
      <c r="CH1220" t="str">
        <f t="shared" si="19"/>
        <v>D-0604</v>
      </c>
      <c r="CI1220" s="1" t="s">
        <v>102</v>
      </c>
    </row>
    <row r="1221" spans="1:87">
      <c r="A1221" t="s">
        <v>1131</v>
      </c>
      <c r="B1221">
        <v>463</v>
      </c>
      <c r="C1221" t="s">
        <v>1129</v>
      </c>
      <c r="D1221" t="s">
        <v>1125</v>
      </c>
      <c r="E1221" t="s">
        <v>642</v>
      </c>
      <c r="F1221" t="s">
        <v>672</v>
      </c>
      <c r="G1221" t="s">
        <v>1130</v>
      </c>
      <c r="P1221">
        <v>10</v>
      </c>
      <c r="R1221">
        <v>80</v>
      </c>
      <c r="T1221">
        <v>174</v>
      </c>
      <c r="V1221">
        <v>110</v>
      </c>
      <c r="X1221">
        <v>60</v>
      </c>
      <c r="Z1221">
        <v>25</v>
      </c>
      <c r="AB1221">
        <v>4</v>
      </c>
      <c r="CH1221" t="str">
        <f t="shared" si="19"/>
        <v>D-0604</v>
      </c>
      <c r="CI1221" s="1" t="s">
        <v>102</v>
      </c>
    </row>
    <row r="1222" spans="1:87">
      <c r="A1222" t="s">
        <v>1132</v>
      </c>
      <c r="B1222">
        <v>32</v>
      </c>
      <c r="C1222" t="s">
        <v>1129</v>
      </c>
      <c r="D1222" t="s">
        <v>1125</v>
      </c>
      <c r="E1222" t="s">
        <v>642</v>
      </c>
      <c r="F1222" t="s">
        <v>672</v>
      </c>
      <c r="G1222" t="s">
        <v>1130</v>
      </c>
      <c r="P1222">
        <v>4</v>
      </c>
      <c r="R1222">
        <v>4</v>
      </c>
      <c r="T1222">
        <v>8</v>
      </c>
      <c r="V1222">
        <v>8</v>
      </c>
      <c r="X1222">
        <v>4</v>
      </c>
      <c r="Z1222">
        <v>4</v>
      </c>
      <c r="CH1222" t="str">
        <f t="shared" si="19"/>
        <v>D-0604</v>
      </c>
      <c r="CI1222" s="1" t="s">
        <v>102</v>
      </c>
    </row>
    <row r="1223" spans="1:87">
      <c r="A1223" t="s">
        <v>1133</v>
      </c>
      <c r="B1223">
        <v>94</v>
      </c>
      <c r="C1223" t="s">
        <v>1129</v>
      </c>
      <c r="D1223" t="s">
        <v>1125</v>
      </c>
      <c r="E1223" t="s">
        <v>642</v>
      </c>
      <c r="F1223" t="s">
        <v>672</v>
      </c>
      <c r="G1223" t="s">
        <v>1130</v>
      </c>
      <c r="R1223">
        <v>11</v>
      </c>
      <c r="T1223">
        <v>35</v>
      </c>
      <c r="V1223">
        <v>30</v>
      </c>
      <c r="X1223">
        <v>18</v>
      </c>
      <c r="CH1223" t="str">
        <f t="shared" si="19"/>
        <v>D-0604</v>
      </c>
      <c r="CI1223" s="1" t="s">
        <v>102</v>
      </c>
    </row>
    <row r="1224" spans="1:87">
      <c r="A1224" t="s">
        <v>1134</v>
      </c>
      <c r="B1224">
        <v>248</v>
      </c>
      <c r="C1224" t="s">
        <v>1129</v>
      </c>
      <c r="D1224" t="s">
        <v>1125</v>
      </c>
      <c r="E1224" t="s">
        <v>642</v>
      </c>
      <c r="F1224" t="s">
        <v>672</v>
      </c>
      <c r="G1224" t="s">
        <v>1130</v>
      </c>
      <c r="P1224">
        <v>15</v>
      </c>
      <c r="R1224">
        <v>36</v>
      </c>
      <c r="T1224">
        <v>74</v>
      </c>
      <c r="V1224">
        <v>74</v>
      </c>
      <c r="X1224">
        <v>46</v>
      </c>
      <c r="Z1224">
        <v>3</v>
      </c>
      <c r="CH1224" t="str">
        <f t="shared" si="19"/>
        <v>D-0604</v>
      </c>
      <c r="CI1224" s="1" t="s">
        <v>102</v>
      </c>
    </row>
    <row r="1225" spans="1:87">
      <c r="A1225" t="s">
        <v>1135</v>
      </c>
      <c r="B1225">
        <v>40</v>
      </c>
      <c r="C1225" t="s">
        <v>1129</v>
      </c>
      <c r="D1225" t="s">
        <v>1125</v>
      </c>
      <c r="E1225" t="s">
        <v>642</v>
      </c>
      <c r="F1225" t="s">
        <v>672</v>
      </c>
      <c r="G1225" t="s">
        <v>1130</v>
      </c>
      <c r="P1225">
        <v>8</v>
      </c>
      <c r="R1225">
        <v>8</v>
      </c>
      <c r="T1225">
        <v>8</v>
      </c>
      <c r="V1225">
        <v>8</v>
      </c>
      <c r="X1225">
        <v>8</v>
      </c>
      <c r="CH1225" t="str">
        <f t="shared" si="19"/>
        <v>D-0604</v>
      </c>
      <c r="CI1225" s="1" t="s">
        <v>102</v>
      </c>
    </row>
    <row r="1226" spans="1:87">
      <c r="A1226" t="s">
        <v>1136</v>
      </c>
      <c r="B1226">
        <v>208</v>
      </c>
      <c r="C1226" t="s">
        <v>1129</v>
      </c>
      <c r="D1226" t="s">
        <v>1125</v>
      </c>
      <c r="E1226" t="s">
        <v>642</v>
      </c>
      <c r="F1226" t="s">
        <v>672</v>
      </c>
      <c r="G1226" t="s">
        <v>1130</v>
      </c>
      <c r="P1226">
        <v>1</v>
      </c>
      <c r="R1226">
        <v>7</v>
      </c>
      <c r="T1226">
        <v>16</v>
      </c>
      <c r="V1226">
        <v>89</v>
      </c>
      <c r="X1226">
        <v>62</v>
      </c>
      <c r="Z1226">
        <v>28</v>
      </c>
      <c r="AB1226">
        <v>5</v>
      </c>
      <c r="CH1226" t="str">
        <f t="shared" si="19"/>
        <v>D-0604</v>
      </c>
      <c r="CI1226" s="1" t="s">
        <v>102</v>
      </c>
    </row>
    <row r="1227" spans="1:87">
      <c r="A1227" t="s">
        <v>1137</v>
      </c>
      <c r="B1227">
        <v>216</v>
      </c>
      <c r="C1227" t="s">
        <v>1129</v>
      </c>
      <c r="D1227" t="s">
        <v>1125</v>
      </c>
      <c r="E1227" t="s">
        <v>642</v>
      </c>
      <c r="F1227" t="s">
        <v>672</v>
      </c>
      <c r="G1227" t="s">
        <v>1130</v>
      </c>
      <c r="P1227">
        <v>12</v>
      </c>
      <c r="R1227">
        <v>27</v>
      </c>
      <c r="T1227">
        <v>47</v>
      </c>
      <c r="V1227">
        <v>66</v>
      </c>
      <c r="X1227">
        <v>50</v>
      </c>
      <c r="Z1227">
        <v>12</v>
      </c>
      <c r="AB1227">
        <v>2</v>
      </c>
      <c r="CH1227" t="str">
        <f t="shared" si="19"/>
        <v>D-0604</v>
      </c>
      <c r="CI1227" s="1" t="s">
        <v>102</v>
      </c>
    </row>
    <row r="1228" spans="1:87">
      <c r="A1228" t="s">
        <v>1138</v>
      </c>
      <c r="B1228">
        <v>1070</v>
      </c>
      <c r="C1228" t="s">
        <v>1129</v>
      </c>
      <c r="D1228" t="s">
        <v>1125</v>
      </c>
      <c r="E1228" t="s">
        <v>642</v>
      </c>
      <c r="F1228" t="s">
        <v>672</v>
      </c>
      <c r="G1228" t="s">
        <v>1130</v>
      </c>
      <c r="P1228">
        <v>1</v>
      </c>
      <c r="R1228">
        <v>104</v>
      </c>
      <c r="T1228">
        <v>310</v>
      </c>
      <c r="V1228">
        <v>286</v>
      </c>
      <c r="X1228">
        <v>218</v>
      </c>
      <c r="Z1228">
        <v>148</v>
      </c>
      <c r="AB1228">
        <v>3</v>
      </c>
      <c r="CH1228" t="str">
        <f t="shared" si="19"/>
        <v>D-0604</v>
      </c>
      <c r="CI1228" s="1" t="s">
        <v>102</v>
      </c>
    </row>
    <row r="1229" spans="1:87">
      <c r="A1229" t="s">
        <v>1139</v>
      </c>
      <c r="B1229">
        <v>743</v>
      </c>
      <c r="C1229" t="s">
        <v>1129</v>
      </c>
      <c r="D1229" t="s">
        <v>1125</v>
      </c>
      <c r="E1229" t="s">
        <v>642</v>
      </c>
      <c r="F1229" t="s">
        <v>672</v>
      </c>
      <c r="G1229" t="s">
        <v>1130</v>
      </c>
      <c r="P1229">
        <v>3</v>
      </c>
      <c r="R1229">
        <v>55</v>
      </c>
      <c r="T1229">
        <v>166</v>
      </c>
      <c r="V1229">
        <v>231</v>
      </c>
      <c r="X1229">
        <v>175</v>
      </c>
      <c r="Z1229">
        <v>98</v>
      </c>
      <c r="AB1229">
        <v>15</v>
      </c>
      <c r="CH1229" t="str">
        <f t="shared" si="19"/>
        <v>D-0604</v>
      </c>
      <c r="CI1229" s="1" t="s">
        <v>102</v>
      </c>
    </row>
    <row r="1230" spans="1:87">
      <c r="A1230" t="s">
        <v>1140</v>
      </c>
      <c r="B1230">
        <v>1615</v>
      </c>
      <c r="C1230" t="s">
        <v>1129</v>
      </c>
      <c r="D1230" t="s">
        <v>1125</v>
      </c>
      <c r="E1230" t="s">
        <v>642</v>
      </c>
      <c r="F1230" t="s">
        <v>672</v>
      </c>
      <c r="G1230" t="s">
        <v>1130</v>
      </c>
      <c r="P1230">
        <v>46</v>
      </c>
      <c r="R1230">
        <v>108</v>
      </c>
      <c r="T1230">
        <v>234</v>
      </c>
      <c r="V1230">
        <v>654</v>
      </c>
      <c r="X1230">
        <v>317</v>
      </c>
      <c r="Z1230">
        <v>165</v>
      </c>
      <c r="AB1230">
        <v>91</v>
      </c>
      <c r="CH1230" t="str">
        <f t="shared" si="19"/>
        <v>D-0604</v>
      </c>
      <c r="CI1230" s="1" t="s">
        <v>102</v>
      </c>
    </row>
    <row r="1231" spans="1:87">
      <c r="A1231" t="s">
        <v>1144</v>
      </c>
      <c r="B1231">
        <v>1463</v>
      </c>
      <c r="C1231" t="s">
        <v>671</v>
      </c>
      <c r="D1231" t="s">
        <v>457</v>
      </c>
      <c r="E1231" t="s">
        <v>629</v>
      </c>
      <c r="F1231" t="s">
        <v>672</v>
      </c>
      <c r="G1231" t="s">
        <v>673</v>
      </c>
      <c r="O1231">
        <v>120</v>
      </c>
      <c r="P1231">
        <v>120</v>
      </c>
      <c r="Q1231">
        <v>120</v>
      </c>
      <c r="R1231">
        <v>120</v>
      </c>
      <c r="S1231">
        <v>120</v>
      </c>
      <c r="T1231">
        <v>120</v>
      </c>
      <c r="U1231">
        <v>120</v>
      </c>
      <c r="V1231">
        <v>120</v>
      </c>
      <c r="W1231">
        <v>120</v>
      </c>
      <c r="X1231">
        <v>120</v>
      </c>
      <c r="Y1231">
        <v>125</v>
      </c>
      <c r="Z1231">
        <v>96</v>
      </c>
      <c r="AB1231">
        <v>30</v>
      </c>
      <c r="AD1231">
        <v>12</v>
      </c>
      <c r="CH1231" t="str">
        <f t="shared" si="19"/>
        <v>JV1-0695-3</v>
      </c>
      <c r="CI1231" s="1" t="s">
        <v>102</v>
      </c>
    </row>
    <row r="1232" spans="1:87">
      <c r="A1232" t="s">
        <v>1160</v>
      </c>
      <c r="B1232">
        <v>149</v>
      </c>
      <c r="C1232" t="s">
        <v>685</v>
      </c>
      <c r="D1232" t="s">
        <v>457</v>
      </c>
      <c r="E1232" t="s">
        <v>629</v>
      </c>
      <c r="F1232" t="s">
        <v>672</v>
      </c>
      <c r="G1232" t="s">
        <v>686</v>
      </c>
      <c r="N1232">
        <v>6</v>
      </c>
      <c r="P1232">
        <v>6</v>
      </c>
      <c r="Q1232">
        <v>6</v>
      </c>
      <c r="R1232">
        <v>12</v>
      </c>
      <c r="S1232">
        <v>12</v>
      </c>
      <c r="T1232">
        <v>17</v>
      </c>
      <c r="U1232">
        <v>6</v>
      </c>
      <c r="V1232">
        <v>18</v>
      </c>
      <c r="W1232">
        <v>12</v>
      </c>
      <c r="X1232">
        <v>18</v>
      </c>
      <c r="Y1232">
        <v>6</v>
      </c>
      <c r="Z1232">
        <v>12</v>
      </c>
      <c r="AA1232">
        <v>6</v>
      </c>
      <c r="AB1232">
        <v>12</v>
      </c>
      <c r="CH1232" t="str">
        <f t="shared" si="19"/>
        <v>JV1-0695-3</v>
      </c>
      <c r="CI1232" s="1" t="s">
        <v>102</v>
      </c>
    </row>
    <row r="1233" spans="1:87">
      <c r="A1233" t="s">
        <v>1162</v>
      </c>
      <c r="B1233">
        <v>455</v>
      </c>
      <c r="C1233" t="s">
        <v>685</v>
      </c>
      <c r="D1233" t="s">
        <v>457</v>
      </c>
      <c r="E1233" t="s">
        <v>629</v>
      </c>
      <c r="F1233" t="s">
        <v>672</v>
      </c>
      <c r="G1233" t="s">
        <v>686</v>
      </c>
      <c r="N1233">
        <v>12</v>
      </c>
      <c r="O1233">
        <v>24</v>
      </c>
      <c r="P1233">
        <v>30</v>
      </c>
      <c r="Q1233">
        <v>42</v>
      </c>
      <c r="R1233">
        <v>36</v>
      </c>
      <c r="S1233">
        <v>36</v>
      </c>
      <c r="T1233">
        <v>29</v>
      </c>
      <c r="U1233">
        <v>30</v>
      </c>
      <c r="V1233">
        <v>30</v>
      </c>
      <c r="W1233">
        <v>36</v>
      </c>
      <c r="X1233">
        <v>42</v>
      </c>
      <c r="Y1233">
        <v>36</v>
      </c>
      <c r="Z1233">
        <v>24</v>
      </c>
      <c r="AA1233">
        <v>18</v>
      </c>
      <c r="AB1233">
        <v>18</v>
      </c>
      <c r="AD1233">
        <v>6</v>
      </c>
      <c r="AF1233">
        <v>6</v>
      </c>
      <c r="CH1233" t="str">
        <f t="shared" si="19"/>
        <v>JV1-0695-3</v>
      </c>
      <c r="CI1233" s="1" t="s">
        <v>102</v>
      </c>
    </row>
    <row r="1234" spans="1:87">
      <c r="A1234" t="s">
        <v>1174</v>
      </c>
      <c r="B1234">
        <v>858</v>
      </c>
      <c r="C1234" t="s">
        <v>1172</v>
      </c>
      <c r="D1234" t="s">
        <v>1173</v>
      </c>
      <c r="E1234" t="s">
        <v>629</v>
      </c>
      <c r="F1234" t="s">
        <v>672</v>
      </c>
      <c r="G1234" t="s">
        <v>1004</v>
      </c>
      <c r="O1234">
        <v>138</v>
      </c>
      <c r="Q1234">
        <v>192</v>
      </c>
      <c r="S1234">
        <v>192</v>
      </c>
      <c r="U1234">
        <v>120</v>
      </c>
      <c r="W1234">
        <v>78</v>
      </c>
      <c r="Y1234">
        <v>60</v>
      </c>
      <c r="AA1234">
        <v>42</v>
      </c>
      <c r="AC1234">
        <v>24</v>
      </c>
      <c r="AE1234">
        <v>12</v>
      </c>
      <c r="CH1234" t="str">
        <f t="shared" si="19"/>
        <v>JV1-0695-3</v>
      </c>
      <c r="CI1234" s="1" t="s">
        <v>102</v>
      </c>
    </row>
    <row r="1235" spans="1:87">
      <c r="A1235" t="s">
        <v>1180</v>
      </c>
      <c r="B1235">
        <v>2036</v>
      </c>
      <c r="C1235" t="s">
        <v>730</v>
      </c>
      <c r="D1235" t="s">
        <v>138</v>
      </c>
      <c r="E1235" t="s">
        <v>642</v>
      </c>
      <c r="F1235" t="s">
        <v>693</v>
      </c>
      <c r="G1235" t="s">
        <v>670</v>
      </c>
      <c r="U1235">
        <v>540</v>
      </c>
      <c r="W1235">
        <v>109</v>
      </c>
      <c r="Z1235">
        <v>635</v>
      </c>
      <c r="AA1235">
        <v>358</v>
      </c>
      <c r="AB1235">
        <v>192</v>
      </c>
      <c r="AC1235">
        <v>106</v>
      </c>
      <c r="AD1235">
        <v>96</v>
      </c>
      <c r="CH1235" t="str">
        <f t="shared" si="19"/>
        <v>D-0045</v>
      </c>
      <c r="CI1235" s="1" t="s">
        <v>102</v>
      </c>
    </row>
    <row r="1236" spans="1:87">
      <c r="A1236" t="s">
        <v>1193</v>
      </c>
      <c r="B1236">
        <v>5340</v>
      </c>
      <c r="C1236" t="s">
        <v>1194</v>
      </c>
      <c r="D1236" t="s">
        <v>199</v>
      </c>
      <c r="E1236" t="s">
        <v>629</v>
      </c>
      <c r="F1236" t="s">
        <v>725</v>
      </c>
      <c r="G1236" t="s">
        <v>1195</v>
      </c>
      <c r="O1236">
        <v>6</v>
      </c>
      <c r="P1236">
        <v>6</v>
      </c>
      <c r="Q1236">
        <v>6</v>
      </c>
      <c r="R1236">
        <v>18</v>
      </c>
      <c r="S1236">
        <v>30</v>
      </c>
      <c r="T1236">
        <v>218</v>
      </c>
      <c r="U1236">
        <v>133</v>
      </c>
      <c r="V1236">
        <v>444</v>
      </c>
      <c r="W1236">
        <v>396</v>
      </c>
      <c r="X1236">
        <v>650</v>
      </c>
      <c r="Y1236">
        <v>600</v>
      </c>
      <c r="Z1236">
        <v>804</v>
      </c>
      <c r="AA1236">
        <v>360</v>
      </c>
      <c r="AB1236">
        <v>600</v>
      </c>
      <c r="AC1236">
        <v>240</v>
      </c>
      <c r="AD1236">
        <v>384</v>
      </c>
      <c r="AE1236">
        <v>173</v>
      </c>
      <c r="AF1236">
        <v>194</v>
      </c>
      <c r="AH1236">
        <v>55</v>
      </c>
      <c r="AJ1236">
        <v>23</v>
      </c>
      <c r="CH1236" t="str">
        <f t="shared" si="19"/>
        <v>D-0203</v>
      </c>
      <c r="CI1236" s="1" t="s">
        <v>102</v>
      </c>
    </row>
    <row r="1237" spans="1:87">
      <c r="A1237" t="s">
        <v>1196</v>
      </c>
      <c r="B1237">
        <v>3350</v>
      </c>
      <c r="C1237" t="s">
        <v>1194</v>
      </c>
      <c r="D1237" t="s">
        <v>199</v>
      </c>
      <c r="E1237" t="s">
        <v>629</v>
      </c>
      <c r="F1237" t="s">
        <v>725</v>
      </c>
      <c r="G1237" t="s">
        <v>1195</v>
      </c>
      <c r="V1237">
        <v>311</v>
      </c>
      <c r="W1237">
        <v>249</v>
      </c>
      <c r="X1237">
        <v>504</v>
      </c>
      <c r="Y1237">
        <v>487</v>
      </c>
      <c r="Z1237">
        <v>675</v>
      </c>
      <c r="AA1237">
        <v>239</v>
      </c>
      <c r="AB1237">
        <v>491</v>
      </c>
      <c r="AC1237">
        <v>128</v>
      </c>
      <c r="AD1237">
        <v>266</v>
      </c>
      <c r="CH1237" t="str">
        <f t="shared" si="19"/>
        <v>D-0203</v>
      </c>
      <c r="CI1237" s="1" t="s">
        <v>102</v>
      </c>
    </row>
    <row r="1238" spans="1:87">
      <c r="A1238" t="s">
        <v>1197</v>
      </c>
      <c r="B1238">
        <v>149</v>
      </c>
      <c r="C1238" t="s">
        <v>1168</v>
      </c>
      <c r="D1238" t="s">
        <v>457</v>
      </c>
      <c r="E1238" t="s">
        <v>629</v>
      </c>
      <c r="F1238" t="s">
        <v>672</v>
      </c>
      <c r="G1238" t="s">
        <v>673</v>
      </c>
      <c r="P1238">
        <v>12</v>
      </c>
      <c r="Q1238">
        <v>24</v>
      </c>
      <c r="R1238">
        <v>24</v>
      </c>
      <c r="S1238">
        <v>24</v>
      </c>
      <c r="T1238">
        <v>12</v>
      </c>
      <c r="W1238">
        <v>17</v>
      </c>
      <c r="X1238">
        <v>12</v>
      </c>
      <c r="Y1238">
        <v>12</v>
      </c>
      <c r="Z1238">
        <v>12</v>
      </c>
      <c r="CH1238" t="str">
        <f t="shared" si="19"/>
        <v>JV1-0695-3</v>
      </c>
      <c r="CI1238" s="1" t="s">
        <v>102</v>
      </c>
    </row>
    <row r="1239" spans="1:87">
      <c r="A1239" t="s">
        <v>1198</v>
      </c>
      <c r="B1239">
        <v>221</v>
      </c>
      <c r="C1239" t="s">
        <v>718</v>
      </c>
      <c r="D1239" t="s">
        <v>457</v>
      </c>
      <c r="E1239" t="s">
        <v>629</v>
      </c>
      <c r="F1239" t="s">
        <v>672</v>
      </c>
      <c r="G1239" t="s">
        <v>673</v>
      </c>
      <c r="U1239">
        <v>12</v>
      </c>
      <c r="V1239">
        <v>12</v>
      </c>
      <c r="W1239">
        <v>35</v>
      </c>
      <c r="X1239">
        <v>48</v>
      </c>
      <c r="Y1239">
        <v>36</v>
      </c>
      <c r="Z1239">
        <v>48</v>
      </c>
      <c r="AA1239">
        <v>12</v>
      </c>
      <c r="AB1239">
        <v>18</v>
      </c>
      <c r="CH1239" t="str">
        <f t="shared" si="19"/>
        <v>JV1-0695-3</v>
      </c>
      <c r="CI1239" s="1" t="s">
        <v>102</v>
      </c>
    </row>
    <row r="1240" spans="1:87">
      <c r="A1240" t="s">
        <v>1199</v>
      </c>
      <c r="B1240">
        <v>899</v>
      </c>
      <c r="C1240" t="s">
        <v>1165</v>
      </c>
      <c r="D1240" t="s">
        <v>457</v>
      </c>
      <c r="E1240" t="s">
        <v>629</v>
      </c>
      <c r="F1240" t="s">
        <v>672</v>
      </c>
      <c r="G1240" t="s">
        <v>673</v>
      </c>
      <c r="P1240">
        <v>36</v>
      </c>
      <c r="Q1240">
        <v>36</v>
      </c>
      <c r="R1240">
        <v>126</v>
      </c>
      <c r="S1240">
        <v>72</v>
      </c>
      <c r="T1240">
        <v>90</v>
      </c>
      <c r="V1240">
        <v>36</v>
      </c>
      <c r="W1240">
        <v>95</v>
      </c>
      <c r="X1240">
        <v>126</v>
      </c>
      <c r="Y1240">
        <v>36</v>
      </c>
      <c r="Z1240">
        <v>126</v>
      </c>
      <c r="AA1240">
        <v>48</v>
      </c>
      <c r="AB1240">
        <v>36</v>
      </c>
      <c r="AD1240">
        <v>36</v>
      </c>
      <c r="CH1240" t="str">
        <f t="shared" si="19"/>
        <v>JV1-0695-3</v>
      </c>
      <c r="CI1240" s="1" t="s">
        <v>102</v>
      </c>
    </row>
    <row r="1241" spans="1:87">
      <c r="A1241" t="s">
        <v>1204</v>
      </c>
      <c r="B1241">
        <v>1</v>
      </c>
      <c r="C1241" t="s">
        <v>1205</v>
      </c>
      <c r="D1241" t="s">
        <v>199</v>
      </c>
      <c r="E1241" t="s">
        <v>629</v>
      </c>
      <c r="F1241" t="s">
        <v>725</v>
      </c>
      <c r="G1241" t="s">
        <v>1119</v>
      </c>
      <c r="AB1241">
        <v>1</v>
      </c>
      <c r="CH1241" t="str">
        <f t="shared" si="19"/>
        <v>D-0203</v>
      </c>
      <c r="CI1241" s="1" t="s">
        <v>102</v>
      </c>
    </row>
    <row r="1242" spans="1:87">
      <c r="A1242" t="s">
        <v>1206</v>
      </c>
      <c r="B1242">
        <v>1</v>
      </c>
      <c r="C1242" t="s">
        <v>1194</v>
      </c>
      <c r="D1242" t="s">
        <v>199</v>
      </c>
      <c r="E1242" t="s">
        <v>629</v>
      </c>
      <c r="F1242" t="s">
        <v>725</v>
      </c>
      <c r="G1242" t="s">
        <v>1195</v>
      </c>
      <c r="AB1242">
        <v>1</v>
      </c>
      <c r="CH1242" t="str">
        <f t="shared" si="19"/>
        <v>D-0203</v>
      </c>
      <c r="CI1242" s="1" t="s">
        <v>102</v>
      </c>
    </row>
    <row r="1243" spans="1:87">
      <c r="A1243" t="s">
        <v>1231</v>
      </c>
      <c r="B1243">
        <v>293</v>
      </c>
      <c r="C1243" t="s">
        <v>1166</v>
      </c>
      <c r="D1243" t="s">
        <v>457</v>
      </c>
      <c r="E1243" t="s">
        <v>629</v>
      </c>
      <c r="F1243" t="s">
        <v>672</v>
      </c>
      <c r="G1243" t="s">
        <v>673</v>
      </c>
      <c r="T1243">
        <v>24</v>
      </c>
      <c r="U1243">
        <v>29</v>
      </c>
      <c r="V1243">
        <v>24</v>
      </c>
      <c r="W1243">
        <v>48</v>
      </c>
      <c r="X1243">
        <v>48</v>
      </c>
      <c r="Y1243">
        <v>48</v>
      </c>
      <c r="Z1243">
        <v>24</v>
      </c>
      <c r="AA1243">
        <v>24</v>
      </c>
      <c r="AB1243">
        <v>24</v>
      </c>
      <c r="CH1243" t="str">
        <f t="shared" si="19"/>
        <v>JV1-0695-3</v>
      </c>
      <c r="CI1243" s="1" t="s">
        <v>102</v>
      </c>
    </row>
    <row r="1244" spans="1:87">
      <c r="A1244" t="s">
        <v>1232</v>
      </c>
      <c r="B1244">
        <v>149</v>
      </c>
      <c r="C1244" t="s">
        <v>1166</v>
      </c>
      <c r="D1244" t="s">
        <v>457</v>
      </c>
      <c r="E1244" t="s">
        <v>629</v>
      </c>
      <c r="F1244" t="s">
        <v>672</v>
      </c>
      <c r="G1244" t="s">
        <v>673</v>
      </c>
      <c r="T1244">
        <v>24</v>
      </c>
      <c r="U1244">
        <v>29</v>
      </c>
      <c r="V1244">
        <v>24</v>
      </c>
      <c r="W1244">
        <v>24</v>
      </c>
      <c r="X1244">
        <v>24</v>
      </c>
      <c r="Y1244">
        <v>24</v>
      </c>
      <c r="CH1244" t="str">
        <f t="shared" si="19"/>
        <v>JV1-0695-3</v>
      </c>
      <c r="CI1244" s="1" t="s">
        <v>102</v>
      </c>
    </row>
    <row r="1245" spans="1:87">
      <c r="A1245" t="s">
        <v>1233</v>
      </c>
      <c r="B1245">
        <v>1085</v>
      </c>
      <c r="C1245" t="s">
        <v>1166</v>
      </c>
      <c r="D1245" t="s">
        <v>457</v>
      </c>
      <c r="E1245" t="s">
        <v>629</v>
      </c>
      <c r="F1245" t="s">
        <v>672</v>
      </c>
      <c r="G1245" t="s">
        <v>673</v>
      </c>
      <c r="N1245">
        <v>90</v>
      </c>
      <c r="O1245">
        <v>90</v>
      </c>
      <c r="P1245">
        <v>180</v>
      </c>
      <c r="Q1245">
        <v>180</v>
      </c>
      <c r="R1245">
        <v>90</v>
      </c>
      <c r="S1245">
        <v>90</v>
      </c>
      <c r="T1245">
        <v>90</v>
      </c>
      <c r="U1245">
        <v>95</v>
      </c>
      <c r="V1245">
        <v>90</v>
      </c>
      <c r="W1245">
        <v>90</v>
      </c>
      <c r="CH1245" t="str">
        <f t="shared" si="19"/>
        <v>JV1-0695-3</v>
      </c>
      <c r="CI1245" s="1" t="s">
        <v>102</v>
      </c>
    </row>
    <row r="1246" spans="1:87">
      <c r="A1246" t="s">
        <v>1234</v>
      </c>
      <c r="B1246">
        <v>365</v>
      </c>
      <c r="C1246" t="s">
        <v>1166</v>
      </c>
      <c r="D1246" t="s">
        <v>457</v>
      </c>
      <c r="E1246" t="s">
        <v>629</v>
      </c>
      <c r="F1246" t="s">
        <v>672</v>
      </c>
      <c r="G1246" t="s">
        <v>673</v>
      </c>
      <c r="O1246">
        <v>30</v>
      </c>
      <c r="P1246">
        <v>30</v>
      </c>
      <c r="Q1246">
        <v>30</v>
      </c>
      <c r="R1246">
        <v>60</v>
      </c>
      <c r="S1246">
        <v>60</v>
      </c>
      <c r="T1246">
        <v>60</v>
      </c>
      <c r="U1246">
        <v>35</v>
      </c>
      <c r="V1246">
        <v>30</v>
      </c>
      <c r="W1246">
        <v>30</v>
      </c>
      <c r="CH1246" t="str">
        <f t="shared" si="19"/>
        <v>JV1-0695-3</v>
      </c>
      <c r="CI1246" s="1" t="s">
        <v>102</v>
      </c>
    </row>
    <row r="1247" spans="1:87">
      <c r="A1247" t="s">
        <v>1235</v>
      </c>
      <c r="B1247">
        <v>509</v>
      </c>
      <c r="C1247" t="s">
        <v>1166</v>
      </c>
      <c r="D1247" t="s">
        <v>457</v>
      </c>
      <c r="E1247" t="s">
        <v>629</v>
      </c>
      <c r="F1247" t="s">
        <v>672</v>
      </c>
      <c r="G1247" t="s">
        <v>673</v>
      </c>
      <c r="O1247">
        <v>126</v>
      </c>
      <c r="P1247">
        <v>126</v>
      </c>
      <c r="Q1247">
        <v>126</v>
      </c>
      <c r="R1247">
        <v>131</v>
      </c>
      <c r="CH1247" t="str">
        <f t="shared" si="19"/>
        <v>JV1-0695-3</v>
      </c>
      <c r="CI1247" s="1" t="s">
        <v>102</v>
      </c>
    </row>
    <row r="1248" spans="1:87">
      <c r="A1248" t="s">
        <v>1236</v>
      </c>
      <c r="B1248">
        <v>725</v>
      </c>
      <c r="C1248" t="s">
        <v>1168</v>
      </c>
      <c r="D1248" t="s">
        <v>457</v>
      </c>
      <c r="E1248" t="s">
        <v>629</v>
      </c>
      <c r="F1248" t="s">
        <v>672</v>
      </c>
      <c r="G1248" t="s">
        <v>673</v>
      </c>
      <c r="T1248">
        <v>60</v>
      </c>
      <c r="U1248">
        <v>65</v>
      </c>
      <c r="V1248">
        <v>60</v>
      </c>
      <c r="W1248">
        <v>120</v>
      </c>
      <c r="X1248">
        <v>120</v>
      </c>
      <c r="Y1248">
        <v>120</v>
      </c>
      <c r="Z1248">
        <v>60</v>
      </c>
      <c r="AA1248">
        <v>60</v>
      </c>
      <c r="AB1248">
        <v>60</v>
      </c>
      <c r="CH1248" t="str">
        <f t="shared" si="19"/>
        <v>JV1-0695-3</v>
      </c>
      <c r="CI1248" s="1" t="s">
        <v>102</v>
      </c>
    </row>
    <row r="1249" spans="1:87">
      <c r="A1249" t="s">
        <v>1237</v>
      </c>
      <c r="B1249">
        <v>72</v>
      </c>
      <c r="C1249" t="s">
        <v>1168</v>
      </c>
      <c r="D1249" t="s">
        <v>457</v>
      </c>
      <c r="E1249" t="s">
        <v>629</v>
      </c>
      <c r="F1249" t="s">
        <v>672</v>
      </c>
      <c r="G1249" t="s">
        <v>673</v>
      </c>
      <c r="U1249">
        <v>6</v>
      </c>
      <c r="V1249">
        <v>6</v>
      </c>
      <c r="W1249">
        <v>6</v>
      </c>
      <c r="X1249">
        <v>6</v>
      </c>
      <c r="Y1249">
        <v>12</v>
      </c>
      <c r="Z1249">
        <v>12</v>
      </c>
      <c r="AA1249">
        <v>6</v>
      </c>
      <c r="AB1249">
        <v>6</v>
      </c>
      <c r="AC1249">
        <v>6</v>
      </c>
      <c r="AD1249">
        <v>6</v>
      </c>
      <c r="CH1249" t="str">
        <f t="shared" si="19"/>
        <v>JV1-0695-3</v>
      </c>
      <c r="CI1249" s="1" t="s">
        <v>102</v>
      </c>
    </row>
    <row r="1250" spans="1:87">
      <c r="A1250" t="s">
        <v>1238</v>
      </c>
      <c r="B1250">
        <v>149</v>
      </c>
      <c r="C1250" t="s">
        <v>1168</v>
      </c>
      <c r="D1250" t="s">
        <v>457</v>
      </c>
      <c r="E1250" t="s">
        <v>629</v>
      </c>
      <c r="F1250" t="s">
        <v>672</v>
      </c>
      <c r="G1250" t="s">
        <v>673</v>
      </c>
      <c r="T1250">
        <v>24</v>
      </c>
      <c r="U1250">
        <v>29</v>
      </c>
      <c r="V1250">
        <v>24</v>
      </c>
      <c r="W1250">
        <v>24</v>
      </c>
      <c r="X1250">
        <v>24</v>
      </c>
      <c r="Y1250">
        <v>24</v>
      </c>
      <c r="CH1250" t="str">
        <f t="shared" si="19"/>
        <v>JV1-0695-3</v>
      </c>
      <c r="CI1250" s="1" t="s">
        <v>102</v>
      </c>
    </row>
    <row r="1251" spans="1:87">
      <c r="A1251" t="s">
        <v>1239</v>
      </c>
      <c r="B1251">
        <v>509</v>
      </c>
      <c r="C1251" t="s">
        <v>1168</v>
      </c>
      <c r="D1251" t="s">
        <v>457</v>
      </c>
      <c r="E1251" t="s">
        <v>629</v>
      </c>
      <c r="F1251" t="s">
        <v>672</v>
      </c>
      <c r="G1251" t="s">
        <v>673</v>
      </c>
      <c r="N1251">
        <v>42</v>
      </c>
      <c r="O1251">
        <v>42</v>
      </c>
      <c r="P1251">
        <v>84</v>
      </c>
      <c r="Q1251">
        <v>84</v>
      </c>
      <c r="R1251">
        <v>42</v>
      </c>
      <c r="S1251">
        <v>42</v>
      </c>
      <c r="T1251">
        <v>42</v>
      </c>
      <c r="U1251">
        <v>47</v>
      </c>
      <c r="V1251">
        <v>42</v>
      </c>
      <c r="W1251">
        <v>42</v>
      </c>
      <c r="CH1251" t="str">
        <f t="shared" si="19"/>
        <v>JV1-0695-3</v>
      </c>
      <c r="CI1251" s="1" t="s">
        <v>102</v>
      </c>
    </row>
    <row r="1252" spans="1:87">
      <c r="A1252" t="s">
        <v>1240</v>
      </c>
      <c r="B1252">
        <v>293</v>
      </c>
      <c r="C1252" t="s">
        <v>1168</v>
      </c>
      <c r="D1252" t="s">
        <v>457</v>
      </c>
      <c r="E1252" t="s">
        <v>629</v>
      </c>
      <c r="F1252" t="s">
        <v>672</v>
      </c>
      <c r="G1252" t="s">
        <v>673</v>
      </c>
      <c r="O1252">
        <v>24</v>
      </c>
      <c r="P1252">
        <v>24</v>
      </c>
      <c r="Q1252">
        <v>24</v>
      </c>
      <c r="R1252">
        <v>48</v>
      </c>
      <c r="S1252">
        <v>48</v>
      </c>
      <c r="T1252">
        <v>48</v>
      </c>
      <c r="U1252">
        <v>29</v>
      </c>
      <c r="V1252">
        <v>24</v>
      </c>
      <c r="W1252">
        <v>24</v>
      </c>
      <c r="CH1252" t="str">
        <f t="shared" si="19"/>
        <v>JV1-0695-3</v>
      </c>
      <c r="CI1252" s="1" t="s">
        <v>102</v>
      </c>
    </row>
    <row r="1253" spans="1:87">
      <c r="A1253" t="s">
        <v>1241</v>
      </c>
      <c r="B1253">
        <v>96</v>
      </c>
      <c r="C1253" t="s">
        <v>1168</v>
      </c>
      <c r="D1253" t="s">
        <v>457</v>
      </c>
      <c r="E1253" t="s">
        <v>629</v>
      </c>
      <c r="F1253" t="s">
        <v>672</v>
      </c>
      <c r="G1253" t="s">
        <v>673</v>
      </c>
      <c r="O1253">
        <v>24</v>
      </c>
      <c r="P1253">
        <v>24</v>
      </c>
      <c r="Q1253">
        <v>24</v>
      </c>
      <c r="R1253">
        <v>24</v>
      </c>
      <c r="CH1253" t="str">
        <f t="shared" si="19"/>
        <v>JV1-0695-3</v>
      </c>
      <c r="CI1253" s="1" t="s">
        <v>102</v>
      </c>
    </row>
    <row r="1254" spans="1:87">
      <c r="A1254" t="s">
        <v>1242</v>
      </c>
      <c r="B1254">
        <v>293</v>
      </c>
      <c r="C1254" t="s">
        <v>1165</v>
      </c>
      <c r="D1254" t="s">
        <v>457</v>
      </c>
      <c r="E1254" t="s">
        <v>629</v>
      </c>
      <c r="F1254" t="s">
        <v>672</v>
      </c>
      <c r="G1254" t="s">
        <v>673</v>
      </c>
      <c r="T1254">
        <v>24</v>
      </c>
      <c r="U1254">
        <v>29</v>
      </c>
      <c r="V1254">
        <v>24</v>
      </c>
      <c r="W1254">
        <v>48</v>
      </c>
      <c r="X1254">
        <v>48</v>
      </c>
      <c r="Y1254">
        <v>48</v>
      </c>
      <c r="Z1254">
        <v>24</v>
      </c>
      <c r="AA1254">
        <v>24</v>
      </c>
      <c r="AB1254">
        <v>24</v>
      </c>
      <c r="CH1254" t="str">
        <f t="shared" si="19"/>
        <v>JV1-0695-3</v>
      </c>
      <c r="CI1254" s="1" t="s">
        <v>102</v>
      </c>
    </row>
    <row r="1255" spans="1:87">
      <c r="A1255" t="s">
        <v>1243</v>
      </c>
      <c r="B1255">
        <v>293</v>
      </c>
      <c r="C1255" t="s">
        <v>1165</v>
      </c>
      <c r="D1255" t="s">
        <v>457</v>
      </c>
      <c r="E1255" t="s">
        <v>629</v>
      </c>
      <c r="F1255" t="s">
        <v>672</v>
      </c>
      <c r="G1255" t="s">
        <v>673</v>
      </c>
      <c r="U1255">
        <v>29</v>
      </c>
      <c r="V1255">
        <v>24</v>
      </c>
      <c r="W1255">
        <v>24</v>
      </c>
      <c r="X1255">
        <v>24</v>
      </c>
      <c r="Y1255">
        <v>48</v>
      </c>
      <c r="Z1255">
        <v>48</v>
      </c>
      <c r="AA1255">
        <v>24</v>
      </c>
      <c r="AB1255">
        <v>24</v>
      </c>
      <c r="AC1255">
        <v>24</v>
      </c>
      <c r="AD1255">
        <v>24</v>
      </c>
      <c r="CH1255" t="str">
        <f t="shared" si="19"/>
        <v>JV1-0695-3</v>
      </c>
      <c r="CI1255" s="1" t="s">
        <v>102</v>
      </c>
    </row>
    <row r="1256" spans="1:87">
      <c r="A1256" t="s">
        <v>1244</v>
      </c>
      <c r="B1256">
        <v>149</v>
      </c>
      <c r="C1256" t="s">
        <v>1165</v>
      </c>
      <c r="D1256" t="s">
        <v>457</v>
      </c>
      <c r="E1256" t="s">
        <v>629</v>
      </c>
      <c r="F1256" t="s">
        <v>672</v>
      </c>
      <c r="G1256" t="s">
        <v>673</v>
      </c>
      <c r="T1256">
        <v>24</v>
      </c>
      <c r="U1256">
        <v>29</v>
      </c>
      <c r="V1256">
        <v>24</v>
      </c>
      <c r="W1256">
        <v>24</v>
      </c>
      <c r="X1256">
        <v>24</v>
      </c>
      <c r="Y1256">
        <v>24</v>
      </c>
      <c r="CH1256" t="str">
        <f t="shared" si="19"/>
        <v>JV1-0695-3</v>
      </c>
      <c r="CI1256" s="1" t="s">
        <v>102</v>
      </c>
    </row>
    <row r="1257" spans="1:87">
      <c r="A1257" t="s">
        <v>1245</v>
      </c>
      <c r="B1257">
        <v>1301</v>
      </c>
      <c r="C1257" t="s">
        <v>1165</v>
      </c>
      <c r="D1257" t="s">
        <v>457</v>
      </c>
      <c r="E1257" t="s">
        <v>629</v>
      </c>
      <c r="F1257" t="s">
        <v>672</v>
      </c>
      <c r="G1257" t="s">
        <v>673</v>
      </c>
      <c r="N1257">
        <v>108</v>
      </c>
      <c r="O1257">
        <v>108</v>
      </c>
      <c r="P1257">
        <v>216</v>
      </c>
      <c r="Q1257">
        <v>216</v>
      </c>
      <c r="R1257">
        <v>108</v>
      </c>
      <c r="S1257">
        <v>108</v>
      </c>
      <c r="T1257">
        <v>108</v>
      </c>
      <c r="U1257">
        <v>113</v>
      </c>
      <c r="V1257">
        <v>108</v>
      </c>
      <c r="W1257">
        <v>108</v>
      </c>
      <c r="CH1257" t="str">
        <f t="shared" si="19"/>
        <v>JV1-0695-3</v>
      </c>
      <c r="CI1257" s="1" t="s">
        <v>102</v>
      </c>
    </row>
    <row r="1258" spans="1:87">
      <c r="A1258" t="s">
        <v>1246</v>
      </c>
      <c r="B1258">
        <v>437</v>
      </c>
      <c r="C1258" t="s">
        <v>1165</v>
      </c>
      <c r="D1258" t="s">
        <v>457</v>
      </c>
      <c r="E1258" t="s">
        <v>629</v>
      </c>
      <c r="F1258" t="s">
        <v>672</v>
      </c>
      <c r="G1258" t="s">
        <v>673</v>
      </c>
      <c r="O1258">
        <v>36</v>
      </c>
      <c r="P1258">
        <v>36</v>
      </c>
      <c r="Q1258">
        <v>36</v>
      </c>
      <c r="R1258">
        <v>72</v>
      </c>
      <c r="S1258">
        <v>72</v>
      </c>
      <c r="T1258">
        <v>72</v>
      </c>
      <c r="U1258">
        <v>41</v>
      </c>
      <c r="V1258">
        <v>36</v>
      </c>
      <c r="W1258">
        <v>36</v>
      </c>
      <c r="CH1258" t="str">
        <f t="shared" si="19"/>
        <v>JV1-0695-3</v>
      </c>
      <c r="CI1258" s="1" t="s">
        <v>102</v>
      </c>
    </row>
    <row r="1259" spans="1:87">
      <c r="A1259" t="s">
        <v>1247</v>
      </c>
      <c r="B1259">
        <v>461</v>
      </c>
      <c r="C1259" t="s">
        <v>1165</v>
      </c>
      <c r="D1259" t="s">
        <v>457</v>
      </c>
      <c r="E1259" t="s">
        <v>629</v>
      </c>
      <c r="F1259" t="s">
        <v>672</v>
      </c>
      <c r="G1259" t="s">
        <v>673</v>
      </c>
      <c r="O1259">
        <v>114</v>
      </c>
      <c r="P1259">
        <v>114</v>
      </c>
      <c r="Q1259">
        <v>114</v>
      </c>
      <c r="R1259">
        <v>119</v>
      </c>
      <c r="CH1259" t="str">
        <f t="shared" si="19"/>
        <v>JV1-0695-3</v>
      </c>
      <c r="CI1259" s="1" t="s">
        <v>102</v>
      </c>
    </row>
    <row r="1260" spans="1:87">
      <c r="A1260" t="s">
        <v>1248</v>
      </c>
      <c r="B1260">
        <v>293</v>
      </c>
      <c r="C1260" t="s">
        <v>1165</v>
      </c>
      <c r="D1260" t="s">
        <v>457</v>
      </c>
      <c r="E1260" t="s">
        <v>629</v>
      </c>
      <c r="F1260" t="s">
        <v>672</v>
      </c>
      <c r="G1260" t="s">
        <v>673</v>
      </c>
      <c r="T1260">
        <v>24</v>
      </c>
      <c r="U1260">
        <v>29</v>
      </c>
      <c r="V1260">
        <v>24</v>
      </c>
      <c r="W1260">
        <v>48</v>
      </c>
      <c r="X1260">
        <v>48</v>
      </c>
      <c r="Y1260">
        <v>48</v>
      </c>
      <c r="Z1260">
        <v>24</v>
      </c>
      <c r="AA1260">
        <v>24</v>
      </c>
      <c r="AB1260">
        <v>24</v>
      </c>
      <c r="CH1260" t="str">
        <f t="shared" si="19"/>
        <v>JV1-0695-3</v>
      </c>
      <c r="CI1260" s="1" t="s">
        <v>102</v>
      </c>
    </row>
    <row r="1261" spans="1:87">
      <c r="A1261" t="s">
        <v>1249</v>
      </c>
      <c r="B1261">
        <v>293</v>
      </c>
      <c r="C1261" t="s">
        <v>1165</v>
      </c>
      <c r="D1261" t="s">
        <v>457</v>
      </c>
      <c r="E1261" t="s">
        <v>629</v>
      </c>
      <c r="F1261" t="s">
        <v>672</v>
      </c>
      <c r="G1261" t="s">
        <v>673</v>
      </c>
      <c r="U1261">
        <v>29</v>
      </c>
      <c r="V1261">
        <v>24</v>
      </c>
      <c r="W1261">
        <v>24</v>
      </c>
      <c r="X1261">
        <v>24</v>
      </c>
      <c r="Y1261">
        <v>48</v>
      </c>
      <c r="Z1261">
        <v>48</v>
      </c>
      <c r="AA1261">
        <v>24</v>
      </c>
      <c r="AB1261">
        <v>24</v>
      </c>
      <c r="AC1261">
        <v>24</v>
      </c>
      <c r="AD1261">
        <v>24</v>
      </c>
      <c r="CH1261" t="str">
        <f t="shared" si="19"/>
        <v>JV1-0695-3</v>
      </c>
      <c r="CI1261" s="1" t="s">
        <v>102</v>
      </c>
    </row>
    <row r="1262" spans="1:87">
      <c r="A1262" t="s">
        <v>1250</v>
      </c>
      <c r="B1262">
        <v>149</v>
      </c>
      <c r="C1262" t="s">
        <v>1165</v>
      </c>
      <c r="D1262" t="s">
        <v>457</v>
      </c>
      <c r="E1262" t="s">
        <v>629</v>
      </c>
      <c r="F1262" t="s">
        <v>672</v>
      </c>
      <c r="G1262" t="s">
        <v>673</v>
      </c>
      <c r="T1262">
        <v>24</v>
      </c>
      <c r="U1262">
        <v>29</v>
      </c>
      <c r="V1262">
        <v>24</v>
      </c>
      <c r="W1262">
        <v>24</v>
      </c>
      <c r="X1262">
        <v>24</v>
      </c>
      <c r="Y1262">
        <v>24</v>
      </c>
      <c r="CH1262" t="str">
        <f t="shared" si="19"/>
        <v>JV1-0695-3</v>
      </c>
      <c r="CI1262" s="1" t="s">
        <v>102</v>
      </c>
    </row>
    <row r="1263" spans="1:87">
      <c r="A1263" t="s">
        <v>1251</v>
      </c>
      <c r="B1263">
        <v>1301</v>
      </c>
      <c r="C1263" t="s">
        <v>1165</v>
      </c>
      <c r="D1263" t="s">
        <v>457</v>
      </c>
      <c r="E1263" t="s">
        <v>629</v>
      </c>
      <c r="F1263" t="s">
        <v>672</v>
      </c>
      <c r="G1263" t="s">
        <v>673</v>
      </c>
      <c r="N1263">
        <v>108</v>
      </c>
      <c r="O1263">
        <v>108</v>
      </c>
      <c r="P1263">
        <v>216</v>
      </c>
      <c r="Q1263">
        <v>216</v>
      </c>
      <c r="R1263">
        <v>108</v>
      </c>
      <c r="S1263">
        <v>108</v>
      </c>
      <c r="T1263">
        <v>108</v>
      </c>
      <c r="U1263">
        <v>113</v>
      </c>
      <c r="V1263">
        <v>108</v>
      </c>
      <c r="W1263">
        <v>108</v>
      </c>
      <c r="CH1263" t="str">
        <f t="shared" si="19"/>
        <v>JV1-0695-3</v>
      </c>
      <c r="CI1263" s="1" t="s">
        <v>102</v>
      </c>
    </row>
    <row r="1264" spans="1:87">
      <c r="A1264" t="s">
        <v>1252</v>
      </c>
      <c r="B1264">
        <v>437</v>
      </c>
      <c r="C1264" t="s">
        <v>1165</v>
      </c>
      <c r="D1264" t="s">
        <v>457</v>
      </c>
      <c r="E1264" t="s">
        <v>629</v>
      </c>
      <c r="F1264" t="s">
        <v>672</v>
      </c>
      <c r="G1264" t="s">
        <v>673</v>
      </c>
      <c r="O1264">
        <v>36</v>
      </c>
      <c r="P1264">
        <v>36</v>
      </c>
      <c r="Q1264">
        <v>36</v>
      </c>
      <c r="R1264">
        <v>72</v>
      </c>
      <c r="S1264">
        <v>72</v>
      </c>
      <c r="T1264">
        <v>72</v>
      </c>
      <c r="U1264">
        <v>41</v>
      </c>
      <c r="V1264">
        <v>36</v>
      </c>
      <c r="W1264">
        <v>36</v>
      </c>
      <c r="CH1264" t="str">
        <f t="shared" si="19"/>
        <v>JV1-0695-3</v>
      </c>
      <c r="CI1264" s="1" t="s">
        <v>102</v>
      </c>
    </row>
    <row r="1265" spans="1:87">
      <c r="A1265" t="s">
        <v>1253</v>
      </c>
      <c r="B1265">
        <v>461</v>
      </c>
      <c r="C1265" t="s">
        <v>1165</v>
      </c>
      <c r="D1265" t="s">
        <v>457</v>
      </c>
      <c r="E1265" t="s">
        <v>629</v>
      </c>
      <c r="F1265" t="s">
        <v>672</v>
      </c>
      <c r="G1265" t="s">
        <v>673</v>
      </c>
      <c r="O1265">
        <v>114</v>
      </c>
      <c r="P1265">
        <v>114</v>
      </c>
      <c r="Q1265">
        <v>114</v>
      </c>
      <c r="R1265">
        <v>119</v>
      </c>
      <c r="CH1265" t="str">
        <f t="shared" si="19"/>
        <v>JV1-0695-3</v>
      </c>
      <c r="CI1265" s="1" t="s">
        <v>102</v>
      </c>
    </row>
    <row r="1266" spans="1:87">
      <c r="A1266" t="s">
        <v>1254</v>
      </c>
      <c r="B1266">
        <v>293</v>
      </c>
      <c r="C1266" t="s">
        <v>1166</v>
      </c>
      <c r="D1266" t="s">
        <v>457</v>
      </c>
      <c r="E1266" t="s">
        <v>629</v>
      </c>
      <c r="F1266" t="s">
        <v>672</v>
      </c>
      <c r="G1266" t="s">
        <v>673</v>
      </c>
      <c r="T1266">
        <v>24</v>
      </c>
      <c r="U1266">
        <v>29</v>
      </c>
      <c r="V1266">
        <v>24</v>
      </c>
      <c r="W1266">
        <v>48</v>
      </c>
      <c r="X1266">
        <v>48</v>
      </c>
      <c r="Y1266">
        <v>48</v>
      </c>
      <c r="Z1266">
        <v>24</v>
      </c>
      <c r="AA1266">
        <v>24</v>
      </c>
      <c r="AB1266">
        <v>24</v>
      </c>
      <c r="CH1266" t="str">
        <f t="shared" si="19"/>
        <v>JV1-0695-3</v>
      </c>
      <c r="CI1266" s="1" t="s">
        <v>102</v>
      </c>
    </row>
    <row r="1267" spans="1:87">
      <c r="A1267" t="s">
        <v>1255</v>
      </c>
      <c r="B1267">
        <v>221</v>
      </c>
      <c r="C1267" t="s">
        <v>1166</v>
      </c>
      <c r="D1267" t="s">
        <v>457</v>
      </c>
      <c r="E1267" t="s">
        <v>629</v>
      </c>
      <c r="F1267" t="s">
        <v>672</v>
      </c>
      <c r="G1267" t="s">
        <v>673</v>
      </c>
      <c r="U1267">
        <v>23</v>
      </c>
      <c r="V1267">
        <v>18</v>
      </c>
      <c r="W1267">
        <v>18</v>
      </c>
      <c r="X1267">
        <v>18</v>
      </c>
      <c r="Y1267">
        <v>36</v>
      </c>
      <c r="Z1267">
        <v>36</v>
      </c>
      <c r="AA1267">
        <v>18</v>
      </c>
      <c r="AB1267">
        <v>18</v>
      </c>
      <c r="AC1267">
        <v>18</v>
      </c>
      <c r="AD1267">
        <v>18</v>
      </c>
      <c r="CH1267" t="str">
        <f t="shared" si="19"/>
        <v>JV1-0695-3</v>
      </c>
      <c r="CI1267" s="1" t="s">
        <v>102</v>
      </c>
    </row>
    <row r="1268" spans="1:87">
      <c r="A1268" t="s">
        <v>1256</v>
      </c>
      <c r="B1268">
        <v>149</v>
      </c>
      <c r="C1268" t="s">
        <v>1166</v>
      </c>
      <c r="D1268" t="s">
        <v>457</v>
      </c>
      <c r="E1268" t="s">
        <v>629</v>
      </c>
      <c r="F1268" t="s">
        <v>672</v>
      </c>
      <c r="G1268" t="s">
        <v>673</v>
      </c>
      <c r="T1268">
        <v>24</v>
      </c>
      <c r="U1268">
        <v>29</v>
      </c>
      <c r="V1268">
        <v>24</v>
      </c>
      <c r="W1268">
        <v>24</v>
      </c>
      <c r="X1268">
        <v>24</v>
      </c>
      <c r="Y1268">
        <v>24</v>
      </c>
      <c r="CH1268" t="str">
        <f t="shared" si="19"/>
        <v>JV1-0695-3</v>
      </c>
      <c r="CI1268" s="1" t="s">
        <v>102</v>
      </c>
    </row>
    <row r="1269" spans="1:87">
      <c r="A1269" t="s">
        <v>1257</v>
      </c>
      <c r="B1269">
        <v>1445</v>
      </c>
      <c r="C1269" t="s">
        <v>1166</v>
      </c>
      <c r="D1269" t="s">
        <v>457</v>
      </c>
      <c r="E1269" t="s">
        <v>629</v>
      </c>
      <c r="F1269" t="s">
        <v>672</v>
      </c>
      <c r="G1269" t="s">
        <v>673</v>
      </c>
      <c r="N1269">
        <v>120</v>
      </c>
      <c r="O1269">
        <v>120</v>
      </c>
      <c r="P1269">
        <v>240</v>
      </c>
      <c r="Q1269">
        <v>240</v>
      </c>
      <c r="R1269">
        <v>120</v>
      </c>
      <c r="S1269">
        <v>120</v>
      </c>
      <c r="T1269">
        <v>120</v>
      </c>
      <c r="U1269">
        <v>125</v>
      </c>
      <c r="V1269">
        <v>120</v>
      </c>
      <c r="W1269">
        <v>120</v>
      </c>
      <c r="CH1269" t="str">
        <f t="shared" si="19"/>
        <v>JV1-0695-3</v>
      </c>
      <c r="CI1269" s="1" t="s">
        <v>102</v>
      </c>
    </row>
    <row r="1270" spans="1:87">
      <c r="A1270" t="s">
        <v>1258</v>
      </c>
      <c r="B1270">
        <v>437</v>
      </c>
      <c r="C1270" t="s">
        <v>1166</v>
      </c>
      <c r="D1270" t="s">
        <v>457</v>
      </c>
      <c r="E1270" t="s">
        <v>629</v>
      </c>
      <c r="F1270" t="s">
        <v>672</v>
      </c>
      <c r="G1270" t="s">
        <v>673</v>
      </c>
      <c r="O1270">
        <v>36</v>
      </c>
      <c r="P1270">
        <v>36</v>
      </c>
      <c r="Q1270">
        <v>36</v>
      </c>
      <c r="R1270">
        <v>72</v>
      </c>
      <c r="S1270">
        <v>72</v>
      </c>
      <c r="T1270">
        <v>72</v>
      </c>
      <c r="U1270">
        <v>41</v>
      </c>
      <c r="V1270">
        <v>36</v>
      </c>
      <c r="W1270">
        <v>36</v>
      </c>
      <c r="CH1270" t="str">
        <f t="shared" si="19"/>
        <v>JV1-0695-3</v>
      </c>
      <c r="CI1270" s="1" t="s">
        <v>102</v>
      </c>
    </row>
    <row r="1271" spans="1:87">
      <c r="A1271" t="s">
        <v>1259</v>
      </c>
      <c r="B1271">
        <v>509</v>
      </c>
      <c r="C1271" t="s">
        <v>1166</v>
      </c>
      <c r="D1271" t="s">
        <v>457</v>
      </c>
      <c r="E1271" t="s">
        <v>629</v>
      </c>
      <c r="F1271" t="s">
        <v>672</v>
      </c>
      <c r="G1271" t="s">
        <v>673</v>
      </c>
      <c r="O1271">
        <v>126</v>
      </c>
      <c r="P1271">
        <v>126</v>
      </c>
      <c r="Q1271">
        <v>126</v>
      </c>
      <c r="R1271">
        <v>131</v>
      </c>
      <c r="CH1271" t="str">
        <f t="shared" si="19"/>
        <v>JV1-0695-3</v>
      </c>
      <c r="CI1271" s="1" t="s">
        <v>102</v>
      </c>
    </row>
    <row r="1272" spans="1:87">
      <c r="A1272" t="s">
        <v>1260</v>
      </c>
      <c r="B1272">
        <v>917</v>
      </c>
      <c r="C1272" t="s">
        <v>1261</v>
      </c>
      <c r="D1272" t="s">
        <v>457</v>
      </c>
      <c r="E1272" t="s">
        <v>629</v>
      </c>
      <c r="F1272" t="s">
        <v>672</v>
      </c>
      <c r="G1272" t="s">
        <v>1000</v>
      </c>
      <c r="O1272">
        <v>36</v>
      </c>
      <c r="P1272">
        <v>84</v>
      </c>
      <c r="Q1272">
        <v>108</v>
      </c>
      <c r="R1272">
        <v>120</v>
      </c>
      <c r="T1272">
        <v>96</v>
      </c>
      <c r="U1272">
        <v>101</v>
      </c>
      <c r="W1272">
        <v>96</v>
      </c>
      <c r="Y1272">
        <v>108</v>
      </c>
      <c r="Z1272">
        <v>84</v>
      </c>
      <c r="AB1272">
        <v>60</v>
      </c>
      <c r="AD1272">
        <v>24</v>
      </c>
      <c r="CH1272" t="str">
        <f t="shared" si="19"/>
        <v>JV1-0695-3</v>
      </c>
      <c r="CI1272" s="1" t="s">
        <v>102</v>
      </c>
    </row>
    <row r="1273" spans="1:87">
      <c r="A1273" t="s">
        <v>1262</v>
      </c>
      <c r="B1273">
        <v>149</v>
      </c>
      <c r="C1273" t="s">
        <v>1261</v>
      </c>
      <c r="D1273" t="s">
        <v>457</v>
      </c>
      <c r="E1273" t="s">
        <v>629</v>
      </c>
      <c r="F1273" t="s">
        <v>672</v>
      </c>
      <c r="G1273" t="s">
        <v>1000</v>
      </c>
      <c r="O1273">
        <v>6</v>
      </c>
      <c r="P1273">
        <v>6</v>
      </c>
      <c r="Q1273">
        <v>12</v>
      </c>
      <c r="R1273">
        <v>18</v>
      </c>
      <c r="S1273">
        <v>24</v>
      </c>
      <c r="T1273">
        <v>18</v>
      </c>
      <c r="U1273">
        <v>17</v>
      </c>
      <c r="V1273">
        <v>6</v>
      </c>
      <c r="W1273">
        <v>6</v>
      </c>
      <c r="X1273">
        <v>6</v>
      </c>
      <c r="Y1273">
        <v>6</v>
      </c>
      <c r="Z1273">
        <v>6</v>
      </c>
      <c r="AA1273">
        <v>6</v>
      </c>
      <c r="AB1273">
        <v>6</v>
      </c>
      <c r="AC1273">
        <v>6</v>
      </c>
      <c r="CH1273" t="str">
        <f t="shared" si="19"/>
        <v>JV1-0695-3</v>
      </c>
      <c r="CI1273" s="1" t="s">
        <v>102</v>
      </c>
    </row>
    <row r="1274" spans="1:87">
      <c r="A1274" t="s">
        <v>1263</v>
      </c>
      <c r="B1274">
        <v>401</v>
      </c>
      <c r="C1274" t="s">
        <v>1261</v>
      </c>
      <c r="D1274" t="s">
        <v>457</v>
      </c>
      <c r="E1274" t="s">
        <v>629</v>
      </c>
      <c r="F1274" t="s">
        <v>672</v>
      </c>
      <c r="G1274" t="s">
        <v>1000</v>
      </c>
      <c r="N1274">
        <v>12</v>
      </c>
      <c r="O1274">
        <v>36</v>
      </c>
      <c r="P1274">
        <v>12</v>
      </c>
      <c r="Q1274">
        <v>42</v>
      </c>
      <c r="R1274">
        <v>12</v>
      </c>
      <c r="S1274">
        <v>36</v>
      </c>
      <c r="T1274">
        <v>12</v>
      </c>
      <c r="U1274">
        <v>23</v>
      </c>
      <c r="V1274">
        <v>48</v>
      </c>
      <c r="W1274">
        <v>42</v>
      </c>
      <c r="X1274">
        <v>6</v>
      </c>
      <c r="Y1274">
        <v>42</v>
      </c>
      <c r="Z1274">
        <v>30</v>
      </c>
      <c r="AA1274">
        <v>6</v>
      </c>
      <c r="AB1274">
        <v>24</v>
      </c>
      <c r="AC1274">
        <v>12</v>
      </c>
      <c r="AD1274">
        <v>6</v>
      </c>
      <c r="CH1274" t="str">
        <f t="shared" si="19"/>
        <v>JV1-0695-3</v>
      </c>
      <c r="CI1274" s="1" t="s">
        <v>102</v>
      </c>
    </row>
    <row r="1275" spans="1:87">
      <c r="A1275" t="s">
        <v>1264</v>
      </c>
      <c r="B1275">
        <v>149</v>
      </c>
      <c r="C1275" t="s">
        <v>1261</v>
      </c>
      <c r="D1275" t="s">
        <v>457</v>
      </c>
      <c r="E1275" t="s">
        <v>629</v>
      </c>
      <c r="F1275" t="s">
        <v>672</v>
      </c>
      <c r="G1275" t="s">
        <v>1000</v>
      </c>
      <c r="T1275">
        <v>6</v>
      </c>
      <c r="U1275">
        <v>11</v>
      </c>
      <c r="V1275">
        <v>6</v>
      </c>
      <c r="W1275">
        <v>12</v>
      </c>
      <c r="X1275">
        <v>12</v>
      </c>
      <c r="Y1275">
        <v>24</v>
      </c>
      <c r="Z1275">
        <v>30</v>
      </c>
      <c r="AA1275">
        <v>18</v>
      </c>
      <c r="AB1275">
        <v>12</v>
      </c>
      <c r="AC1275">
        <v>12</v>
      </c>
      <c r="AD1275">
        <v>6</v>
      </c>
      <c r="CH1275" t="str">
        <f t="shared" si="19"/>
        <v>JV1-0695-3</v>
      </c>
      <c r="CI1275" s="1" t="s">
        <v>102</v>
      </c>
    </row>
    <row r="1276" spans="1:87">
      <c r="A1276" t="s">
        <v>1265</v>
      </c>
      <c r="B1276">
        <v>155</v>
      </c>
      <c r="C1276" t="s">
        <v>1261</v>
      </c>
      <c r="D1276" t="s">
        <v>457</v>
      </c>
      <c r="E1276" t="s">
        <v>629</v>
      </c>
      <c r="F1276" t="s">
        <v>672</v>
      </c>
      <c r="G1276" t="s">
        <v>1000</v>
      </c>
      <c r="S1276">
        <v>6</v>
      </c>
      <c r="T1276">
        <v>12</v>
      </c>
      <c r="U1276">
        <v>17</v>
      </c>
      <c r="V1276">
        <v>12</v>
      </c>
      <c r="W1276">
        <v>18</v>
      </c>
      <c r="X1276">
        <v>18</v>
      </c>
      <c r="Y1276">
        <v>24</v>
      </c>
      <c r="Z1276">
        <v>24</v>
      </c>
      <c r="AA1276">
        <v>6</v>
      </c>
      <c r="AB1276">
        <v>12</v>
      </c>
      <c r="AD1276">
        <v>6</v>
      </c>
      <c r="CH1276" t="str">
        <f t="shared" si="19"/>
        <v>JV1-0695-3</v>
      </c>
      <c r="CI1276" s="1" t="s">
        <v>102</v>
      </c>
    </row>
    <row r="1277" spans="1:87">
      <c r="A1277" t="s">
        <v>1266</v>
      </c>
      <c r="B1277">
        <v>443</v>
      </c>
      <c r="C1277" t="s">
        <v>718</v>
      </c>
      <c r="D1277" t="s">
        <v>457</v>
      </c>
      <c r="E1277" t="s">
        <v>629</v>
      </c>
      <c r="F1277" t="s">
        <v>672</v>
      </c>
      <c r="G1277" t="s">
        <v>673</v>
      </c>
      <c r="N1277">
        <v>12</v>
      </c>
      <c r="P1277">
        <v>42</v>
      </c>
      <c r="R1277">
        <v>48</v>
      </c>
      <c r="T1277">
        <v>48</v>
      </c>
      <c r="U1277">
        <v>17</v>
      </c>
      <c r="V1277">
        <v>66</v>
      </c>
      <c r="W1277">
        <v>12</v>
      </c>
      <c r="X1277">
        <v>66</v>
      </c>
      <c r="Y1277">
        <v>12</v>
      </c>
      <c r="Z1277">
        <v>66</v>
      </c>
      <c r="AB1277">
        <v>42</v>
      </c>
      <c r="AD1277">
        <v>12</v>
      </c>
      <c r="CH1277" t="str">
        <f t="shared" si="19"/>
        <v>JV1-0695-3</v>
      </c>
      <c r="CI1277" s="1" t="s">
        <v>102</v>
      </c>
    </row>
    <row r="1278" spans="1:87">
      <c r="A1278" t="s">
        <v>1267</v>
      </c>
      <c r="B1278">
        <v>275</v>
      </c>
      <c r="C1278" t="s">
        <v>718</v>
      </c>
      <c r="D1278" t="s">
        <v>457</v>
      </c>
      <c r="E1278" t="s">
        <v>629</v>
      </c>
      <c r="F1278" t="s">
        <v>672</v>
      </c>
      <c r="G1278" t="s">
        <v>673</v>
      </c>
      <c r="N1278">
        <v>6</v>
      </c>
      <c r="P1278">
        <v>24</v>
      </c>
      <c r="R1278">
        <v>30</v>
      </c>
      <c r="T1278">
        <v>30</v>
      </c>
      <c r="U1278">
        <v>11</v>
      </c>
      <c r="V1278">
        <v>42</v>
      </c>
      <c r="W1278">
        <v>12</v>
      </c>
      <c r="X1278">
        <v>42</v>
      </c>
      <c r="Y1278">
        <v>6</v>
      </c>
      <c r="Z1278">
        <v>42</v>
      </c>
      <c r="AB1278">
        <v>24</v>
      </c>
      <c r="AD1278">
        <v>6</v>
      </c>
      <c r="CH1278" t="str">
        <f t="shared" si="19"/>
        <v>JV1-0695-3</v>
      </c>
      <c r="CI1278" s="1" t="s">
        <v>102</v>
      </c>
    </row>
    <row r="1279" spans="1:87">
      <c r="A1279" t="s">
        <v>1268</v>
      </c>
      <c r="B1279">
        <v>209</v>
      </c>
      <c r="C1279" t="s">
        <v>1169</v>
      </c>
      <c r="D1279" t="s">
        <v>457</v>
      </c>
      <c r="E1279" t="s">
        <v>629</v>
      </c>
      <c r="F1279" t="s">
        <v>672</v>
      </c>
      <c r="G1279" t="s">
        <v>738</v>
      </c>
      <c r="O1279">
        <v>18</v>
      </c>
      <c r="P1279">
        <v>12</v>
      </c>
      <c r="Q1279">
        <v>24</v>
      </c>
      <c r="R1279">
        <v>18</v>
      </c>
      <c r="S1279">
        <v>42</v>
      </c>
      <c r="T1279">
        <v>18</v>
      </c>
      <c r="U1279">
        <v>35</v>
      </c>
      <c r="V1279">
        <v>18</v>
      </c>
      <c r="W1279">
        <v>24</v>
      </c>
      <c r="CH1279" t="str">
        <f t="shared" si="19"/>
        <v>JV1-0695-3</v>
      </c>
      <c r="CI1279" s="1" t="s">
        <v>102</v>
      </c>
    </row>
    <row r="1280" spans="1:87">
      <c r="A1280" t="s">
        <v>1269</v>
      </c>
      <c r="B1280">
        <v>593</v>
      </c>
      <c r="C1280" t="s">
        <v>1166</v>
      </c>
      <c r="D1280" t="s">
        <v>457</v>
      </c>
      <c r="E1280" t="s">
        <v>629</v>
      </c>
      <c r="F1280" t="s">
        <v>672</v>
      </c>
      <c r="G1280" t="s">
        <v>673</v>
      </c>
      <c r="O1280">
        <v>36</v>
      </c>
      <c r="P1280">
        <v>66</v>
      </c>
      <c r="Q1280">
        <v>126</v>
      </c>
      <c r="R1280">
        <v>126</v>
      </c>
      <c r="S1280">
        <v>138</v>
      </c>
      <c r="T1280">
        <v>60</v>
      </c>
      <c r="U1280">
        <v>41</v>
      </c>
      <c r="CH1280" t="str">
        <f t="shared" si="19"/>
        <v>JV1-0695-3</v>
      </c>
      <c r="CI1280" s="1" t="s">
        <v>102</v>
      </c>
    </row>
    <row r="1281" spans="1:87">
      <c r="A1281" t="s">
        <v>1277</v>
      </c>
      <c r="B1281">
        <v>1195</v>
      </c>
      <c r="C1281" t="s">
        <v>1006</v>
      </c>
      <c r="D1281" t="s">
        <v>148</v>
      </c>
      <c r="E1281" t="s">
        <v>629</v>
      </c>
      <c r="F1281" t="s">
        <v>744</v>
      </c>
      <c r="G1281" t="s">
        <v>1007</v>
      </c>
      <c r="S1281">
        <v>1</v>
      </c>
      <c r="T1281">
        <v>1</v>
      </c>
      <c r="U1281">
        <v>11</v>
      </c>
      <c r="V1281">
        <v>34</v>
      </c>
      <c r="W1281">
        <v>112</v>
      </c>
      <c r="X1281">
        <v>140</v>
      </c>
      <c r="Y1281">
        <v>213</v>
      </c>
      <c r="Z1281">
        <v>120</v>
      </c>
      <c r="AA1281">
        <v>228</v>
      </c>
      <c r="AB1281">
        <v>138</v>
      </c>
      <c r="AC1281">
        <v>119</v>
      </c>
      <c r="AD1281">
        <v>30</v>
      </c>
      <c r="AE1281">
        <v>32</v>
      </c>
      <c r="AG1281">
        <v>14</v>
      </c>
      <c r="AI1281">
        <v>2</v>
      </c>
      <c r="CH1281" t="str">
        <f t="shared" si="19"/>
        <v>D-0091</v>
      </c>
      <c r="CI1281" s="1" t="s">
        <v>102</v>
      </c>
    </row>
    <row r="1282" spans="1:87">
      <c r="A1282" t="s">
        <v>1278</v>
      </c>
      <c r="B1282">
        <v>1195</v>
      </c>
      <c r="C1282" t="s">
        <v>1008</v>
      </c>
      <c r="D1282" t="s">
        <v>148</v>
      </c>
      <c r="E1282" t="s">
        <v>629</v>
      </c>
      <c r="F1282" t="s">
        <v>744</v>
      </c>
      <c r="G1282" t="s">
        <v>745</v>
      </c>
      <c r="S1282">
        <v>1</v>
      </c>
      <c r="T1282">
        <v>1</v>
      </c>
      <c r="U1282">
        <v>11</v>
      </c>
      <c r="V1282">
        <v>34</v>
      </c>
      <c r="W1282">
        <v>112</v>
      </c>
      <c r="X1282">
        <v>140</v>
      </c>
      <c r="Y1282">
        <v>213</v>
      </c>
      <c r="Z1282">
        <v>120</v>
      </c>
      <c r="AA1282">
        <v>228</v>
      </c>
      <c r="AB1282">
        <v>138</v>
      </c>
      <c r="AC1282">
        <v>119</v>
      </c>
      <c r="AD1282">
        <v>30</v>
      </c>
      <c r="AE1282">
        <v>32</v>
      </c>
      <c r="AG1282">
        <v>14</v>
      </c>
      <c r="AI1282">
        <v>2</v>
      </c>
      <c r="CH1282" t="str">
        <f t="shared" ref="CH1282:CH1345" si="20">TRIM(IFERROR(IFERROR(MID($D1282,FIND("(D-",$D1282)+1,6),LEFT($D1282,FIND("(",$D1282)-1)),$D1282))</f>
        <v>D-0091</v>
      </c>
      <c r="CI1282" s="1" t="s">
        <v>102</v>
      </c>
    </row>
    <row r="1283" spans="1:87">
      <c r="A1283" t="s">
        <v>1279</v>
      </c>
      <c r="B1283">
        <v>1195</v>
      </c>
      <c r="C1283" t="s">
        <v>1009</v>
      </c>
      <c r="D1283" t="s">
        <v>148</v>
      </c>
      <c r="E1283" t="s">
        <v>629</v>
      </c>
      <c r="F1283" t="s">
        <v>744</v>
      </c>
      <c r="G1283" t="s">
        <v>1010</v>
      </c>
      <c r="S1283">
        <v>1</v>
      </c>
      <c r="T1283">
        <v>1</v>
      </c>
      <c r="U1283">
        <v>11</v>
      </c>
      <c r="V1283">
        <v>34</v>
      </c>
      <c r="W1283">
        <v>112</v>
      </c>
      <c r="X1283">
        <v>140</v>
      </c>
      <c r="Y1283">
        <v>213</v>
      </c>
      <c r="Z1283">
        <v>120</v>
      </c>
      <c r="AA1283">
        <v>228</v>
      </c>
      <c r="AB1283">
        <v>138</v>
      </c>
      <c r="AC1283">
        <v>119</v>
      </c>
      <c r="AD1283">
        <v>30</v>
      </c>
      <c r="AE1283">
        <v>32</v>
      </c>
      <c r="AG1283">
        <v>14</v>
      </c>
      <c r="AI1283">
        <v>2</v>
      </c>
      <c r="CH1283" t="str">
        <f t="shared" si="20"/>
        <v>D-0091</v>
      </c>
      <c r="CI1283" s="1" t="s">
        <v>102</v>
      </c>
    </row>
    <row r="1284" spans="1:87">
      <c r="A1284" t="s">
        <v>1280</v>
      </c>
      <c r="B1284">
        <v>528</v>
      </c>
      <c r="C1284" t="s">
        <v>1281</v>
      </c>
      <c r="D1284" t="s">
        <v>1282</v>
      </c>
      <c r="E1284" t="s">
        <v>639</v>
      </c>
      <c r="F1284" t="s">
        <v>1283</v>
      </c>
      <c r="G1284" t="s">
        <v>1284</v>
      </c>
      <c r="AW1284">
        <v>19</v>
      </c>
      <c r="AX1284">
        <v>24</v>
      </c>
      <c r="AY1284">
        <v>28</v>
      </c>
      <c r="AZ1284">
        <v>45</v>
      </c>
      <c r="BA1284">
        <v>39</v>
      </c>
      <c r="BB1284">
        <v>35</v>
      </c>
      <c r="BC1284">
        <v>37</v>
      </c>
      <c r="BD1284">
        <v>37</v>
      </c>
      <c r="BE1284">
        <v>62</v>
      </c>
      <c r="BF1284">
        <v>23</v>
      </c>
      <c r="BG1284">
        <v>24</v>
      </c>
      <c r="BH1284">
        <v>56</v>
      </c>
      <c r="BI1284">
        <v>99</v>
      </c>
      <c r="CH1284" t="str">
        <f t="shared" si="20"/>
        <v>D-0537</v>
      </c>
      <c r="CI1284" s="1" t="s">
        <v>102</v>
      </c>
    </row>
    <row r="1285" spans="1:87">
      <c r="A1285" t="s">
        <v>1291</v>
      </c>
      <c r="B1285">
        <v>581</v>
      </c>
      <c r="C1285" t="s">
        <v>1217</v>
      </c>
      <c r="D1285" t="s">
        <v>457</v>
      </c>
      <c r="E1285" t="s">
        <v>629</v>
      </c>
      <c r="F1285" t="s">
        <v>672</v>
      </c>
      <c r="G1285" t="s">
        <v>1005</v>
      </c>
      <c r="U1285">
        <v>48</v>
      </c>
      <c r="V1285">
        <v>96</v>
      </c>
      <c r="W1285">
        <v>96</v>
      </c>
      <c r="X1285">
        <v>53</v>
      </c>
      <c r="Y1285">
        <v>96</v>
      </c>
      <c r="Z1285">
        <v>96</v>
      </c>
      <c r="AB1285">
        <v>48</v>
      </c>
      <c r="AD1285">
        <v>48</v>
      </c>
      <c r="CH1285" t="str">
        <f t="shared" si="20"/>
        <v>JV1-0695-3</v>
      </c>
      <c r="CI1285" s="1" t="s">
        <v>102</v>
      </c>
    </row>
    <row r="1286" spans="1:87">
      <c r="A1286" t="s">
        <v>1301</v>
      </c>
      <c r="B1286">
        <v>1745</v>
      </c>
      <c r="C1286" t="s">
        <v>1168</v>
      </c>
      <c r="D1286" t="s">
        <v>457</v>
      </c>
      <c r="E1286" t="s">
        <v>629</v>
      </c>
      <c r="F1286" t="s">
        <v>672</v>
      </c>
      <c r="G1286" t="s">
        <v>673</v>
      </c>
      <c r="O1286">
        <v>120</v>
      </c>
      <c r="P1286">
        <v>120</v>
      </c>
      <c r="Q1286">
        <v>120</v>
      </c>
      <c r="R1286">
        <v>120</v>
      </c>
      <c r="S1286">
        <v>120</v>
      </c>
      <c r="T1286">
        <v>120</v>
      </c>
      <c r="U1286">
        <v>120</v>
      </c>
      <c r="V1286">
        <v>120</v>
      </c>
      <c r="W1286">
        <v>120</v>
      </c>
      <c r="X1286">
        <v>125</v>
      </c>
      <c r="Y1286">
        <v>120</v>
      </c>
      <c r="Z1286">
        <v>120</v>
      </c>
      <c r="AA1286">
        <v>120</v>
      </c>
      <c r="AB1286">
        <v>120</v>
      </c>
      <c r="AD1286">
        <v>60</v>
      </c>
      <c r="CH1286" t="str">
        <f t="shared" si="20"/>
        <v>JV1-0695-3</v>
      </c>
      <c r="CI1286" s="1" t="s">
        <v>102</v>
      </c>
    </row>
    <row r="1287" spans="1:87">
      <c r="A1287" t="s">
        <v>1302</v>
      </c>
      <c r="B1287">
        <v>3521</v>
      </c>
      <c r="C1287" t="s">
        <v>1165</v>
      </c>
      <c r="D1287" t="s">
        <v>457</v>
      </c>
      <c r="E1287" t="s">
        <v>629</v>
      </c>
      <c r="F1287" t="s">
        <v>672</v>
      </c>
      <c r="G1287" t="s">
        <v>673</v>
      </c>
      <c r="O1287">
        <v>96</v>
      </c>
      <c r="P1287">
        <v>336</v>
      </c>
      <c r="Q1287">
        <v>432</v>
      </c>
      <c r="R1287">
        <v>456</v>
      </c>
      <c r="S1287">
        <v>372</v>
      </c>
      <c r="T1287">
        <v>288</v>
      </c>
      <c r="U1287">
        <v>180</v>
      </c>
      <c r="V1287">
        <v>204</v>
      </c>
      <c r="W1287">
        <v>240</v>
      </c>
      <c r="X1287">
        <v>245</v>
      </c>
      <c r="Y1287">
        <v>216</v>
      </c>
      <c r="Z1287">
        <v>180</v>
      </c>
      <c r="AA1287">
        <v>144</v>
      </c>
      <c r="AB1287">
        <v>96</v>
      </c>
      <c r="AD1287">
        <v>36</v>
      </c>
      <c r="CH1287" t="str">
        <f t="shared" si="20"/>
        <v>JV1-0695-3</v>
      </c>
      <c r="CI1287" s="1" t="s">
        <v>102</v>
      </c>
    </row>
    <row r="1288" spans="1:87">
      <c r="A1288" t="s">
        <v>1303</v>
      </c>
      <c r="B1288">
        <v>1757</v>
      </c>
      <c r="C1288" t="s">
        <v>1165</v>
      </c>
      <c r="D1288" t="s">
        <v>457</v>
      </c>
      <c r="E1288" t="s">
        <v>629</v>
      </c>
      <c r="F1288" t="s">
        <v>672</v>
      </c>
      <c r="G1288" t="s">
        <v>673</v>
      </c>
      <c r="O1288">
        <v>120</v>
      </c>
      <c r="P1288">
        <v>120</v>
      </c>
      <c r="Q1288">
        <v>120</v>
      </c>
      <c r="R1288">
        <v>120</v>
      </c>
      <c r="S1288">
        <v>120</v>
      </c>
      <c r="T1288">
        <v>120</v>
      </c>
      <c r="U1288">
        <v>120</v>
      </c>
      <c r="V1288">
        <v>120</v>
      </c>
      <c r="W1288">
        <v>120</v>
      </c>
      <c r="X1288">
        <v>125</v>
      </c>
      <c r="Y1288">
        <v>120</v>
      </c>
      <c r="Z1288">
        <v>120</v>
      </c>
      <c r="AA1288">
        <v>120</v>
      </c>
      <c r="AB1288">
        <v>120</v>
      </c>
      <c r="AD1288">
        <v>72</v>
      </c>
      <c r="CH1288" t="str">
        <f t="shared" si="20"/>
        <v>JV1-0695-3</v>
      </c>
      <c r="CI1288" s="1" t="s">
        <v>102</v>
      </c>
    </row>
    <row r="1289" spans="1:87">
      <c r="A1289" t="s">
        <v>1304</v>
      </c>
      <c r="B1289">
        <v>3713</v>
      </c>
      <c r="C1289" t="s">
        <v>1168</v>
      </c>
      <c r="D1289" t="s">
        <v>457</v>
      </c>
      <c r="E1289" t="s">
        <v>629</v>
      </c>
      <c r="F1289" t="s">
        <v>672</v>
      </c>
      <c r="G1289" t="s">
        <v>673</v>
      </c>
      <c r="O1289">
        <v>12</v>
      </c>
      <c r="P1289">
        <v>36</v>
      </c>
      <c r="Q1289">
        <v>228</v>
      </c>
      <c r="R1289">
        <v>324</v>
      </c>
      <c r="S1289">
        <v>204</v>
      </c>
      <c r="T1289">
        <v>36</v>
      </c>
      <c r="U1289">
        <v>60</v>
      </c>
      <c r="V1289">
        <v>300</v>
      </c>
      <c r="W1289">
        <v>552</v>
      </c>
      <c r="X1289">
        <v>737</v>
      </c>
      <c r="Y1289">
        <v>660</v>
      </c>
      <c r="Z1289">
        <v>504</v>
      </c>
      <c r="AA1289">
        <v>24</v>
      </c>
      <c r="AB1289">
        <v>24</v>
      </c>
      <c r="AD1289">
        <v>12</v>
      </c>
      <c r="CH1289" t="str">
        <f t="shared" si="20"/>
        <v>JV1-0695-3</v>
      </c>
      <c r="CI1289" s="1" t="s">
        <v>102</v>
      </c>
    </row>
    <row r="1290" spans="1:87">
      <c r="A1290" t="s">
        <v>1305</v>
      </c>
      <c r="B1290">
        <v>3113</v>
      </c>
      <c r="C1290" t="s">
        <v>1168</v>
      </c>
      <c r="D1290" t="s">
        <v>457</v>
      </c>
      <c r="E1290" t="s">
        <v>629</v>
      </c>
      <c r="F1290" t="s">
        <v>672</v>
      </c>
      <c r="G1290" t="s">
        <v>673</v>
      </c>
      <c r="O1290">
        <v>72</v>
      </c>
      <c r="P1290">
        <v>300</v>
      </c>
      <c r="Q1290">
        <v>372</v>
      </c>
      <c r="R1290">
        <v>396</v>
      </c>
      <c r="S1290">
        <v>336</v>
      </c>
      <c r="T1290">
        <v>240</v>
      </c>
      <c r="U1290">
        <v>168</v>
      </c>
      <c r="V1290">
        <v>204</v>
      </c>
      <c r="W1290">
        <v>216</v>
      </c>
      <c r="X1290">
        <v>233</v>
      </c>
      <c r="Y1290">
        <v>204</v>
      </c>
      <c r="Z1290">
        <v>168</v>
      </c>
      <c r="AA1290">
        <v>108</v>
      </c>
      <c r="AB1290">
        <v>60</v>
      </c>
      <c r="AD1290">
        <v>36</v>
      </c>
      <c r="CH1290" t="str">
        <f t="shared" si="20"/>
        <v>JV1-0695-3</v>
      </c>
      <c r="CI1290" s="1" t="s">
        <v>102</v>
      </c>
    </row>
    <row r="1291" spans="1:87">
      <c r="A1291" t="s">
        <v>1306</v>
      </c>
      <c r="B1291">
        <v>3113</v>
      </c>
      <c r="C1291" t="s">
        <v>1168</v>
      </c>
      <c r="D1291" t="s">
        <v>457</v>
      </c>
      <c r="E1291" t="s">
        <v>629</v>
      </c>
      <c r="F1291" t="s">
        <v>672</v>
      </c>
      <c r="G1291" t="s">
        <v>673</v>
      </c>
      <c r="O1291">
        <v>84</v>
      </c>
      <c r="P1291">
        <v>300</v>
      </c>
      <c r="Q1291">
        <v>372</v>
      </c>
      <c r="R1291">
        <v>396</v>
      </c>
      <c r="S1291">
        <v>324</v>
      </c>
      <c r="T1291">
        <v>252</v>
      </c>
      <c r="U1291">
        <v>168</v>
      </c>
      <c r="V1291">
        <v>192</v>
      </c>
      <c r="W1291">
        <v>228</v>
      </c>
      <c r="X1291">
        <v>233</v>
      </c>
      <c r="Y1291">
        <v>192</v>
      </c>
      <c r="Z1291">
        <v>168</v>
      </c>
      <c r="AA1291">
        <v>108</v>
      </c>
      <c r="AB1291">
        <v>72</v>
      </c>
      <c r="AD1291">
        <v>24</v>
      </c>
      <c r="CH1291" t="str">
        <f t="shared" si="20"/>
        <v>JV1-0695-3</v>
      </c>
      <c r="CI1291" s="1" t="s">
        <v>102</v>
      </c>
    </row>
    <row r="1292" spans="1:87">
      <c r="A1292" t="s">
        <v>1307</v>
      </c>
      <c r="B1292">
        <v>3521</v>
      </c>
      <c r="C1292" t="s">
        <v>1165</v>
      </c>
      <c r="D1292" t="s">
        <v>457</v>
      </c>
      <c r="E1292" t="s">
        <v>629</v>
      </c>
      <c r="F1292" t="s">
        <v>672</v>
      </c>
      <c r="G1292" t="s">
        <v>673</v>
      </c>
      <c r="O1292">
        <v>96</v>
      </c>
      <c r="P1292">
        <v>336</v>
      </c>
      <c r="Q1292">
        <v>420</v>
      </c>
      <c r="R1292">
        <v>468</v>
      </c>
      <c r="S1292">
        <v>372</v>
      </c>
      <c r="T1292">
        <v>288</v>
      </c>
      <c r="U1292">
        <v>180</v>
      </c>
      <c r="V1292">
        <v>204</v>
      </c>
      <c r="W1292">
        <v>228</v>
      </c>
      <c r="X1292">
        <v>257</v>
      </c>
      <c r="Y1292">
        <v>204</v>
      </c>
      <c r="Z1292">
        <v>192</v>
      </c>
      <c r="AA1292">
        <v>144</v>
      </c>
      <c r="AB1292">
        <v>96</v>
      </c>
      <c r="AD1292">
        <v>36</v>
      </c>
      <c r="CH1292" t="str">
        <f t="shared" si="20"/>
        <v>JV1-0695-3</v>
      </c>
      <c r="CI1292" s="1" t="s">
        <v>102</v>
      </c>
    </row>
    <row r="1293" spans="1:87">
      <c r="A1293" t="s">
        <v>1308</v>
      </c>
      <c r="B1293">
        <v>227</v>
      </c>
      <c r="C1293" t="s">
        <v>1165</v>
      </c>
      <c r="D1293" t="s">
        <v>457</v>
      </c>
      <c r="E1293" t="s">
        <v>629</v>
      </c>
      <c r="F1293" t="s">
        <v>672</v>
      </c>
      <c r="G1293" t="s">
        <v>673</v>
      </c>
      <c r="N1293">
        <v>12</v>
      </c>
      <c r="P1293">
        <v>24</v>
      </c>
      <c r="Q1293">
        <v>12</v>
      </c>
      <c r="R1293">
        <v>30</v>
      </c>
      <c r="S1293">
        <v>12</v>
      </c>
      <c r="T1293">
        <v>30</v>
      </c>
      <c r="U1293">
        <v>12</v>
      </c>
      <c r="V1293">
        <v>24</v>
      </c>
      <c r="W1293">
        <v>6</v>
      </c>
      <c r="X1293">
        <v>29</v>
      </c>
      <c r="Z1293">
        <v>18</v>
      </c>
      <c r="AB1293">
        <v>12</v>
      </c>
      <c r="AD1293">
        <v>6</v>
      </c>
      <c r="CH1293" t="str">
        <f t="shared" si="20"/>
        <v>JV1-0695-3</v>
      </c>
      <c r="CI1293" s="1" t="s">
        <v>102</v>
      </c>
    </row>
    <row r="1294" spans="1:87">
      <c r="A1294" t="s">
        <v>1309</v>
      </c>
      <c r="B1294">
        <v>299</v>
      </c>
      <c r="C1294" t="s">
        <v>1168</v>
      </c>
      <c r="D1294" t="s">
        <v>457</v>
      </c>
      <c r="E1294" t="s">
        <v>629</v>
      </c>
      <c r="F1294" t="s">
        <v>672</v>
      </c>
      <c r="G1294" t="s">
        <v>673</v>
      </c>
      <c r="N1294">
        <v>6</v>
      </c>
      <c r="P1294">
        <v>18</v>
      </c>
      <c r="R1294">
        <v>24</v>
      </c>
      <c r="T1294">
        <v>24</v>
      </c>
      <c r="U1294">
        <v>12</v>
      </c>
      <c r="V1294">
        <v>42</v>
      </c>
      <c r="W1294">
        <v>18</v>
      </c>
      <c r="X1294">
        <v>47</v>
      </c>
      <c r="Y1294">
        <v>18</v>
      </c>
      <c r="Z1294">
        <v>42</v>
      </c>
      <c r="AA1294">
        <v>6</v>
      </c>
      <c r="AB1294">
        <v>30</v>
      </c>
      <c r="AD1294">
        <v>12</v>
      </c>
      <c r="CH1294" t="str">
        <f t="shared" si="20"/>
        <v>JV1-0695-3</v>
      </c>
      <c r="CI1294" s="1" t="s">
        <v>102</v>
      </c>
    </row>
    <row r="1295" spans="1:87">
      <c r="A1295" t="s">
        <v>1310</v>
      </c>
      <c r="B1295">
        <v>371</v>
      </c>
      <c r="C1295" t="s">
        <v>1166</v>
      </c>
      <c r="D1295" t="s">
        <v>457</v>
      </c>
      <c r="E1295" t="s">
        <v>629</v>
      </c>
      <c r="F1295" t="s">
        <v>672</v>
      </c>
      <c r="G1295" t="s">
        <v>673</v>
      </c>
      <c r="N1295">
        <v>12</v>
      </c>
      <c r="O1295">
        <v>12</v>
      </c>
      <c r="P1295">
        <v>24</v>
      </c>
      <c r="Q1295">
        <v>24</v>
      </c>
      <c r="R1295">
        <v>30</v>
      </c>
      <c r="S1295">
        <v>24</v>
      </c>
      <c r="T1295">
        <v>42</v>
      </c>
      <c r="U1295">
        <v>12</v>
      </c>
      <c r="V1295">
        <v>42</v>
      </c>
      <c r="W1295">
        <v>12</v>
      </c>
      <c r="X1295">
        <v>47</v>
      </c>
      <c r="Y1295">
        <v>18</v>
      </c>
      <c r="Z1295">
        <v>36</v>
      </c>
      <c r="AB1295">
        <v>30</v>
      </c>
      <c r="AD1295">
        <v>6</v>
      </c>
      <c r="CH1295" t="str">
        <f t="shared" si="20"/>
        <v>JV1-0695-3</v>
      </c>
      <c r="CI1295" s="1" t="s">
        <v>102</v>
      </c>
    </row>
    <row r="1296" spans="1:87">
      <c r="A1296" t="s">
        <v>1311</v>
      </c>
      <c r="B1296">
        <v>191</v>
      </c>
      <c r="C1296" t="s">
        <v>1166</v>
      </c>
      <c r="D1296" t="s">
        <v>457</v>
      </c>
      <c r="E1296" t="s">
        <v>629</v>
      </c>
      <c r="F1296" t="s">
        <v>672</v>
      </c>
      <c r="G1296" t="s">
        <v>673</v>
      </c>
      <c r="N1296">
        <v>6</v>
      </c>
      <c r="P1296">
        <v>18</v>
      </c>
      <c r="R1296">
        <v>18</v>
      </c>
      <c r="T1296">
        <v>18</v>
      </c>
      <c r="U1296">
        <v>6</v>
      </c>
      <c r="V1296">
        <v>30</v>
      </c>
      <c r="W1296">
        <v>6</v>
      </c>
      <c r="X1296">
        <v>35</v>
      </c>
      <c r="Y1296">
        <v>6</v>
      </c>
      <c r="Z1296">
        <v>30</v>
      </c>
      <c r="AB1296">
        <v>12</v>
      </c>
      <c r="AD1296">
        <v>6</v>
      </c>
      <c r="CH1296" t="str">
        <f t="shared" si="20"/>
        <v>JV1-0695-3</v>
      </c>
      <c r="CI1296" s="1" t="s">
        <v>102</v>
      </c>
    </row>
    <row r="1297" spans="1:87">
      <c r="A1297" t="s">
        <v>1312</v>
      </c>
      <c r="B1297">
        <v>149</v>
      </c>
      <c r="C1297" t="s">
        <v>1217</v>
      </c>
      <c r="D1297" t="s">
        <v>457</v>
      </c>
      <c r="E1297" t="s">
        <v>629</v>
      </c>
      <c r="F1297" t="s">
        <v>672</v>
      </c>
      <c r="G1297" t="s">
        <v>1005</v>
      </c>
      <c r="T1297">
        <v>12</v>
      </c>
      <c r="U1297">
        <v>12</v>
      </c>
      <c r="V1297">
        <v>12</v>
      </c>
      <c r="W1297">
        <v>12</v>
      </c>
      <c r="X1297">
        <v>29</v>
      </c>
      <c r="Y1297">
        <v>18</v>
      </c>
      <c r="Z1297">
        <v>24</v>
      </c>
      <c r="AA1297">
        <v>18</v>
      </c>
      <c r="AB1297">
        <v>6</v>
      </c>
      <c r="AD1297">
        <v>6</v>
      </c>
      <c r="CH1297" t="str">
        <f t="shared" si="20"/>
        <v>JV1-0695-3</v>
      </c>
      <c r="CI1297" s="1" t="s">
        <v>102</v>
      </c>
    </row>
    <row r="1298" spans="1:87">
      <c r="A1298" t="s">
        <v>1313</v>
      </c>
      <c r="B1298">
        <v>785</v>
      </c>
      <c r="C1298" t="s">
        <v>1166</v>
      </c>
      <c r="D1298" t="s">
        <v>457</v>
      </c>
      <c r="E1298" t="s">
        <v>629</v>
      </c>
      <c r="F1298" t="s">
        <v>672</v>
      </c>
      <c r="G1298" t="s">
        <v>673</v>
      </c>
      <c r="N1298">
        <v>12</v>
      </c>
      <c r="O1298">
        <v>54</v>
      </c>
      <c r="P1298">
        <v>66</v>
      </c>
      <c r="Q1298">
        <v>72</v>
      </c>
      <c r="R1298">
        <v>84</v>
      </c>
      <c r="S1298">
        <v>84</v>
      </c>
      <c r="T1298">
        <v>78</v>
      </c>
      <c r="V1298">
        <v>72</v>
      </c>
      <c r="X1298">
        <v>71</v>
      </c>
      <c r="Y1298">
        <v>72</v>
      </c>
      <c r="Z1298">
        <v>66</v>
      </c>
      <c r="AB1298">
        <v>36</v>
      </c>
      <c r="AD1298">
        <v>18</v>
      </c>
      <c r="CH1298" t="str">
        <f t="shared" si="20"/>
        <v>JV1-0695-3</v>
      </c>
      <c r="CI1298" s="1" t="s">
        <v>102</v>
      </c>
    </row>
    <row r="1299" spans="1:87">
      <c r="A1299" t="s">
        <v>1314</v>
      </c>
      <c r="B1299">
        <v>779</v>
      </c>
      <c r="C1299" t="s">
        <v>1165</v>
      </c>
      <c r="D1299" t="s">
        <v>457</v>
      </c>
      <c r="E1299" t="s">
        <v>629</v>
      </c>
      <c r="F1299" t="s">
        <v>672</v>
      </c>
      <c r="G1299" t="s">
        <v>673</v>
      </c>
      <c r="O1299">
        <v>30</v>
      </c>
      <c r="P1299">
        <v>54</v>
      </c>
      <c r="Q1299">
        <v>60</v>
      </c>
      <c r="R1299">
        <v>78</v>
      </c>
      <c r="S1299">
        <v>84</v>
      </c>
      <c r="T1299">
        <v>78</v>
      </c>
      <c r="V1299">
        <v>84</v>
      </c>
      <c r="X1299">
        <v>83</v>
      </c>
      <c r="Y1299">
        <v>84</v>
      </c>
      <c r="Z1299">
        <v>78</v>
      </c>
      <c r="AB1299">
        <v>42</v>
      </c>
      <c r="AD1299">
        <v>24</v>
      </c>
      <c r="CH1299" t="str">
        <f t="shared" si="20"/>
        <v>JV1-0695-3</v>
      </c>
      <c r="CI1299" s="1" t="s">
        <v>102</v>
      </c>
    </row>
    <row r="1300" spans="1:87">
      <c r="A1300" t="s">
        <v>1315</v>
      </c>
      <c r="B1300">
        <v>809</v>
      </c>
      <c r="C1300" t="s">
        <v>1168</v>
      </c>
      <c r="D1300" t="s">
        <v>457</v>
      </c>
      <c r="E1300" t="s">
        <v>629</v>
      </c>
      <c r="F1300" t="s">
        <v>672</v>
      </c>
      <c r="G1300" t="s">
        <v>673</v>
      </c>
      <c r="T1300">
        <v>66</v>
      </c>
      <c r="U1300">
        <v>6</v>
      </c>
      <c r="V1300">
        <v>96</v>
      </c>
      <c r="W1300">
        <v>102</v>
      </c>
      <c r="X1300">
        <v>131</v>
      </c>
      <c r="Y1300">
        <v>108</v>
      </c>
      <c r="Z1300">
        <v>162</v>
      </c>
      <c r="AA1300">
        <v>12</v>
      </c>
      <c r="AB1300">
        <v>96</v>
      </c>
      <c r="AD1300">
        <v>30</v>
      </c>
      <c r="CH1300" t="str">
        <f t="shared" si="20"/>
        <v>JV1-0695-3</v>
      </c>
      <c r="CI1300" s="1" t="s">
        <v>102</v>
      </c>
    </row>
    <row r="1301" spans="1:87">
      <c r="A1301" t="s">
        <v>1316</v>
      </c>
      <c r="B1301">
        <v>251</v>
      </c>
      <c r="C1301" t="s">
        <v>1217</v>
      </c>
      <c r="D1301" t="s">
        <v>457</v>
      </c>
      <c r="E1301" t="s">
        <v>629</v>
      </c>
      <c r="F1301" t="s">
        <v>672</v>
      </c>
      <c r="G1301" t="s">
        <v>1005</v>
      </c>
      <c r="O1301">
        <v>30</v>
      </c>
      <c r="Q1301">
        <v>36</v>
      </c>
      <c r="S1301">
        <v>42</v>
      </c>
      <c r="U1301">
        <v>36</v>
      </c>
      <c r="W1301">
        <v>35</v>
      </c>
      <c r="Y1301">
        <v>24</v>
      </c>
      <c r="AA1301">
        <v>24</v>
      </c>
      <c r="AC1301">
        <v>12</v>
      </c>
      <c r="AE1301">
        <v>12</v>
      </c>
      <c r="CH1301" t="str">
        <f t="shared" si="20"/>
        <v>JV1-0695-3</v>
      </c>
      <c r="CI1301" s="1" t="s">
        <v>102</v>
      </c>
    </row>
    <row r="1302" spans="1:87">
      <c r="A1302" t="s">
        <v>1331</v>
      </c>
      <c r="B1302">
        <v>3747</v>
      </c>
      <c r="C1302" t="s">
        <v>656</v>
      </c>
      <c r="D1302" t="s">
        <v>249</v>
      </c>
      <c r="E1302" t="s">
        <v>629</v>
      </c>
      <c r="F1302" t="s">
        <v>657</v>
      </c>
      <c r="G1302" t="s">
        <v>658</v>
      </c>
      <c r="T1302">
        <v>241</v>
      </c>
      <c r="V1302">
        <v>444</v>
      </c>
      <c r="W1302">
        <v>480</v>
      </c>
      <c r="X1302">
        <v>482</v>
      </c>
      <c r="Y1302">
        <v>600</v>
      </c>
      <c r="Z1302">
        <v>600</v>
      </c>
      <c r="AA1302">
        <v>240</v>
      </c>
      <c r="AB1302">
        <v>420</v>
      </c>
      <c r="AD1302">
        <v>240</v>
      </c>
      <c r="CH1302" t="str">
        <f t="shared" si="20"/>
        <v>D-0271</v>
      </c>
      <c r="CI1302" s="1" t="s">
        <v>102</v>
      </c>
    </row>
    <row r="1303" spans="1:87">
      <c r="A1303" t="s">
        <v>1332</v>
      </c>
      <c r="B1303">
        <v>2945</v>
      </c>
      <c r="C1303" t="s">
        <v>1333</v>
      </c>
      <c r="D1303" t="s">
        <v>457</v>
      </c>
      <c r="E1303" t="s">
        <v>629</v>
      </c>
      <c r="F1303" t="s">
        <v>672</v>
      </c>
      <c r="G1303" t="s">
        <v>1334</v>
      </c>
      <c r="O1303">
        <v>240</v>
      </c>
      <c r="P1303">
        <v>480</v>
      </c>
      <c r="Q1303">
        <v>684</v>
      </c>
      <c r="R1303">
        <v>672</v>
      </c>
      <c r="T1303">
        <v>444</v>
      </c>
      <c r="U1303">
        <v>228</v>
      </c>
      <c r="W1303">
        <v>65</v>
      </c>
      <c r="Y1303">
        <v>48</v>
      </c>
      <c r="Z1303">
        <v>36</v>
      </c>
      <c r="AB1303">
        <v>24</v>
      </c>
      <c r="AD1303">
        <v>24</v>
      </c>
      <c r="CH1303" t="str">
        <f t="shared" si="20"/>
        <v>JV1-0695-3</v>
      </c>
      <c r="CI1303" s="1" t="s">
        <v>102</v>
      </c>
    </row>
    <row r="1304" spans="1:87">
      <c r="A1304" t="s">
        <v>1335</v>
      </c>
      <c r="B1304">
        <v>1361</v>
      </c>
      <c r="C1304" t="s">
        <v>1336</v>
      </c>
      <c r="D1304" t="s">
        <v>457</v>
      </c>
      <c r="E1304" t="s">
        <v>629</v>
      </c>
      <c r="F1304" t="s">
        <v>672</v>
      </c>
      <c r="G1304" t="s">
        <v>1334</v>
      </c>
      <c r="O1304">
        <v>72</v>
      </c>
      <c r="P1304">
        <v>156</v>
      </c>
      <c r="Q1304">
        <v>228</v>
      </c>
      <c r="R1304">
        <v>240</v>
      </c>
      <c r="T1304">
        <v>168</v>
      </c>
      <c r="U1304">
        <v>108</v>
      </c>
      <c r="W1304">
        <v>101</v>
      </c>
      <c r="Y1304">
        <v>132</v>
      </c>
      <c r="Z1304">
        <v>96</v>
      </c>
      <c r="AB1304">
        <v>48</v>
      </c>
      <c r="AD1304">
        <v>12</v>
      </c>
      <c r="CH1304" t="str">
        <f t="shared" si="20"/>
        <v>JV1-0695-3</v>
      </c>
      <c r="CI1304" s="1" t="s">
        <v>102</v>
      </c>
    </row>
    <row r="1305" spans="1:87">
      <c r="A1305" t="s">
        <v>1337</v>
      </c>
      <c r="B1305">
        <v>407</v>
      </c>
      <c r="C1305" t="s">
        <v>1336</v>
      </c>
      <c r="D1305" t="s">
        <v>457</v>
      </c>
      <c r="E1305" t="s">
        <v>629</v>
      </c>
      <c r="F1305" t="s">
        <v>672</v>
      </c>
      <c r="G1305" t="s">
        <v>1334</v>
      </c>
      <c r="O1305">
        <v>6</v>
      </c>
      <c r="P1305">
        <v>12</v>
      </c>
      <c r="Q1305">
        <v>18</v>
      </c>
      <c r="R1305">
        <v>30</v>
      </c>
      <c r="S1305">
        <v>30</v>
      </c>
      <c r="T1305">
        <v>36</v>
      </c>
      <c r="U1305">
        <v>36</v>
      </c>
      <c r="V1305">
        <v>30</v>
      </c>
      <c r="W1305">
        <v>36</v>
      </c>
      <c r="X1305">
        <v>47</v>
      </c>
      <c r="Y1305">
        <v>36</v>
      </c>
      <c r="Z1305">
        <v>36</v>
      </c>
      <c r="AA1305">
        <v>24</v>
      </c>
      <c r="AB1305">
        <v>12</v>
      </c>
      <c r="AC1305">
        <v>12</v>
      </c>
      <c r="AD1305">
        <v>6</v>
      </c>
      <c r="CH1305" t="str">
        <f t="shared" si="20"/>
        <v>JV1-0695-3</v>
      </c>
      <c r="CI1305" s="1" t="s">
        <v>102</v>
      </c>
    </row>
    <row r="1306" spans="1:87">
      <c r="A1306" t="s">
        <v>1338</v>
      </c>
      <c r="B1306">
        <v>365</v>
      </c>
      <c r="C1306" t="s">
        <v>1333</v>
      </c>
      <c r="D1306" t="s">
        <v>457</v>
      </c>
      <c r="E1306" t="s">
        <v>629</v>
      </c>
      <c r="F1306" t="s">
        <v>672</v>
      </c>
      <c r="G1306" t="s">
        <v>1334</v>
      </c>
      <c r="T1306">
        <v>30</v>
      </c>
      <c r="U1306">
        <v>30</v>
      </c>
      <c r="V1306">
        <v>30</v>
      </c>
      <c r="W1306">
        <v>60</v>
      </c>
      <c r="X1306">
        <v>65</v>
      </c>
      <c r="Y1306">
        <v>60</v>
      </c>
      <c r="Z1306">
        <v>30</v>
      </c>
      <c r="AA1306">
        <v>30</v>
      </c>
      <c r="AB1306">
        <v>30</v>
      </c>
      <c r="CH1306" t="str">
        <f t="shared" si="20"/>
        <v>JV1-0695-3</v>
      </c>
      <c r="CI1306" s="1" t="s">
        <v>102</v>
      </c>
    </row>
    <row r="1307" spans="1:87">
      <c r="A1307" t="s">
        <v>1339</v>
      </c>
      <c r="B1307">
        <v>149</v>
      </c>
      <c r="C1307" t="s">
        <v>1333</v>
      </c>
      <c r="D1307" t="s">
        <v>457</v>
      </c>
      <c r="E1307" t="s">
        <v>629</v>
      </c>
      <c r="F1307" t="s">
        <v>672</v>
      </c>
      <c r="G1307" t="s">
        <v>1334</v>
      </c>
      <c r="U1307">
        <v>12</v>
      </c>
      <c r="V1307">
        <v>12</v>
      </c>
      <c r="W1307">
        <v>12</v>
      </c>
      <c r="X1307">
        <v>17</v>
      </c>
      <c r="Y1307">
        <v>24</v>
      </c>
      <c r="Z1307">
        <v>24</v>
      </c>
      <c r="AA1307">
        <v>12</v>
      </c>
      <c r="AB1307">
        <v>12</v>
      </c>
      <c r="AC1307">
        <v>12</v>
      </c>
      <c r="AD1307">
        <v>12</v>
      </c>
      <c r="CH1307" t="str">
        <f t="shared" si="20"/>
        <v>JV1-0695-3</v>
      </c>
      <c r="CI1307" s="1" t="s">
        <v>102</v>
      </c>
    </row>
    <row r="1308" spans="1:87">
      <c r="A1308" t="s">
        <v>1340</v>
      </c>
      <c r="B1308">
        <v>36</v>
      </c>
      <c r="C1308" t="s">
        <v>1333</v>
      </c>
      <c r="D1308" t="s">
        <v>457</v>
      </c>
      <c r="E1308" t="s">
        <v>629</v>
      </c>
      <c r="F1308" t="s">
        <v>672</v>
      </c>
      <c r="G1308" t="s">
        <v>1334</v>
      </c>
      <c r="T1308">
        <v>6</v>
      </c>
      <c r="U1308">
        <v>6</v>
      </c>
      <c r="V1308">
        <v>6</v>
      </c>
      <c r="W1308">
        <v>6</v>
      </c>
      <c r="X1308">
        <v>6</v>
      </c>
      <c r="Y1308">
        <v>6</v>
      </c>
      <c r="CH1308" t="str">
        <f t="shared" si="20"/>
        <v>JV1-0695-3</v>
      </c>
      <c r="CI1308" s="1" t="s">
        <v>102</v>
      </c>
    </row>
    <row r="1309" spans="1:87">
      <c r="A1309" t="s">
        <v>1341</v>
      </c>
      <c r="B1309">
        <v>1445</v>
      </c>
      <c r="C1309" t="s">
        <v>1333</v>
      </c>
      <c r="D1309" t="s">
        <v>457</v>
      </c>
      <c r="E1309" t="s">
        <v>629</v>
      </c>
      <c r="F1309" t="s">
        <v>672</v>
      </c>
      <c r="G1309" t="s">
        <v>1334</v>
      </c>
      <c r="N1309">
        <v>120</v>
      </c>
      <c r="O1309">
        <v>120</v>
      </c>
      <c r="P1309">
        <v>240</v>
      </c>
      <c r="Q1309">
        <v>240</v>
      </c>
      <c r="R1309">
        <v>120</v>
      </c>
      <c r="S1309">
        <v>120</v>
      </c>
      <c r="T1309">
        <v>120</v>
      </c>
      <c r="U1309">
        <v>120</v>
      </c>
      <c r="V1309">
        <v>120</v>
      </c>
      <c r="W1309">
        <v>125</v>
      </c>
      <c r="CH1309" t="str">
        <f t="shared" si="20"/>
        <v>JV1-0695-3</v>
      </c>
      <c r="CI1309" s="1" t="s">
        <v>102</v>
      </c>
    </row>
    <row r="1310" spans="1:87">
      <c r="A1310" t="s">
        <v>1342</v>
      </c>
      <c r="B1310">
        <v>365</v>
      </c>
      <c r="C1310" t="s">
        <v>1333</v>
      </c>
      <c r="D1310" t="s">
        <v>457</v>
      </c>
      <c r="E1310" t="s">
        <v>629</v>
      </c>
      <c r="F1310" t="s">
        <v>672</v>
      </c>
      <c r="G1310" t="s">
        <v>1334</v>
      </c>
      <c r="O1310">
        <v>30</v>
      </c>
      <c r="P1310">
        <v>30</v>
      </c>
      <c r="Q1310">
        <v>30</v>
      </c>
      <c r="R1310">
        <v>60</v>
      </c>
      <c r="S1310">
        <v>60</v>
      </c>
      <c r="T1310">
        <v>60</v>
      </c>
      <c r="U1310">
        <v>30</v>
      </c>
      <c r="V1310">
        <v>30</v>
      </c>
      <c r="W1310">
        <v>35</v>
      </c>
      <c r="CH1310" t="str">
        <f t="shared" si="20"/>
        <v>JV1-0695-3</v>
      </c>
      <c r="CI1310" s="1" t="s">
        <v>102</v>
      </c>
    </row>
    <row r="1311" spans="1:87">
      <c r="A1311" t="s">
        <v>1343</v>
      </c>
      <c r="B1311">
        <v>485</v>
      </c>
      <c r="C1311" t="s">
        <v>1333</v>
      </c>
      <c r="D1311" t="s">
        <v>457</v>
      </c>
      <c r="E1311" t="s">
        <v>629</v>
      </c>
      <c r="F1311" t="s">
        <v>672</v>
      </c>
      <c r="G1311" t="s">
        <v>1334</v>
      </c>
      <c r="O1311">
        <v>120</v>
      </c>
      <c r="P1311">
        <v>120</v>
      </c>
      <c r="Q1311">
        <v>120</v>
      </c>
      <c r="R1311">
        <v>125</v>
      </c>
      <c r="CH1311" t="str">
        <f t="shared" si="20"/>
        <v>JV1-0695-3</v>
      </c>
      <c r="CI1311" s="1" t="s">
        <v>102</v>
      </c>
    </row>
    <row r="1312" spans="1:87">
      <c r="A1312" t="s">
        <v>1344</v>
      </c>
      <c r="B1312">
        <v>6</v>
      </c>
      <c r="C1312" t="s">
        <v>1336</v>
      </c>
      <c r="D1312" t="s">
        <v>457</v>
      </c>
      <c r="E1312" t="s">
        <v>629</v>
      </c>
      <c r="F1312" t="s">
        <v>672</v>
      </c>
      <c r="G1312" t="s">
        <v>1334</v>
      </c>
      <c r="AF1312">
        <v>6</v>
      </c>
      <c r="CH1312" t="str">
        <f t="shared" si="20"/>
        <v>JV1-0695-3</v>
      </c>
      <c r="CI1312" s="1" t="s">
        <v>102</v>
      </c>
    </row>
    <row r="1313" spans="1:87">
      <c r="A1313" t="s">
        <v>1345</v>
      </c>
      <c r="B1313">
        <v>72</v>
      </c>
      <c r="C1313" t="s">
        <v>1336</v>
      </c>
      <c r="D1313" t="s">
        <v>457</v>
      </c>
      <c r="E1313" t="s">
        <v>629</v>
      </c>
      <c r="F1313" t="s">
        <v>672</v>
      </c>
      <c r="G1313" t="s">
        <v>1334</v>
      </c>
      <c r="T1313">
        <v>6</v>
      </c>
      <c r="U1313">
        <v>6</v>
      </c>
      <c r="V1313">
        <v>6</v>
      </c>
      <c r="W1313">
        <v>12</v>
      </c>
      <c r="X1313">
        <v>12</v>
      </c>
      <c r="Y1313">
        <v>12</v>
      </c>
      <c r="Z1313">
        <v>6</v>
      </c>
      <c r="AA1313">
        <v>6</v>
      </c>
      <c r="AB1313">
        <v>6</v>
      </c>
      <c r="CH1313" t="str">
        <f t="shared" si="20"/>
        <v>JV1-0695-3</v>
      </c>
      <c r="CI1313" s="1" t="s">
        <v>102</v>
      </c>
    </row>
    <row r="1314" spans="1:87">
      <c r="A1314" t="s">
        <v>1346</v>
      </c>
      <c r="B1314">
        <v>149</v>
      </c>
      <c r="C1314" t="s">
        <v>1336</v>
      </c>
      <c r="D1314" t="s">
        <v>457</v>
      </c>
      <c r="E1314" t="s">
        <v>629</v>
      </c>
      <c r="F1314" t="s">
        <v>672</v>
      </c>
      <c r="G1314" t="s">
        <v>1334</v>
      </c>
      <c r="U1314">
        <v>12</v>
      </c>
      <c r="V1314">
        <v>12</v>
      </c>
      <c r="W1314">
        <v>12</v>
      </c>
      <c r="X1314">
        <v>17</v>
      </c>
      <c r="Y1314">
        <v>24</v>
      </c>
      <c r="Z1314">
        <v>24</v>
      </c>
      <c r="AA1314">
        <v>12</v>
      </c>
      <c r="AB1314">
        <v>12</v>
      </c>
      <c r="AC1314">
        <v>12</v>
      </c>
      <c r="AD1314">
        <v>12</v>
      </c>
      <c r="CH1314" t="str">
        <f t="shared" si="20"/>
        <v>JV1-0695-3</v>
      </c>
      <c r="CI1314" s="1" t="s">
        <v>102</v>
      </c>
    </row>
    <row r="1315" spans="1:87">
      <c r="A1315" t="s">
        <v>1347</v>
      </c>
      <c r="B1315">
        <v>797</v>
      </c>
      <c r="C1315" t="s">
        <v>1336</v>
      </c>
      <c r="D1315" t="s">
        <v>457</v>
      </c>
      <c r="E1315" t="s">
        <v>629</v>
      </c>
      <c r="F1315" t="s">
        <v>672</v>
      </c>
      <c r="G1315" t="s">
        <v>1334</v>
      </c>
      <c r="N1315">
        <v>66</v>
      </c>
      <c r="O1315">
        <v>66</v>
      </c>
      <c r="P1315">
        <v>132</v>
      </c>
      <c r="Q1315">
        <v>132</v>
      </c>
      <c r="R1315">
        <v>66</v>
      </c>
      <c r="S1315">
        <v>66</v>
      </c>
      <c r="T1315">
        <v>66</v>
      </c>
      <c r="U1315">
        <v>66</v>
      </c>
      <c r="V1315">
        <v>66</v>
      </c>
      <c r="W1315">
        <v>71</v>
      </c>
      <c r="CH1315" t="str">
        <f t="shared" si="20"/>
        <v>JV1-0695-3</v>
      </c>
      <c r="CI1315" s="1" t="s">
        <v>102</v>
      </c>
    </row>
    <row r="1316" spans="1:87">
      <c r="A1316" t="s">
        <v>1348</v>
      </c>
      <c r="B1316">
        <v>509</v>
      </c>
      <c r="C1316" t="s">
        <v>1336</v>
      </c>
      <c r="D1316" t="s">
        <v>457</v>
      </c>
      <c r="E1316" t="s">
        <v>629</v>
      </c>
      <c r="F1316" t="s">
        <v>672</v>
      </c>
      <c r="G1316" t="s">
        <v>1334</v>
      </c>
      <c r="O1316">
        <v>42</v>
      </c>
      <c r="P1316">
        <v>42</v>
      </c>
      <c r="Q1316">
        <v>42</v>
      </c>
      <c r="R1316">
        <v>84</v>
      </c>
      <c r="S1316">
        <v>84</v>
      </c>
      <c r="T1316">
        <v>84</v>
      </c>
      <c r="U1316">
        <v>42</v>
      </c>
      <c r="V1316">
        <v>42</v>
      </c>
      <c r="W1316">
        <v>47</v>
      </c>
      <c r="CH1316" t="str">
        <f t="shared" si="20"/>
        <v>JV1-0695-3</v>
      </c>
      <c r="CI1316" s="1" t="s">
        <v>102</v>
      </c>
    </row>
    <row r="1317" spans="1:87">
      <c r="A1317" t="s">
        <v>1349</v>
      </c>
      <c r="B1317">
        <v>48</v>
      </c>
      <c r="C1317" t="s">
        <v>1336</v>
      </c>
      <c r="D1317" t="s">
        <v>457</v>
      </c>
      <c r="E1317" t="s">
        <v>629</v>
      </c>
      <c r="F1317" t="s">
        <v>672</v>
      </c>
      <c r="G1317" t="s">
        <v>1334</v>
      </c>
      <c r="O1317">
        <v>12</v>
      </c>
      <c r="P1317">
        <v>12</v>
      </c>
      <c r="Q1317">
        <v>12</v>
      </c>
      <c r="R1317">
        <v>12</v>
      </c>
      <c r="CH1317" t="str">
        <f t="shared" si="20"/>
        <v>JV1-0695-3</v>
      </c>
      <c r="CI1317" s="1" t="s">
        <v>102</v>
      </c>
    </row>
    <row r="1318" spans="1:87">
      <c r="A1318" t="s">
        <v>1350</v>
      </c>
      <c r="B1318">
        <v>161</v>
      </c>
      <c r="C1318" t="s">
        <v>1336</v>
      </c>
      <c r="D1318" t="s">
        <v>457</v>
      </c>
      <c r="E1318" t="s">
        <v>629</v>
      </c>
      <c r="F1318" t="s">
        <v>672</v>
      </c>
      <c r="G1318" t="s">
        <v>1334</v>
      </c>
      <c r="O1318">
        <v>24</v>
      </c>
      <c r="Q1318">
        <v>36</v>
      </c>
      <c r="S1318">
        <v>36</v>
      </c>
      <c r="U1318">
        <v>24</v>
      </c>
      <c r="W1318">
        <v>23</v>
      </c>
      <c r="Y1318">
        <v>12</v>
      </c>
      <c r="AA1318">
        <v>6</v>
      </c>
      <c r="CH1318" t="str">
        <f t="shared" si="20"/>
        <v>JV1-0695-3</v>
      </c>
      <c r="CI1318" s="1" t="s">
        <v>102</v>
      </c>
    </row>
    <row r="1319" spans="1:87">
      <c r="A1319" t="s">
        <v>1354</v>
      </c>
      <c r="B1319">
        <v>104</v>
      </c>
      <c r="C1319" t="s">
        <v>948</v>
      </c>
      <c r="D1319" t="s">
        <v>365</v>
      </c>
      <c r="E1319" t="s">
        <v>642</v>
      </c>
      <c r="F1319" t="s">
        <v>706</v>
      </c>
      <c r="G1319" t="s">
        <v>1355</v>
      </c>
      <c r="P1319">
        <v>42</v>
      </c>
      <c r="Q1319">
        <v>12</v>
      </c>
      <c r="R1319">
        <v>18</v>
      </c>
      <c r="V1319">
        <v>32</v>
      </c>
      <c r="CH1319" t="str">
        <f t="shared" si="20"/>
        <v>D-0524</v>
      </c>
      <c r="CI1319" s="1" t="s">
        <v>102</v>
      </c>
    </row>
    <row r="1320" spans="1:87">
      <c r="A1320" t="s">
        <v>1357</v>
      </c>
      <c r="B1320">
        <v>4094</v>
      </c>
      <c r="C1320" t="s">
        <v>948</v>
      </c>
      <c r="D1320" t="s">
        <v>365</v>
      </c>
      <c r="E1320" t="s">
        <v>642</v>
      </c>
      <c r="F1320" t="s">
        <v>706</v>
      </c>
      <c r="G1320" t="s">
        <v>1355</v>
      </c>
      <c r="O1320">
        <v>168</v>
      </c>
      <c r="P1320">
        <v>312</v>
      </c>
      <c r="Q1320">
        <v>468</v>
      </c>
      <c r="R1320">
        <v>468</v>
      </c>
      <c r="S1320">
        <v>480</v>
      </c>
      <c r="T1320">
        <v>482</v>
      </c>
      <c r="U1320">
        <v>480</v>
      </c>
      <c r="V1320">
        <v>468</v>
      </c>
      <c r="W1320">
        <v>468</v>
      </c>
      <c r="Y1320">
        <v>300</v>
      </c>
      <c r="CH1320" t="str">
        <f t="shared" si="20"/>
        <v>D-0524</v>
      </c>
      <c r="CI1320" s="1" t="s">
        <v>102</v>
      </c>
    </row>
    <row r="1321" spans="1:87">
      <c r="A1321" t="s">
        <v>1361</v>
      </c>
      <c r="B1321">
        <v>4925</v>
      </c>
      <c r="C1321" t="s">
        <v>1165</v>
      </c>
      <c r="D1321" t="s">
        <v>457</v>
      </c>
      <c r="E1321" t="s">
        <v>629</v>
      </c>
      <c r="F1321" t="s">
        <v>672</v>
      </c>
      <c r="G1321" t="s">
        <v>673</v>
      </c>
      <c r="O1321">
        <v>410</v>
      </c>
      <c r="P1321">
        <v>820</v>
      </c>
      <c r="Q1321">
        <v>820</v>
      </c>
      <c r="R1321">
        <v>1230</v>
      </c>
      <c r="S1321">
        <v>820</v>
      </c>
      <c r="T1321">
        <v>415</v>
      </c>
      <c r="U1321">
        <v>410</v>
      </c>
      <c r="CH1321" t="str">
        <f t="shared" si="20"/>
        <v>JV1-0695-3</v>
      </c>
      <c r="CI1321" s="1" t="s">
        <v>102</v>
      </c>
    </row>
    <row r="1322" spans="1:87">
      <c r="A1322" t="s">
        <v>1362</v>
      </c>
      <c r="B1322">
        <v>4109</v>
      </c>
      <c r="C1322" t="s">
        <v>1166</v>
      </c>
      <c r="D1322" t="s">
        <v>457</v>
      </c>
      <c r="E1322" t="s">
        <v>629</v>
      </c>
      <c r="F1322" t="s">
        <v>672</v>
      </c>
      <c r="G1322" t="s">
        <v>673</v>
      </c>
      <c r="O1322">
        <v>342</v>
      </c>
      <c r="P1322">
        <v>684</v>
      </c>
      <c r="Q1322">
        <v>684</v>
      </c>
      <c r="R1322">
        <v>1026</v>
      </c>
      <c r="S1322">
        <v>684</v>
      </c>
      <c r="T1322">
        <v>347</v>
      </c>
      <c r="U1322">
        <v>342</v>
      </c>
      <c r="CH1322" t="str">
        <f t="shared" si="20"/>
        <v>JV1-0695-3</v>
      </c>
      <c r="CI1322" s="1" t="s">
        <v>102</v>
      </c>
    </row>
    <row r="1323" spans="1:87">
      <c r="A1323" t="s">
        <v>1363</v>
      </c>
      <c r="B1323">
        <v>3497</v>
      </c>
      <c r="C1323" t="s">
        <v>1166</v>
      </c>
      <c r="D1323" t="s">
        <v>457</v>
      </c>
      <c r="E1323" t="s">
        <v>629</v>
      </c>
      <c r="F1323" t="s">
        <v>672</v>
      </c>
      <c r="G1323" t="s">
        <v>673</v>
      </c>
      <c r="O1323">
        <v>291</v>
      </c>
      <c r="P1323">
        <v>582</v>
      </c>
      <c r="Q1323">
        <v>582</v>
      </c>
      <c r="R1323">
        <v>873</v>
      </c>
      <c r="S1323">
        <v>582</v>
      </c>
      <c r="T1323">
        <v>296</v>
      </c>
      <c r="U1323">
        <v>291</v>
      </c>
      <c r="CH1323" t="str">
        <f t="shared" si="20"/>
        <v>JV1-0695-3</v>
      </c>
      <c r="CI1323" s="1" t="s">
        <v>102</v>
      </c>
    </row>
    <row r="1324" spans="1:87">
      <c r="A1324" t="s">
        <v>1364</v>
      </c>
      <c r="B1324">
        <v>4349</v>
      </c>
      <c r="C1324" t="s">
        <v>1166</v>
      </c>
      <c r="D1324" t="s">
        <v>457</v>
      </c>
      <c r="E1324" t="s">
        <v>629</v>
      </c>
      <c r="F1324" t="s">
        <v>672</v>
      </c>
      <c r="G1324" t="s">
        <v>673</v>
      </c>
      <c r="O1324">
        <v>362</v>
      </c>
      <c r="P1324">
        <v>724</v>
      </c>
      <c r="Q1324">
        <v>724</v>
      </c>
      <c r="R1324">
        <v>1086</v>
      </c>
      <c r="S1324">
        <v>724</v>
      </c>
      <c r="T1324">
        <v>367</v>
      </c>
      <c r="U1324">
        <v>362</v>
      </c>
      <c r="CH1324" t="str">
        <f t="shared" si="20"/>
        <v>JV1-0695-3</v>
      </c>
      <c r="CI1324" s="1" t="s">
        <v>102</v>
      </c>
    </row>
    <row r="1325" spans="1:87">
      <c r="A1325" t="s">
        <v>1365</v>
      </c>
      <c r="B1325">
        <v>149</v>
      </c>
      <c r="C1325" t="s">
        <v>1169</v>
      </c>
      <c r="D1325" t="s">
        <v>457</v>
      </c>
      <c r="E1325" t="s">
        <v>629</v>
      </c>
      <c r="F1325" t="s">
        <v>672</v>
      </c>
      <c r="G1325" t="s">
        <v>738</v>
      </c>
      <c r="O1325">
        <v>12</v>
      </c>
      <c r="P1325">
        <v>24</v>
      </c>
      <c r="Q1325">
        <v>30</v>
      </c>
      <c r="R1325">
        <v>24</v>
      </c>
      <c r="S1325">
        <v>24</v>
      </c>
      <c r="T1325">
        <v>23</v>
      </c>
      <c r="U1325">
        <v>12</v>
      </c>
      <c r="CH1325" t="str">
        <f t="shared" si="20"/>
        <v>JV1-0695-3</v>
      </c>
      <c r="CI1325" s="1" t="s">
        <v>102</v>
      </c>
    </row>
    <row r="1326" spans="1:87">
      <c r="A1326" t="s">
        <v>1366</v>
      </c>
      <c r="B1326">
        <v>305</v>
      </c>
      <c r="C1326" t="s">
        <v>1169</v>
      </c>
      <c r="D1326" t="s">
        <v>457</v>
      </c>
      <c r="E1326" t="s">
        <v>629</v>
      </c>
      <c r="F1326" t="s">
        <v>672</v>
      </c>
      <c r="G1326" t="s">
        <v>738</v>
      </c>
      <c r="O1326">
        <v>30</v>
      </c>
      <c r="P1326">
        <v>42</v>
      </c>
      <c r="Q1326">
        <v>66</v>
      </c>
      <c r="R1326">
        <v>60</v>
      </c>
      <c r="S1326">
        <v>48</v>
      </c>
      <c r="T1326">
        <v>41</v>
      </c>
      <c r="U1326">
        <v>18</v>
      </c>
      <c r="CH1326" t="str">
        <f t="shared" si="20"/>
        <v>JV1-0695-3</v>
      </c>
      <c r="CI1326" s="1" t="s">
        <v>102</v>
      </c>
    </row>
    <row r="1327" spans="1:87">
      <c r="A1327" t="s">
        <v>1367</v>
      </c>
      <c r="B1327">
        <v>2729</v>
      </c>
      <c r="C1327" t="s">
        <v>718</v>
      </c>
      <c r="D1327" t="s">
        <v>457</v>
      </c>
      <c r="E1327" t="s">
        <v>629</v>
      </c>
      <c r="F1327" t="s">
        <v>672</v>
      </c>
      <c r="G1327" t="s">
        <v>673</v>
      </c>
      <c r="V1327">
        <v>232</v>
      </c>
      <c r="W1327">
        <v>454</v>
      </c>
      <c r="X1327">
        <v>454</v>
      </c>
      <c r="Y1327">
        <v>454</v>
      </c>
      <c r="Z1327">
        <v>454</v>
      </c>
      <c r="AA1327">
        <v>227</v>
      </c>
      <c r="AB1327">
        <v>227</v>
      </c>
      <c r="AD1327">
        <v>227</v>
      </c>
      <c r="CH1327" t="str">
        <f t="shared" si="20"/>
        <v>JV1-0695-3</v>
      </c>
      <c r="CI1327" s="1" t="s">
        <v>102</v>
      </c>
    </row>
    <row r="1328" spans="1:87">
      <c r="A1328" t="s">
        <v>1368</v>
      </c>
      <c r="B1328">
        <v>965</v>
      </c>
      <c r="C1328" t="s">
        <v>718</v>
      </c>
      <c r="D1328" t="s">
        <v>457</v>
      </c>
      <c r="E1328" t="s">
        <v>629</v>
      </c>
      <c r="F1328" t="s">
        <v>672</v>
      </c>
      <c r="G1328" t="s">
        <v>673</v>
      </c>
      <c r="O1328">
        <v>80</v>
      </c>
      <c r="P1328">
        <v>160</v>
      </c>
      <c r="Q1328">
        <v>160</v>
      </c>
      <c r="R1328">
        <v>240</v>
      </c>
      <c r="S1328">
        <v>160</v>
      </c>
      <c r="T1328">
        <v>85</v>
      </c>
      <c r="U1328">
        <v>80</v>
      </c>
      <c r="CH1328" t="str">
        <f t="shared" si="20"/>
        <v>JV1-0695-3</v>
      </c>
      <c r="CI1328" s="1" t="s">
        <v>102</v>
      </c>
    </row>
    <row r="1329" spans="1:87">
      <c r="A1329" t="s">
        <v>1369</v>
      </c>
      <c r="B1329">
        <v>2009</v>
      </c>
      <c r="C1329" t="s">
        <v>1165</v>
      </c>
      <c r="D1329" t="s">
        <v>457</v>
      </c>
      <c r="E1329" t="s">
        <v>629</v>
      </c>
      <c r="F1329" t="s">
        <v>672</v>
      </c>
      <c r="G1329" t="s">
        <v>673</v>
      </c>
      <c r="V1329">
        <v>172</v>
      </c>
      <c r="W1329">
        <v>334</v>
      </c>
      <c r="X1329">
        <v>334</v>
      </c>
      <c r="Y1329">
        <v>334</v>
      </c>
      <c r="Z1329">
        <v>334</v>
      </c>
      <c r="AA1329">
        <v>167</v>
      </c>
      <c r="AB1329">
        <v>167</v>
      </c>
      <c r="AD1329">
        <v>167</v>
      </c>
      <c r="CH1329" t="str">
        <f t="shared" si="20"/>
        <v>JV1-0695-3</v>
      </c>
      <c r="CI1329" s="1" t="s">
        <v>102</v>
      </c>
    </row>
    <row r="1330" spans="1:87">
      <c r="A1330" t="s">
        <v>1370</v>
      </c>
      <c r="B1330">
        <v>2993</v>
      </c>
      <c r="C1330" t="s">
        <v>1165</v>
      </c>
      <c r="D1330" t="s">
        <v>457</v>
      </c>
      <c r="E1330" t="s">
        <v>629</v>
      </c>
      <c r="F1330" t="s">
        <v>672</v>
      </c>
      <c r="G1330" t="s">
        <v>673</v>
      </c>
      <c r="O1330">
        <v>249</v>
      </c>
      <c r="P1330">
        <v>498</v>
      </c>
      <c r="Q1330">
        <v>498</v>
      </c>
      <c r="R1330">
        <v>747</v>
      </c>
      <c r="S1330">
        <v>498</v>
      </c>
      <c r="T1330">
        <v>254</v>
      </c>
      <c r="U1330">
        <v>249</v>
      </c>
      <c r="CH1330" t="str">
        <f t="shared" si="20"/>
        <v>JV1-0695-3</v>
      </c>
      <c r="CI1330" s="1" t="s">
        <v>102</v>
      </c>
    </row>
    <row r="1331" spans="1:87">
      <c r="A1331" t="s">
        <v>1371</v>
      </c>
      <c r="B1331">
        <v>24</v>
      </c>
      <c r="C1331" t="s">
        <v>1166</v>
      </c>
      <c r="D1331" t="s">
        <v>457</v>
      </c>
      <c r="E1331" t="s">
        <v>629</v>
      </c>
      <c r="F1331" t="s">
        <v>672</v>
      </c>
      <c r="G1331" t="s">
        <v>673</v>
      </c>
      <c r="V1331">
        <v>2</v>
      </c>
      <c r="W1331">
        <v>4</v>
      </c>
      <c r="X1331">
        <v>4</v>
      </c>
      <c r="Y1331">
        <v>4</v>
      </c>
      <c r="Z1331">
        <v>4</v>
      </c>
      <c r="AA1331">
        <v>2</v>
      </c>
      <c r="AB1331">
        <v>2</v>
      </c>
      <c r="AD1331">
        <v>2</v>
      </c>
      <c r="CH1331" t="str">
        <f t="shared" si="20"/>
        <v>JV1-0695-3</v>
      </c>
      <c r="CI1331" s="1" t="s">
        <v>102</v>
      </c>
    </row>
    <row r="1332" spans="1:87">
      <c r="A1332" t="s">
        <v>1372</v>
      </c>
      <c r="B1332">
        <v>4733</v>
      </c>
      <c r="C1332" t="s">
        <v>1166</v>
      </c>
      <c r="D1332" t="s">
        <v>457</v>
      </c>
      <c r="E1332" t="s">
        <v>629</v>
      </c>
      <c r="F1332" t="s">
        <v>672</v>
      </c>
      <c r="G1332" t="s">
        <v>673</v>
      </c>
      <c r="O1332">
        <v>394</v>
      </c>
      <c r="P1332">
        <v>788</v>
      </c>
      <c r="Q1332">
        <v>788</v>
      </c>
      <c r="R1332">
        <v>1182</v>
      </c>
      <c r="S1332">
        <v>788</v>
      </c>
      <c r="T1332">
        <v>399</v>
      </c>
      <c r="U1332">
        <v>394</v>
      </c>
      <c r="CH1332" t="str">
        <f t="shared" si="20"/>
        <v>JV1-0695-3</v>
      </c>
      <c r="CI1332" s="1" t="s">
        <v>102</v>
      </c>
    </row>
    <row r="1333" spans="1:87">
      <c r="A1333" t="s">
        <v>1373</v>
      </c>
      <c r="B1333">
        <v>24</v>
      </c>
      <c r="C1333" t="s">
        <v>1168</v>
      </c>
      <c r="D1333" t="s">
        <v>457</v>
      </c>
      <c r="E1333" t="s">
        <v>629</v>
      </c>
      <c r="F1333" t="s">
        <v>672</v>
      </c>
      <c r="G1333" t="s">
        <v>673</v>
      </c>
      <c r="V1333">
        <v>2</v>
      </c>
      <c r="W1333">
        <v>4</v>
      </c>
      <c r="X1333">
        <v>4</v>
      </c>
      <c r="Y1333">
        <v>4</v>
      </c>
      <c r="Z1333">
        <v>4</v>
      </c>
      <c r="AA1333">
        <v>2</v>
      </c>
      <c r="AB1333">
        <v>2</v>
      </c>
      <c r="AD1333">
        <v>2</v>
      </c>
      <c r="CH1333" t="str">
        <f t="shared" si="20"/>
        <v>JV1-0695-3</v>
      </c>
      <c r="CI1333" s="1" t="s">
        <v>102</v>
      </c>
    </row>
    <row r="1334" spans="1:87">
      <c r="A1334" t="s">
        <v>1374</v>
      </c>
      <c r="B1334">
        <v>3557</v>
      </c>
      <c r="C1334" t="s">
        <v>1168</v>
      </c>
      <c r="D1334" t="s">
        <v>457</v>
      </c>
      <c r="E1334" t="s">
        <v>629</v>
      </c>
      <c r="F1334" t="s">
        <v>672</v>
      </c>
      <c r="G1334" t="s">
        <v>673</v>
      </c>
      <c r="O1334">
        <v>296</v>
      </c>
      <c r="P1334">
        <v>592</v>
      </c>
      <c r="Q1334">
        <v>592</v>
      </c>
      <c r="R1334">
        <v>888</v>
      </c>
      <c r="S1334">
        <v>592</v>
      </c>
      <c r="T1334">
        <v>301</v>
      </c>
      <c r="U1334">
        <v>296</v>
      </c>
      <c r="CH1334" t="str">
        <f t="shared" si="20"/>
        <v>JV1-0695-3</v>
      </c>
      <c r="CI1334" s="1" t="s">
        <v>102</v>
      </c>
    </row>
    <row r="1335" spans="1:87">
      <c r="A1335" t="s">
        <v>1375</v>
      </c>
      <c r="B1335">
        <v>1247</v>
      </c>
      <c r="C1335" t="s">
        <v>1168</v>
      </c>
      <c r="D1335" t="s">
        <v>457</v>
      </c>
      <c r="E1335" t="s">
        <v>629</v>
      </c>
      <c r="F1335" t="s">
        <v>672</v>
      </c>
      <c r="G1335" t="s">
        <v>673</v>
      </c>
      <c r="O1335">
        <v>54</v>
      </c>
      <c r="P1335">
        <v>6</v>
      </c>
      <c r="Q1335">
        <v>72</v>
      </c>
      <c r="R1335">
        <v>120</v>
      </c>
      <c r="S1335">
        <v>54</v>
      </c>
      <c r="T1335">
        <v>83</v>
      </c>
      <c r="U1335">
        <v>6</v>
      </c>
      <c r="V1335">
        <v>84</v>
      </c>
      <c r="W1335">
        <v>156</v>
      </c>
      <c r="X1335">
        <v>198</v>
      </c>
      <c r="Y1335">
        <v>90</v>
      </c>
      <c r="Z1335">
        <v>144</v>
      </c>
      <c r="AA1335">
        <v>84</v>
      </c>
      <c r="AB1335">
        <v>72</v>
      </c>
      <c r="AD1335">
        <v>24</v>
      </c>
      <c r="CH1335" t="str">
        <f t="shared" si="20"/>
        <v>JV1-0695-3</v>
      </c>
      <c r="CI1335" s="1" t="s">
        <v>102</v>
      </c>
    </row>
    <row r="1336" spans="1:87">
      <c r="A1336" t="s">
        <v>1380</v>
      </c>
      <c r="B1336">
        <v>2838</v>
      </c>
      <c r="C1336" t="s">
        <v>964</v>
      </c>
      <c r="D1336" t="s">
        <v>173</v>
      </c>
      <c r="E1336" t="s">
        <v>629</v>
      </c>
      <c r="F1336" t="s">
        <v>938</v>
      </c>
      <c r="G1336" t="s">
        <v>965</v>
      </c>
      <c r="S1336">
        <v>204</v>
      </c>
      <c r="U1336">
        <v>336</v>
      </c>
      <c r="V1336">
        <v>540</v>
      </c>
      <c r="X1336">
        <v>648</v>
      </c>
      <c r="Y1336">
        <v>480</v>
      </c>
      <c r="AA1336">
        <v>360</v>
      </c>
      <c r="AB1336">
        <v>270</v>
      </c>
      <c r="CH1336" t="str">
        <f t="shared" si="20"/>
        <v>D-0146</v>
      </c>
      <c r="CI1336" s="1" t="s">
        <v>102</v>
      </c>
    </row>
    <row r="1337" spans="1:87">
      <c r="A1337" t="s">
        <v>1409</v>
      </c>
      <c r="B1337">
        <v>473</v>
      </c>
      <c r="C1337" t="s">
        <v>1410</v>
      </c>
      <c r="D1337" t="s">
        <v>457</v>
      </c>
      <c r="E1337" t="s">
        <v>629</v>
      </c>
      <c r="F1337" t="s">
        <v>672</v>
      </c>
      <c r="G1337" t="s">
        <v>1000</v>
      </c>
      <c r="U1337">
        <v>18</v>
      </c>
      <c r="V1337">
        <v>47</v>
      </c>
      <c r="W1337">
        <v>48</v>
      </c>
      <c r="X1337">
        <v>60</v>
      </c>
      <c r="Y1337">
        <v>78</v>
      </c>
      <c r="Z1337">
        <v>72</v>
      </c>
      <c r="AA1337">
        <v>42</v>
      </c>
      <c r="AB1337">
        <v>42</v>
      </c>
      <c r="AC1337">
        <v>30</v>
      </c>
      <c r="AD1337">
        <v>24</v>
      </c>
      <c r="AF1337">
        <v>6</v>
      </c>
      <c r="AH1337">
        <v>6</v>
      </c>
      <c r="CH1337" t="str">
        <f t="shared" si="20"/>
        <v>JV1-0695-3</v>
      </c>
      <c r="CI1337" s="1" t="s">
        <v>102</v>
      </c>
    </row>
    <row r="1338" spans="1:87">
      <c r="A1338" t="s">
        <v>1411</v>
      </c>
      <c r="B1338">
        <v>821</v>
      </c>
      <c r="C1338" t="s">
        <v>671</v>
      </c>
      <c r="D1338" t="s">
        <v>457</v>
      </c>
      <c r="E1338" t="s">
        <v>629</v>
      </c>
      <c r="F1338" t="s">
        <v>672</v>
      </c>
      <c r="G1338" t="s">
        <v>673</v>
      </c>
      <c r="V1338">
        <v>73</v>
      </c>
      <c r="W1338">
        <v>136</v>
      </c>
      <c r="X1338">
        <v>136</v>
      </c>
      <c r="Y1338">
        <v>136</v>
      </c>
      <c r="Z1338">
        <v>136</v>
      </c>
      <c r="AA1338">
        <v>68</v>
      </c>
      <c r="AB1338">
        <v>68</v>
      </c>
      <c r="AD1338">
        <v>68</v>
      </c>
      <c r="CH1338" t="str">
        <f t="shared" si="20"/>
        <v>JV1-0695-3</v>
      </c>
      <c r="CI1338" s="1" t="s">
        <v>102</v>
      </c>
    </row>
    <row r="1339" spans="1:87">
      <c r="A1339" t="s">
        <v>1412</v>
      </c>
      <c r="B1339">
        <v>1649</v>
      </c>
      <c r="C1339" t="s">
        <v>671</v>
      </c>
      <c r="D1339" t="s">
        <v>457</v>
      </c>
      <c r="E1339" t="s">
        <v>629</v>
      </c>
      <c r="F1339" t="s">
        <v>672</v>
      </c>
      <c r="G1339" t="s">
        <v>673</v>
      </c>
      <c r="O1339">
        <v>137</v>
      </c>
      <c r="P1339">
        <v>274</v>
      </c>
      <c r="Q1339">
        <v>274</v>
      </c>
      <c r="R1339">
        <v>411</v>
      </c>
      <c r="S1339">
        <v>274</v>
      </c>
      <c r="T1339">
        <v>137</v>
      </c>
      <c r="U1339">
        <v>142</v>
      </c>
      <c r="CH1339" t="str">
        <f t="shared" si="20"/>
        <v>JV1-0695-3</v>
      </c>
      <c r="CI1339" s="1" t="s">
        <v>102</v>
      </c>
    </row>
    <row r="1340" spans="1:87">
      <c r="A1340" t="s">
        <v>1413</v>
      </c>
      <c r="B1340">
        <v>545</v>
      </c>
      <c r="C1340" t="s">
        <v>1387</v>
      </c>
      <c r="D1340" t="s">
        <v>457</v>
      </c>
      <c r="E1340" t="s">
        <v>629</v>
      </c>
      <c r="F1340" t="s">
        <v>672</v>
      </c>
      <c r="G1340" t="s">
        <v>673</v>
      </c>
      <c r="V1340">
        <v>50</v>
      </c>
      <c r="W1340">
        <v>90</v>
      </c>
      <c r="X1340">
        <v>90</v>
      </c>
      <c r="Y1340">
        <v>90</v>
      </c>
      <c r="Z1340">
        <v>90</v>
      </c>
      <c r="AA1340">
        <v>45</v>
      </c>
      <c r="AB1340">
        <v>45</v>
      </c>
      <c r="AD1340">
        <v>45</v>
      </c>
      <c r="CH1340" t="str">
        <f t="shared" si="20"/>
        <v>JV1-0695-3</v>
      </c>
      <c r="CI1340" s="1" t="s">
        <v>102</v>
      </c>
    </row>
    <row r="1341" spans="1:87">
      <c r="A1341" t="s">
        <v>1414</v>
      </c>
      <c r="B1341">
        <v>1577</v>
      </c>
      <c r="C1341" t="s">
        <v>1387</v>
      </c>
      <c r="D1341" t="s">
        <v>457</v>
      </c>
      <c r="E1341" t="s">
        <v>629</v>
      </c>
      <c r="F1341" t="s">
        <v>672</v>
      </c>
      <c r="G1341" t="s">
        <v>673</v>
      </c>
      <c r="O1341">
        <v>131</v>
      </c>
      <c r="P1341">
        <v>262</v>
      </c>
      <c r="Q1341">
        <v>262</v>
      </c>
      <c r="R1341">
        <v>393</v>
      </c>
      <c r="S1341">
        <v>262</v>
      </c>
      <c r="T1341">
        <v>131</v>
      </c>
      <c r="U1341">
        <v>136</v>
      </c>
      <c r="CH1341" t="str">
        <f t="shared" si="20"/>
        <v>JV1-0695-3</v>
      </c>
      <c r="CI1341" s="1" t="s">
        <v>102</v>
      </c>
    </row>
    <row r="1342" spans="1:87">
      <c r="A1342" t="s">
        <v>1415</v>
      </c>
      <c r="B1342">
        <v>509</v>
      </c>
      <c r="C1342" t="s">
        <v>1384</v>
      </c>
      <c r="D1342" t="s">
        <v>457</v>
      </c>
      <c r="E1342" t="s">
        <v>629</v>
      </c>
      <c r="F1342" t="s">
        <v>672</v>
      </c>
      <c r="G1342" t="s">
        <v>673</v>
      </c>
      <c r="Q1342">
        <v>60</v>
      </c>
      <c r="R1342">
        <v>48</v>
      </c>
      <c r="S1342">
        <v>66</v>
      </c>
      <c r="T1342">
        <v>96</v>
      </c>
      <c r="U1342">
        <v>90</v>
      </c>
      <c r="V1342">
        <v>89</v>
      </c>
      <c r="X1342">
        <v>60</v>
      </c>
      <c r="CH1342" t="str">
        <f t="shared" si="20"/>
        <v>JV1-0695-3</v>
      </c>
      <c r="CI1342" s="1" t="s">
        <v>102</v>
      </c>
    </row>
    <row r="1343" spans="1:87">
      <c r="A1343" t="s">
        <v>1416</v>
      </c>
      <c r="B1343">
        <v>5009</v>
      </c>
      <c r="C1343" t="s">
        <v>671</v>
      </c>
      <c r="D1343" t="s">
        <v>457</v>
      </c>
      <c r="E1343" t="s">
        <v>629</v>
      </c>
      <c r="F1343" t="s">
        <v>672</v>
      </c>
      <c r="G1343" t="s">
        <v>673</v>
      </c>
      <c r="O1343">
        <v>417</v>
      </c>
      <c r="P1343">
        <v>834</v>
      </c>
      <c r="Q1343">
        <v>834</v>
      </c>
      <c r="R1343">
        <v>1251</v>
      </c>
      <c r="S1343">
        <v>834</v>
      </c>
      <c r="T1343">
        <v>417</v>
      </c>
      <c r="U1343">
        <v>422</v>
      </c>
      <c r="CH1343" t="str">
        <f t="shared" si="20"/>
        <v>JV1-0695-3</v>
      </c>
      <c r="CI1343" s="1" t="s">
        <v>102</v>
      </c>
    </row>
    <row r="1344" spans="1:87">
      <c r="A1344" t="s">
        <v>1417</v>
      </c>
      <c r="B1344">
        <v>365</v>
      </c>
      <c r="C1344" t="s">
        <v>1387</v>
      </c>
      <c r="D1344" t="s">
        <v>457</v>
      </c>
      <c r="E1344" t="s">
        <v>629</v>
      </c>
      <c r="F1344" t="s">
        <v>672</v>
      </c>
      <c r="G1344" t="s">
        <v>673</v>
      </c>
      <c r="V1344">
        <v>35</v>
      </c>
      <c r="W1344">
        <v>48</v>
      </c>
      <c r="X1344">
        <v>72</v>
      </c>
      <c r="Y1344">
        <v>72</v>
      </c>
      <c r="Z1344">
        <v>48</v>
      </c>
      <c r="AA1344">
        <v>36</v>
      </c>
      <c r="AB1344">
        <v>30</v>
      </c>
      <c r="AD1344">
        <v>24</v>
      </c>
      <c r="CH1344" t="str">
        <f t="shared" si="20"/>
        <v>JV1-0695-3</v>
      </c>
      <c r="CI1344" s="1" t="s">
        <v>102</v>
      </c>
    </row>
    <row r="1345" spans="1:87">
      <c r="A1345" t="s">
        <v>1418</v>
      </c>
      <c r="B1345">
        <v>2921</v>
      </c>
      <c r="C1345" t="s">
        <v>671</v>
      </c>
      <c r="D1345" t="s">
        <v>457</v>
      </c>
      <c r="E1345" t="s">
        <v>629</v>
      </c>
      <c r="F1345" t="s">
        <v>672</v>
      </c>
      <c r="G1345" t="s">
        <v>673</v>
      </c>
      <c r="O1345">
        <v>243</v>
      </c>
      <c r="P1345">
        <v>486</v>
      </c>
      <c r="Q1345">
        <v>486</v>
      </c>
      <c r="R1345">
        <v>729</v>
      </c>
      <c r="S1345">
        <v>486</v>
      </c>
      <c r="T1345">
        <v>243</v>
      </c>
      <c r="U1345">
        <v>248</v>
      </c>
      <c r="CH1345" t="str">
        <f t="shared" si="20"/>
        <v>JV1-0695-3</v>
      </c>
      <c r="CI1345" s="1" t="s">
        <v>102</v>
      </c>
    </row>
    <row r="1346" spans="1:87">
      <c r="A1346" t="s">
        <v>1419</v>
      </c>
      <c r="B1346">
        <v>383</v>
      </c>
      <c r="C1346" t="s">
        <v>1386</v>
      </c>
      <c r="D1346" t="s">
        <v>457</v>
      </c>
      <c r="E1346" t="s">
        <v>629</v>
      </c>
      <c r="F1346" t="s">
        <v>672</v>
      </c>
      <c r="G1346" t="s">
        <v>673</v>
      </c>
      <c r="N1346">
        <v>12</v>
      </c>
      <c r="O1346">
        <v>6</v>
      </c>
      <c r="P1346">
        <v>12</v>
      </c>
      <c r="Q1346">
        <v>54</v>
      </c>
      <c r="R1346">
        <v>54</v>
      </c>
      <c r="S1346">
        <v>48</v>
      </c>
      <c r="T1346">
        <v>60</v>
      </c>
      <c r="U1346">
        <v>48</v>
      </c>
      <c r="V1346">
        <v>53</v>
      </c>
      <c r="X1346">
        <v>36</v>
      </c>
      <c r="CH1346" t="str">
        <f t="shared" ref="CH1346:CH1409" si="21">TRIM(IFERROR(IFERROR(MID($D1346,FIND("(D-",$D1346)+1,6),LEFT($D1346,FIND("(",$D1346)-1)),$D1346))</f>
        <v>JV1-0695-3</v>
      </c>
      <c r="CI1346" s="1" t="s">
        <v>102</v>
      </c>
    </row>
    <row r="1347" spans="1:87">
      <c r="A1347" t="s">
        <v>1420</v>
      </c>
      <c r="B1347">
        <v>2201</v>
      </c>
      <c r="C1347" t="s">
        <v>1166</v>
      </c>
      <c r="D1347" t="s">
        <v>457</v>
      </c>
      <c r="E1347" t="s">
        <v>629</v>
      </c>
      <c r="F1347" t="s">
        <v>672</v>
      </c>
      <c r="G1347" t="s">
        <v>673</v>
      </c>
      <c r="O1347">
        <v>183</v>
      </c>
      <c r="P1347">
        <v>366</v>
      </c>
      <c r="Q1347">
        <v>366</v>
      </c>
      <c r="R1347">
        <v>549</v>
      </c>
      <c r="S1347">
        <v>366</v>
      </c>
      <c r="T1347">
        <v>183</v>
      </c>
      <c r="U1347">
        <v>188</v>
      </c>
      <c r="CH1347" t="str">
        <f t="shared" si="21"/>
        <v>JV1-0695-3</v>
      </c>
      <c r="CI1347" s="1" t="s">
        <v>102</v>
      </c>
    </row>
    <row r="1348" spans="1:87">
      <c r="A1348" t="s">
        <v>1421</v>
      </c>
      <c r="B1348">
        <v>3281</v>
      </c>
      <c r="C1348" t="s">
        <v>1166</v>
      </c>
      <c r="D1348" t="s">
        <v>457</v>
      </c>
      <c r="E1348" t="s">
        <v>629</v>
      </c>
      <c r="F1348" t="s">
        <v>672</v>
      </c>
      <c r="G1348" t="s">
        <v>673</v>
      </c>
      <c r="O1348">
        <v>273</v>
      </c>
      <c r="P1348">
        <v>546</v>
      </c>
      <c r="Q1348">
        <v>546</v>
      </c>
      <c r="R1348">
        <v>819</v>
      </c>
      <c r="S1348">
        <v>546</v>
      </c>
      <c r="T1348">
        <v>273</v>
      </c>
      <c r="U1348">
        <v>278</v>
      </c>
      <c r="CH1348" t="str">
        <f t="shared" si="21"/>
        <v>JV1-0695-3</v>
      </c>
      <c r="CI1348" s="1" t="s">
        <v>102</v>
      </c>
    </row>
    <row r="1349" spans="1:87">
      <c r="A1349" t="s">
        <v>1422</v>
      </c>
      <c r="B1349">
        <v>2825</v>
      </c>
      <c r="C1349" t="s">
        <v>1384</v>
      </c>
      <c r="D1349" t="s">
        <v>457</v>
      </c>
      <c r="E1349" t="s">
        <v>629</v>
      </c>
      <c r="F1349" t="s">
        <v>672</v>
      </c>
      <c r="G1349" t="s">
        <v>673</v>
      </c>
      <c r="O1349">
        <v>235</v>
      </c>
      <c r="P1349">
        <v>470</v>
      </c>
      <c r="Q1349">
        <v>470</v>
      </c>
      <c r="R1349">
        <v>705</v>
      </c>
      <c r="S1349">
        <v>470</v>
      </c>
      <c r="T1349">
        <v>235</v>
      </c>
      <c r="U1349">
        <v>240</v>
      </c>
      <c r="CH1349" t="str">
        <f t="shared" si="21"/>
        <v>JV1-0695-3</v>
      </c>
      <c r="CI1349" s="1" t="s">
        <v>102</v>
      </c>
    </row>
    <row r="1350" spans="1:87">
      <c r="A1350" t="s">
        <v>1423</v>
      </c>
      <c r="B1350">
        <v>4373</v>
      </c>
      <c r="C1350" t="s">
        <v>671</v>
      </c>
      <c r="D1350" t="s">
        <v>457</v>
      </c>
      <c r="E1350" t="s">
        <v>629</v>
      </c>
      <c r="F1350" t="s">
        <v>672</v>
      </c>
      <c r="G1350" t="s">
        <v>673</v>
      </c>
      <c r="O1350">
        <v>240</v>
      </c>
      <c r="P1350">
        <v>480</v>
      </c>
      <c r="Q1350">
        <v>600</v>
      </c>
      <c r="R1350">
        <v>624</v>
      </c>
      <c r="S1350">
        <v>516</v>
      </c>
      <c r="T1350">
        <v>396</v>
      </c>
      <c r="U1350">
        <v>216</v>
      </c>
      <c r="V1350">
        <v>221</v>
      </c>
      <c r="W1350">
        <v>288</v>
      </c>
      <c r="X1350">
        <v>276</v>
      </c>
      <c r="Y1350">
        <v>204</v>
      </c>
      <c r="Z1350">
        <v>144</v>
      </c>
      <c r="AA1350">
        <v>72</v>
      </c>
      <c r="AB1350">
        <v>60</v>
      </c>
      <c r="AD1350">
        <v>36</v>
      </c>
      <c r="CH1350" t="str">
        <f t="shared" si="21"/>
        <v>JV1-0695-3</v>
      </c>
      <c r="CI1350" s="1" t="s">
        <v>102</v>
      </c>
    </row>
    <row r="1351" spans="1:87">
      <c r="A1351" t="s">
        <v>1424</v>
      </c>
      <c r="B1351">
        <v>365</v>
      </c>
      <c r="C1351" t="s">
        <v>1384</v>
      </c>
      <c r="D1351" t="s">
        <v>457</v>
      </c>
      <c r="E1351" t="s">
        <v>629</v>
      </c>
      <c r="F1351" t="s">
        <v>672</v>
      </c>
      <c r="G1351" t="s">
        <v>673</v>
      </c>
      <c r="N1351">
        <v>6</v>
      </c>
      <c r="P1351">
        <v>30</v>
      </c>
      <c r="R1351">
        <v>42</v>
      </c>
      <c r="T1351">
        <v>42</v>
      </c>
      <c r="U1351">
        <v>6</v>
      </c>
      <c r="V1351">
        <v>59</v>
      </c>
      <c r="W1351">
        <v>12</v>
      </c>
      <c r="X1351">
        <v>60</v>
      </c>
      <c r="Y1351">
        <v>6</v>
      </c>
      <c r="Z1351">
        <v>54</v>
      </c>
      <c r="AB1351">
        <v>42</v>
      </c>
      <c r="AD1351">
        <v>6</v>
      </c>
      <c r="CH1351" t="str">
        <f t="shared" si="21"/>
        <v>JV1-0695-3</v>
      </c>
      <c r="CI1351" s="1" t="s">
        <v>102</v>
      </c>
    </row>
    <row r="1352" spans="1:87">
      <c r="A1352" t="s">
        <v>1425</v>
      </c>
      <c r="B1352">
        <v>4373</v>
      </c>
      <c r="C1352" t="s">
        <v>671</v>
      </c>
      <c r="D1352" t="s">
        <v>457</v>
      </c>
      <c r="E1352" t="s">
        <v>629</v>
      </c>
      <c r="F1352" t="s">
        <v>672</v>
      </c>
      <c r="G1352" t="s">
        <v>673</v>
      </c>
      <c r="O1352">
        <v>252</v>
      </c>
      <c r="P1352">
        <v>468</v>
      </c>
      <c r="Q1352">
        <v>612</v>
      </c>
      <c r="R1352">
        <v>624</v>
      </c>
      <c r="S1352">
        <v>516</v>
      </c>
      <c r="T1352">
        <v>384</v>
      </c>
      <c r="U1352">
        <v>216</v>
      </c>
      <c r="V1352">
        <v>233</v>
      </c>
      <c r="W1352">
        <v>276</v>
      </c>
      <c r="X1352">
        <v>276</v>
      </c>
      <c r="Y1352">
        <v>204</v>
      </c>
      <c r="Z1352">
        <v>144</v>
      </c>
      <c r="AA1352">
        <v>72</v>
      </c>
      <c r="AB1352">
        <v>60</v>
      </c>
      <c r="AD1352">
        <v>36</v>
      </c>
      <c r="CH1352" t="str">
        <f t="shared" si="21"/>
        <v>JV1-0695-3</v>
      </c>
      <c r="CI1352" s="1" t="s">
        <v>102</v>
      </c>
    </row>
    <row r="1353" spans="1:87">
      <c r="A1353" t="s">
        <v>1426</v>
      </c>
      <c r="B1353">
        <v>323</v>
      </c>
      <c r="C1353" t="s">
        <v>1386</v>
      </c>
      <c r="D1353" t="s">
        <v>457</v>
      </c>
      <c r="E1353" t="s">
        <v>629</v>
      </c>
      <c r="F1353" t="s">
        <v>672</v>
      </c>
      <c r="G1353" t="s">
        <v>673</v>
      </c>
      <c r="N1353">
        <v>18</v>
      </c>
      <c r="O1353">
        <v>6</v>
      </c>
      <c r="P1353">
        <v>30</v>
      </c>
      <c r="Q1353">
        <v>30</v>
      </c>
      <c r="R1353">
        <v>42</v>
      </c>
      <c r="S1353">
        <v>24</v>
      </c>
      <c r="T1353">
        <v>48</v>
      </c>
      <c r="U1353">
        <v>12</v>
      </c>
      <c r="V1353">
        <v>35</v>
      </c>
      <c r="W1353">
        <v>12</v>
      </c>
      <c r="X1353">
        <v>30</v>
      </c>
      <c r="Z1353">
        <v>18</v>
      </c>
      <c r="AB1353">
        <v>12</v>
      </c>
      <c r="AD1353">
        <v>6</v>
      </c>
      <c r="CH1353" t="str">
        <f t="shared" si="21"/>
        <v>JV1-0695-3</v>
      </c>
      <c r="CI1353" s="1" t="s">
        <v>102</v>
      </c>
    </row>
    <row r="1354" spans="1:87">
      <c r="A1354" t="s">
        <v>1427</v>
      </c>
      <c r="B1354">
        <v>149</v>
      </c>
      <c r="C1354" t="s">
        <v>1385</v>
      </c>
      <c r="D1354" t="s">
        <v>457</v>
      </c>
      <c r="E1354" t="s">
        <v>629</v>
      </c>
      <c r="F1354" t="s">
        <v>672</v>
      </c>
      <c r="G1354" t="s">
        <v>1000</v>
      </c>
      <c r="V1354">
        <v>17</v>
      </c>
      <c r="W1354">
        <v>12</v>
      </c>
      <c r="X1354">
        <v>24</v>
      </c>
      <c r="Y1354">
        <v>24</v>
      </c>
      <c r="Z1354">
        <v>24</v>
      </c>
      <c r="AA1354">
        <v>12</v>
      </c>
      <c r="AB1354">
        <v>12</v>
      </c>
      <c r="AC1354">
        <v>12</v>
      </c>
      <c r="AD1354">
        <v>12</v>
      </c>
      <c r="CH1354" t="str">
        <f t="shared" si="21"/>
        <v>JV1-0695-3</v>
      </c>
      <c r="CI1354" s="1" t="s">
        <v>102</v>
      </c>
    </row>
    <row r="1355" spans="1:87">
      <c r="A1355" t="s">
        <v>1428</v>
      </c>
      <c r="B1355">
        <v>149</v>
      </c>
      <c r="C1355" t="s">
        <v>1166</v>
      </c>
      <c r="D1355" t="s">
        <v>457</v>
      </c>
      <c r="E1355" t="s">
        <v>629</v>
      </c>
      <c r="F1355" t="s">
        <v>672</v>
      </c>
      <c r="G1355" t="s">
        <v>673</v>
      </c>
      <c r="P1355">
        <v>12</v>
      </c>
      <c r="Q1355">
        <v>12</v>
      </c>
      <c r="R1355">
        <v>12</v>
      </c>
      <c r="S1355">
        <v>24</v>
      </c>
      <c r="T1355">
        <v>24</v>
      </c>
      <c r="U1355">
        <v>24</v>
      </c>
      <c r="V1355">
        <v>29</v>
      </c>
      <c r="W1355">
        <v>12</v>
      </c>
      <c r="CH1355" t="str">
        <f t="shared" si="21"/>
        <v>JV1-0695-3</v>
      </c>
      <c r="CI1355" s="1" t="s">
        <v>102</v>
      </c>
    </row>
    <row r="1356" spans="1:87">
      <c r="A1356" t="s">
        <v>1429</v>
      </c>
      <c r="B1356">
        <v>521</v>
      </c>
      <c r="C1356" t="s">
        <v>671</v>
      </c>
      <c r="D1356" t="s">
        <v>457</v>
      </c>
      <c r="E1356" t="s">
        <v>629</v>
      </c>
      <c r="F1356" t="s">
        <v>672</v>
      </c>
      <c r="G1356" t="s">
        <v>673</v>
      </c>
      <c r="N1356">
        <v>18</v>
      </c>
      <c r="P1356">
        <v>36</v>
      </c>
      <c r="Q1356">
        <v>24</v>
      </c>
      <c r="R1356">
        <v>60</v>
      </c>
      <c r="S1356">
        <v>24</v>
      </c>
      <c r="T1356">
        <v>72</v>
      </c>
      <c r="U1356">
        <v>18</v>
      </c>
      <c r="V1356">
        <v>65</v>
      </c>
      <c r="W1356">
        <v>30</v>
      </c>
      <c r="X1356">
        <v>60</v>
      </c>
      <c r="Y1356">
        <v>18</v>
      </c>
      <c r="Z1356">
        <v>48</v>
      </c>
      <c r="AA1356">
        <v>6</v>
      </c>
      <c r="AB1356">
        <v>30</v>
      </c>
      <c r="AD1356">
        <v>12</v>
      </c>
      <c r="CH1356" t="str">
        <f t="shared" si="21"/>
        <v>JV1-0695-3</v>
      </c>
      <c r="CI1356" s="1" t="s">
        <v>102</v>
      </c>
    </row>
    <row r="1357" spans="1:87">
      <c r="A1357" t="s">
        <v>1430</v>
      </c>
      <c r="B1357">
        <v>461</v>
      </c>
      <c r="C1357" t="s">
        <v>671</v>
      </c>
      <c r="D1357" t="s">
        <v>457</v>
      </c>
      <c r="E1357" t="s">
        <v>629</v>
      </c>
      <c r="F1357" t="s">
        <v>672</v>
      </c>
      <c r="G1357" t="s">
        <v>673</v>
      </c>
      <c r="N1357">
        <v>12</v>
      </c>
      <c r="P1357">
        <v>36</v>
      </c>
      <c r="Q1357">
        <v>24</v>
      </c>
      <c r="R1357">
        <v>42</v>
      </c>
      <c r="S1357">
        <v>24</v>
      </c>
      <c r="T1357">
        <v>42</v>
      </c>
      <c r="U1357">
        <v>30</v>
      </c>
      <c r="V1357">
        <v>47</v>
      </c>
      <c r="W1357">
        <v>36</v>
      </c>
      <c r="X1357">
        <v>42</v>
      </c>
      <c r="Y1357">
        <v>30</v>
      </c>
      <c r="Z1357">
        <v>42</v>
      </c>
      <c r="AA1357">
        <v>12</v>
      </c>
      <c r="AB1357">
        <v>24</v>
      </c>
      <c r="AD1357">
        <v>18</v>
      </c>
      <c r="CH1357" t="str">
        <f t="shared" si="21"/>
        <v>JV1-0695-3</v>
      </c>
      <c r="CI1357" s="1" t="s">
        <v>102</v>
      </c>
    </row>
    <row r="1358" spans="1:87">
      <c r="A1358" t="s">
        <v>1431</v>
      </c>
      <c r="B1358">
        <v>1829</v>
      </c>
      <c r="C1358" t="s">
        <v>1432</v>
      </c>
      <c r="D1358" t="s">
        <v>457</v>
      </c>
      <c r="E1358" t="s">
        <v>629</v>
      </c>
      <c r="F1358" t="s">
        <v>672</v>
      </c>
      <c r="G1358" t="s">
        <v>1000</v>
      </c>
      <c r="V1358">
        <v>157</v>
      </c>
      <c r="W1358">
        <v>304</v>
      </c>
      <c r="X1358">
        <v>304</v>
      </c>
      <c r="Y1358">
        <v>304</v>
      </c>
      <c r="Z1358">
        <v>304</v>
      </c>
      <c r="AA1358">
        <v>152</v>
      </c>
      <c r="AB1358">
        <v>152</v>
      </c>
      <c r="AD1358">
        <v>152</v>
      </c>
      <c r="CH1358" t="str">
        <f t="shared" si="21"/>
        <v>JV1-0695-3</v>
      </c>
      <c r="CI1358" s="1" t="s">
        <v>102</v>
      </c>
    </row>
    <row r="1359" spans="1:87">
      <c r="A1359" t="s">
        <v>1433</v>
      </c>
      <c r="B1359">
        <v>737</v>
      </c>
      <c r="C1359" t="s">
        <v>1432</v>
      </c>
      <c r="D1359" t="s">
        <v>457</v>
      </c>
      <c r="E1359" t="s">
        <v>629</v>
      </c>
      <c r="F1359" t="s">
        <v>672</v>
      </c>
      <c r="G1359" t="s">
        <v>1000</v>
      </c>
      <c r="O1359">
        <v>61</v>
      </c>
      <c r="P1359">
        <v>122</v>
      </c>
      <c r="Q1359">
        <v>122</v>
      </c>
      <c r="R1359">
        <v>183</v>
      </c>
      <c r="S1359">
        <v>122</v>
      </c>
      <c r="T1359">
        <v>61</v>
      </c>
      <c r="U1359">
        <v>66</v>
      </c>
      <c r="CH1359" t="str">
        <f t="shared" si="21"/>
        <v>JV1-0695-3</v>
      </c>
      <c r="CI1359" s="1" t="s">
        <v>102</v>
      </c>
    </row>
    <row r="1360" spans="1:87">
      <c r="A1360" t="s">
        <v>1434</v>
      </c>
      <c r="B1360">
        <v>449</v>
      </c>
      <c r="C1360" t="s">
        <v>1435</v>
      </c>
      <c r="D1360" t="s">
        <v>457</v>
      </c>
      <c r="E1360" t="s">
        <v>629</v>
      </c>
      <c r="F1360" t="s">
        <v>672</v>
      </c>
      <c r="G1360" t="s">
        <v>1000</v>
      </c>
      <c r="V1360">
        <v>42</v>
      </c>
      <c r="W1360">
        <v>74</v>
      </c>
      <c r="X1360">
        <v>74</v>
      </c>
      <c r="Y1360">
        <v>74</v>
      </c>
      <c r="Z1360">
        <v>74</v>
      </c>
      <c r="AA1360">
        <v>37</v>
      </c>
      <c r="AB1360">
        <v>37</v>
      </c>
      <c r="AD1360">
        <v>37</v>
      </c>
      <c r="CH1360" t="str">
        <f t="shared" si="21"/>
        <v>JV1-0695-3</v>
      </c>
      <c r="CI1360" s="1" t="s">
        <v>102</v>
      </c>
    </row>
    <row r="1361" spans="1:87">
      <c r="A1361" t="s">
        <v>1436</v>
      </c>
      <c r="B1361">
        <v>3017</v>
      </c>
      <c r="C1361" t="s">
        <v>1435</v>
      </c>
      <c r="D1361" t="s">
        <v>457</v>
      </c>
      <c r="E1361" t="s">
        <v>629</v>
      </c>
      <c r="F1361" t="s">
        <v>672</v>
      </c>
      <c r="G1361" t="s">
        <v>1000</v>
      </c>
      <c r="O1361">
        <v>251</v>
      </c>
      <c r="P1361">
        <v>502</v>
      </c>
      <c r="Q1361">
        <v>502</v>
      </c>
      <c r="R1361">
        <v>753</v>
      </c>
      <c r="S1361">
        <v>502</v>
      </c>
      <c r="T1361">
        <v>251</v>
      </c>
      <c r="U1361">
        <v>256</v>
      </c>
      <c r="CH1361" t="str">
        <f t="shared" si="21"/>
        <v>JV1-0695-3</v>
      </c>
      <c r="CI1361" s="1" t="s">
        <v>102</v>
      </c>
    </row>
    <row r="1362" spans="1:87">
      <c r="A1362" t="s">
        <v>1437</v>
      </c>
      <c r="B1362">
        <v>24</v>
      </c>
      <c r="C1362" t="s">
        <v>1261</v>
      </c>
      <c r="D1362" t="s">
        <v>457</v>
      </c>
      <c r="E1362" t="s">
        <v>629</v>
      </c>
      <c r="F1362" t="s">
        <v>672</v>
      </c>
      <c r="G1362" t="s">
        <v>1000</v>
      </c>
      <c r="V1362">
        <v>2</v>
      </c>
      <c r="W1362">
        <v>4</v>
      </c>
      <c r="X1362">
        <v>4</v>
      </c>
      <c r="Y1362">
        <v>4</v>
      </c>
      <c r="Z1362">
        <v>4</v>
      </c>
      <c r="AA1362">
        <v>2</v>
      </c>
      <c r="AB1362">
        <v>2</v>
      </c>
      <c r="AD1362">
        <v>2</v>
      </c>
      <c r="CH1362" t="str">
        <f t="shared" si="21"/>
        <v>JV1-0695-3</v>
      </c>
      <c r="CI1362" s="1" t="s">
        <v>102</v>
      </c>
    </row>
    <row r="1363" spans="1:87">
      <c r="A1363" t="s">
        <v>1438</v>
      </c>
      <c r="B1363">
        <v>1289</v>
      </c>
      <c r="C1363" t="s">
        <v>1261</v>
      </c>
      <c r="D1363" t="s">
        <v>457</v>
      </c>
      <c r="E1363" t="s">
        <v>629</v>
      </c>
      <c r="F1363" t="s">
        <v>672</v>
      </c>
      <c r="G1363" t="s">
        <v>1000</v>
      </c>
      <c r="O1363">
        <v>107</v>
      </c>
      <c r="P1363">
        <v>214</v>
      </c>
      <c r="Q1363">
        <v>214</v>
      </c>
      <c r="R1363">
        <v>321</v>
      </c>
      <c r="S1363">
        <v>214</v>
      </c>
      <c r="T1363">
        <v>107</v>
      </c>
      <c r="U1363">
        <v>112</v>
      </c>
      <c r="CH1363" t="str">
        <f t="shared" si="21"/>
        <v>JV1-0695-3</v>
      </c>
      <c r="CI1363" s="1" t="s">
        <v>102</v>
      </c>
    </row>
    <row r="1364" spans="1:87">
      <c r="A1364" t="s">
        <v>1439</v>
      </c>
      <c r="B1364">
        <v>2489</v>
      </c>
      <c r="C1364" t="s">
        <v>999</v>
      </c>
      <c r="D1364" t="s">
        <v>457</v>
      </c>
      <c r="E1364" t="s">
        <v>629</v>
      </c>
      <c r="F1364" t="s">
        <v>672</v>
      </c>
      <c r="G1364" t="s">
        <v>1000</v>
      </c>
      <c r="V1364">
        <v>212</v>
      </c>
      <c r="W1364">
        <v>414</v>
      </c>
      <c r="X1364">
        <v>414</v>
      </c>
      <c r="Y1364">
        <v>414</v>
      </c>
      <c r="Z1364">
        <v>414</v>
      </c>
      <c r="AA1364">
        <v>207</v>
      </c>
      <c r="AB1364">
        <v>207</v>
      </c>
      <c r="AD1364">
        <v>207</v>
      </c>
      <c r="CH1364" t="str">
        <f t="shared" si="21"/>
        <v>JV1-0695-3</v>
      </c>
      <c r="CI1364" s="1" t="s">
        <v>102</v>
      </c>
    </row>
    <row r="1365" spans="1:87">
      <c r="A1365" t="s">
        <v>1440</v>
      </c>
      <c r="B1365">
        <v>1793</v>
      </c>
      <c r="C1365" t="s">
        <v>1441</v>
      </c>
      <c r="D1365" t="s">
        <v>457</v>
      </c>
      <c r="E1365" t="s">
        <v>629</v>
      </c>
      <c r="F1365" t="s">
        <v>672</v>
      </c>
      <c r="G1365" t="s">
        <v>1000</v>
      </c>
      <c r="O1365">
        <v>120</v>
      </c>
      <c r="P1365">
        <v>120</v>
      </c>
      <c r="Q1365">
        <v>120</v>
      </c>
      <c r="R1365">
        <v>120</v>
      </c>
      <c r="S1365">
        <v>120</v>
      </c>
      <c r="T1365">
        <v>120</v>
      </c>
      <c r="U1365">
        <v>120</v>
      </c>
      <c r="V1365">
        <v>125</v>
      </c>
      <c r="W1365">
        <v>120</v>
      </c>
      <c r="X1365">
        <v>120</v>
      </c>
      <c r="Y1365">
        <v>120</v>
      </c>
      <c r="Z1365">
        <v>120</v>
      </c>
      <c r="AA1365">
        <v>120</v>
      </c>
      <c r="AB1365">
        <v>120</v>
      </c>
      <c r="AD1365">
        <v>108</v>
      </c>
      <c r="CH1365" t="str">
        <f t="shared" si="21"/>
        <v>JV1-0695-3</v>
      </c>
      <c r="CI1365" s="1" t="s">
        <v>102</v>
      </c>
    </row>
    <row r="1366" spans="1:87">
      <c r="A1366" t="s">
        <v>1442</v>
      </c>
      <c r="B1366">
        <v>587</v>
      </c>
      <c r="C1366" t="s">
        <v>1386</v>
      </c>
      <c r="D1366" t="s">
        <v>457</v>
      </c>
      <c r="E1366" t="s">
        <v>629</v>
      </c>
      <c r="F1366" t="s">
        <v>672</v>
      </c>
      <c r="G1366" t="s">
        <v>673</v>
      </c>
      <c r="O1366">
        <v>36</v>
      </c>
      <c r="P1366">
        <v>60</v>
      </c>
      <c r="Q1366">
        <v>120</v>
      </c>
      <c r="R1366">
        <v>120</v>
      </c>
      <c r="S1366">
        <v>126</v>
      </c>
      <c r="T1366">
        <v>42</v>
      </c>
      <c r="U1366">
        <v>36</v>
      </c>
      <c r="V1366">
        <v>11</v>
      </c>
      <c r="W1366">
        <v>6</v>
      </c>
      <c r="X1366">
        <v>6</v>
      </c>
      <c r="Y1366">
        <v>6</v>
      </c>
      <c r="Z1366">
        <v>6</v>
      </c>
      <c r="AA1366">
        <v>6</v>
      </c>
      <c r="AB1366">
        <v>6</v>
      </c>
      <c r="CH1366" t="str">
        <f t="shared" si="21"/>
        <v>JV1-0695-3</v>
      </c>
      <c r="CI1366" s="1" t="s">
        <v>102</v>
      </c>
    </row>
    <row r="1367" spans="1:87">
      <c r="A1367" t="s">
        <v>1443</v>
      </c>
      <c r="B1367">
        <v>149</v>
      </c>
      <c r="C1367" t="s">
        <v>1384</v>
      </c>
      <c r="D1367" t="s">
        <v>457</v>
      </c>
      <c r="E1367" t="s">
        <v>629</v>
      </c>
      <c r="F1367" t="s">
        <v>672</v>
      </c>
      <c r="G1367" t="s">
        <v>673</v>
      </c>
      <c r="U1367">
        <v>6</v>
      </c>
      <c r="V1367">
        <v>11</v>
      </c>
      <c r="W1367">
        <v>24</v>
      </c>
      <c r="X1367">
        <v>36</v>
      </c>
      <c r="Y1367">
        <v>18</v>
      </c>
      <c r="Z1367">
        <v>42</v>
      </c>
      <c r="AA1367">
        <v>6</v>
      </c>
      <c r="AB1367">
        <v>6</v>
      </c>
      <c r="CH1367" t="str">
        <f t="shared" si="21"/>
        <v>JV1-0695-3</v>
      </c>
      <c r="CI1367" s="1" t="s">
        <v>102</v>
      </c>
    </row>
    <row r="1368" spans="1:87">
      <c r="A1368" t="s">
        <v>1446</v>
      </c>
      <c r="B1368">
        <v>6767</v>
      </c>
      <c r="C1368" t="s">
        <v>1447</v>
      </c>
      <c r="D1368" t="s">
        <v>249</v>
      </c>
      <c r="E1368" t="s">
        <v>629</v>
      </c>
      <c r="F1368" t="s">
        <v>657</v>
      </c>
      <c r="G1368" t="s">
        <v>1448</v>
      </c>
      <c r="R1368">
        <v>60</v>
      </c>
      <c r="S1368">
        <v>81</v>
      </c>
      <c r="T1368">
        <v>291</v>
      </c>
      <c r="U1368">
        <v>156</v>
      </c>
      <c r="V1368">
        <v>678</v>
      </c>
      <c r="W1368">
        <v>624</v>
      </c>
      <c r="X1368">
        <v>822</v>
      </c>
      <c r="Y1368">
        <v>831</v>
      </c>
      <c r="Z1368">
        <v>1009</v>
      </c>
      <c r="AA1368">
        <v>385</v>
      </c>
      <c r="AB1368">
        <v>745</v>
      </c>
      <c r="AC1368">
        <v>235</v>
      </c>
      <c r="AD1368">
        <v>481</v>
      </c>
      <c r="AE1368">
        <v>107</v>
      </c>
      <c r="AF1368">
        <v>168</v>
      </c>
      <c r="AH1368">
        <v>67</v>
      </c>
      <c r="AJ1368">
        <v>27</v>
      </c>
      <c r="CH1368" t="str">
        <f t="shared" si="21"/>
        <v>D-0271</v>
      </c>
      <c r="CI1368" s="1" t="s">
        <v>102</v>
      </c>
    </row>
    <row r="1369" spans="1:87">
      <c r="A1369" t="s">
        <v>1455</v>
      </c>
      <c r="B1369">
        <v>302</v>
      </c>
      <c r="C1369" t="s">
        <v>953</v>
      </c>
      <c r="D1369" t="s">
        <v>365</v>
      </c>
      <c r="E1369" t="s">
        <v>629</v>
      </c>
      <c r="F1369" t="s">
        <v>706</v>
      </c>
      <c r="G1369" t="s">
        <v>1353</v>
      </c>
      <c r="W1369">
        <v>90</v>
      </c>
      <c r="Y1369">
        <v>212</v>
      </c>
      <c r="CH1369" t="str">
        <f t="shared" si="21"/>
        <v>D-0524</v>
      </c>
      <c r="CI1369" s="1" t="s">
        <v>102</v>
      </c>
    </row>
    <row r="1370" spans="1:87">
      <c r="A1370" t="s">
        <v>1456</v>
      </c>
      <c r="B1370">
        <v>1412</v>
      </c>
      <c r="C1370" t="s">
        <v>955</v>
      </c>
      <c r="D1370" t="s">
        <v>365</v>
      </c>
      <c r="E1370" t="s">
        <v>642</v>
      </c>
      <c r="F1370" t="s">
        <v>706</v>
      </c>
      <c r="G1370" t="s">
        <v>1351</v>
      </c>
      <c r="P1370">
        <v>180</v>
      </c>
      <c r="Q1370">
        <v>228</v>
      </c>
      <c r="R1370">
        <v>42</v>
      </c>
      <c r="S1370">
        <v>396</v>
      </c>
      <c r="T1370">
        <v>338</v>
      </c>
      <c r="V1370">
        <v>228</v>
      </c>
      <c r="CH1370" t="str">
        <f t="shared" si="21"/>
        <v>D-0524</v>
      </c>
      <c r="CI1370" s="1" t="s">
        <v>102</v>
      </c>
    </row>
    <row r="1371" spans="1:87">
      <c r="A1371" t="s">
        <v>1457</v>
      </c>
      <c r="B1371">
        <v>146</v>
      </c>
      <c r="C1371" t="s">
        <v>948</v>
      </c>
      <c r="D1371" t="s">
        <v>365</v>
      </c>
      <c r="E1371" t="s">
        <v>642</v>
      </c>
      <c r="F1371" t="s">
        <v>706</v>
      </c>
      <c r="G1371" t="s">
        <v>1355</v>
      </c>
      <c r="Q1371">
        <v>12</v>
      </c>
      <c r="R1371">
        <v>6</v>
      </c>
      <c r="S1371">
        <v>42</v>
      </c>
      <c r="T1371">
        <v>32</v>
      </c>
      <c r="U1371">
        <v>36</v>
      </c>
      <c r="V1371">
        <v>6</v>
      </c>
      <c r="W1371">
        <v>12</v>
      </c>
      <c r="CH1371" t="str">
        <f t="shared" si="21"/>
        <v>D-0524</v>
      </c>
      <c r="CI1371" s="1" t="s">
        <v>102</v>
      </c>
    </row>
    <row r="1372" spans="1:87">
      <c r="A1372" t="s">
        <v>1458</v>
      </c>
      <c r="B1372">
        <v>194</v>
      </c>
      <c r="C1372" t="s">
        <v>1055</v>
      </c>
      <c r="D1372" t="s">
        <v>365</v>
      </c>
      <c r="E1372" t="s">
        <v>629</v>
      </c>
      <c r="F1372" t="s">
        <v>706</v>
      </c>
      <c r="G1372" t="s">
        <v>737</v>
      </c>
      <c r="T1372">
        <v>24</v>
      </c>
      <c r="U1372">
        <v>30</v>
      </c>
      <c r="V1372">
        <v>36</v>
      </c>
      <c r="W1372">
        <v>30</v>
      </c>
      <c r="X1372">
        <v>32</v>
      </c>
      <c r="Y1372">
        <v>12</v>
      </c>
      <c r="Z1372">
        <v>18</v>
      </c>
      <c r="AA1372">
        <v>6</v>
      </c>
      <c r="AB1372">
        <v>6</v>
      </c>
      <c r="CH1372" t="str">
        <f t="shared" si="21"/>
        <v>D-0524</v>
      </c>
      <c r="CI1372" s="1" t="s">
        <v>102</v>
      </c>
    </row>
    <row r="1373" spans="1:87">
      <c r="A1373" t="s">
        <v>1459</v>
      </c>
      <c r="B1373">
        <v>176</v>
      </c>
      <c r="C1373" t="s">
        <v>1067</v>
      </c>
      <c r="D1373" t="s">
        <v>365</v>
      </c>
      <c r="E1373" t="s">
        <v>629</v>
      </c>
      <c r="F1373" t="s">
        <v>706</v>
      </c>
      <c r="G1373" t="s">
        <v>1068</v>
      </c>
      <c r="T1373">
        <v>24</v>
      </c>
      <c r="U1373">
        <v>30</v>
      </c>
      <c r="V1373">
        <v>30</v>
      </c>
      <c r="W1373">
        <v>30</v>
      </c>
      <c r="X1373">
        <v>26</v>
      </c>
      <c r="Y1373">
        <v>12</v>
      </c>
      <c r="Z1373">
        <v>12</v>
      </c>
      <c r="AA1373">
        <v>6</v>
      </c>
      <c r="AB1373">
        <v>6</v>
      </c>
      <c r="CH1373" t="str">
        <f t="shared" si="21"/>
        <v>D-0524</v>
      </c>
      <c r="CI1373" s="1" t="s">
        <v>102</v>
      </c>
    </row>
    <row r="1374" spans="1:87">
      <c r="A1374" t="s">
        <v>1460</v>
      </c>
      <c r="B1374">
        <v>128</v>
      </c>
      <c r="C1374" t="s">
        <v>946</v>
      </c>
      <c r="D1374" t="s">
        <v>365</v>
      </c>
      <c r="E1374" t="s">
        <v>629</v>
      </c>
      <c r="F1374" t="s">
        <v>706</v>
      </c>
      <c r="G1374" t="s">
        <v>1351</v>
      </c>
      <c r="T1374">
        <v>12</v>
      </c>
      <c r="U1374">
        <v>12</v>
      </c>
      <c r="V1374">
        <v>18</v>
      </c>
      <c r="W1374">
        <v>18</v>
      </c>
      <c r="X1374">
        <v>20</v>
      </c>
      <c r="Y1374">
        <v>18</v>
      </c>
      <c r="Z1374">
        <v>18</v>
      </c>
      <c r="AA1374">
        <v>6</v>
      </c>
      <c r="AB1374">
        <v>6</v>
      </c>
      <c r="CH1374" t="str">
        <f t="shared" si="21"/>
        <v>D-0524</v>
      </c>
      <c r="CI1374" s="1" t="s">
        <v>102</v>
      </c>
    </row>
    <row r="1375" spans="1:87">
      <c r="A1375" t="s">
        <v>1461</v>
      </c>
      <c r="B1375">
        <v>308</v>
      </c>
      <c r="C1375" t="s">
        <v>975</v>
      </c>
      <c r="D1375" t="s">
        <v>365</v>
      </c>
      <c r="E1375" t="s">
        <v>642</v>
      </c>
      <c r="F1375" t="s">
        <v>706</v>
      </c>
      <c r="G1375" t="s">
        <v>737</v>
      </c>
      <c r="N1375">
        <v>18</v>
      </c>
      <c r="O1375">
        <v>30</v>
      </c>
      <c r="P1375">
        <v>54</v>
      </c>
      <c r="Q1375">
        <v>60</v>
      </c>
      <c r="R1375">
        <v>66</v>
      </c>
      <c r="S1375">
        <v>48</v>
      </c>
      <c r="T1375">
        <v>20</v>
      </c>
      <c r="U1375">
        <v>12</v>
      </c>
      <c r="CH1375" t="str">
        <f t="shared" si="21"/>
        <v>D-0524</v>
      </c>
      <c r="CI1375" s="1" t="s">
        <v>102</v>
      </c>
    </row>
    <row r="1376" spans="1:87">
      <c r="A1376" t="s">
        <v>1462</v>
      </c>
      <c r="B1376">
        <v>206</v>
      </c>
      <c r="C1376" t="s">
        <v>705</v>
      </c>
      <c r="D1376" t="s">
        <v>365</v>
      </c>
      <c r="E1376" t="s">
        <v>642</v>
      </c>
      <c r="F1376" t="s">
        <v>706</v>
      </c>
      <c r="G1376" t="s">
        <v>707</v>
      </c>
      <c r="N1376">
        <v>12</v>
      </c>
      <c r="O1376">
        <v>24</v>
      </c>
      <c r="P1376">
        <v>36</v>
      </c>
      <c r="Q1376">
        <v>42</v>
      </c>
      <c r="R1376">
        <v>42</v>
      </c>
      <c r="S1376">
        <v>30</v>
      </c>
      <c r="T1376">
        <v>14</v>
      </c>
      <c r="U1376">
        <v>6</v>
      </c>
      <c r="CH1376" t="str">
        <f t="shared" si="21"/>
        <v>D-0524</v>
      </c>
      <c r="CI1376" s="1" t="s">
        <v>102</v>
      </c>
    </row>
    <row r="1377" spans="1:87">
      <c r="A1377" t="s">
        <v>1463</v>
      </c>
      <c r="B1377">
        <v>188</v>
      </c>
      <c r="C1377" t="s">
        <v>1272</v>
      </c>
      <c r="D1377" t="s">
        <v>365</v>
      </c>
      <c r="E1377" t="s">
        <v>642</v>
      </c>
      <c r="F1377" t="s">
        <v>706</v>
      </c>
      <c r="G1377" t="s">
        <v>720</v>
      </c>
      <c r="N1377">
        <v>6</v>
      </c>
      <c r="O1377">
        <v>18</v>
      </c>
      <c r="P1377">
        <v>36</v>
      </c>
      <c r="Q1377">
        <v>36</v>
      </c>
      <c r="R1377">
        <v>36</v>
      </c>
      <c r="S1377">
        <v>30</v>
      </c>
      <c r="T1377">
        <v>20</v>
      </c>
      <c r="U1377">
        <v>6</v>
      </c>
      <c r="CH1377" t="str">
        <f t="shared" si="21"/>
        <v>D-0524</v>
      </c>
      <c r="CI1377" s="1" t="s">
        <v>102</v>
      </c>
    </row>
    <row r="1378" spans="1:87">
      <c r="A1378" t="s">
        <v>1540</v>
      </c>
      <c r="B1378">
        <v>7476</v>
      </c>
      <c r="C1378" t="s">
        <v>656</v>
      </c>
      <c r="D1378" t="s">
        <v>249</v>
      </c>
      <c r="E1378" t="s">
        <v>629</v>
      </c>
      <c r="F1378" t="s">
        <v>657</v>
      </c>
      <c r="G1378" t="s">
        <v>658</v>
      </c>
      <c r="M1378">
        <v>27</v>
      </c>
      <c r="N1378">
        <v>38</v>
      </c>
      <c r="O1378">
        <v>52</v>
      </c>
      <c r="P1378">
        <v>52</v>
      </c>
      <c r="Q1378">
        <v>76</v>
      </c>
      <c r="R1378">
        <v>121</v>
      </c>
      <c r="S1378">
        <v>179</v>
      </c>
      <c r="T1378">
        <v>649</v>
      </c>
      <c r="U1378">
        <v>110</v>
      </c>
      <c r="V1378">
        <v>920</v>
      </c>
      <c r="W1378">
        <v>1206</v>
      </c>
      <c r="X1378">
        <v>775</v>
      </c>
      <c r="Y1378">
        <v>1144</v>
      </c>
      <c r="Z1378">
        <v>979</v>
      </c>
      <c r="AA1378">
        <v>161</v>
      </c>
      <c r="AB1378">
        <v>585</v>
      </c>
      <c r="AC1378">
        <v>60</v>
      </c>
      <c r="AD1378">
        <v>260</v>
      </c>
      <c r="AE1378">
        <v>36</v>
      </c>
      <c r="AF1378">
        <v>24</v>
      </c>
      <c r="AH1378">
        <v>11</v>
      </c>
      <c r="AJ1378">
        <v>11</v>
      </c>
      <c r="CH1378" t="str">
        <f t="shared" si="21"/>
        <v>D-0271</v>
      </c>
      <c r="CI1378" s="1" t="s">
        <v>102</v>
      </c>
    </row>
    <row r="1379" spans="1:87">
      <c r="A1379" t="s">
        <v>1584</v>
      </c>
      <c r="B1379">
        <v>151</v>
      </c>
      <c r="C1379" t="s">
        <v>1582</v>
      </c>
      <c r="D1379" t="s">
        <v>369</v>
      </c>
      <c r="E1379" t="s">
        <v>629</v>
      </c>
      <c r="F1379" t="s">
        <v>634</v>
      </c>
      <c r="G1379" t="s">
        <v>1583</v>
      </c>
      <c r="U1379">
        <v>10</v>
      </c>
      <c r="V1379">
        <v>10</v>
      </c>
      <c r="W1379">
        <v>31</v>
      </c>
      <c r="X1379">
        <v>40</v>
      </c>
      <c r="Y1379">
        <v>40</v>
      </c>
      <c r="Z1379">
        <v>10</v>
      </c>
      <c r="AA1379">
        <v>10</v>
      </c>
      <c r="CH1379" t="str">
        <f t="shared" si="21"/>
        <v>D-0529</v>
      </c>
      <c r="CI1379" s="1" t="s">
        <v>102</v>
      </c>
    </row>
    <row r="1380" spans="1:87">
      <c r="A1380" t="s">
        <v>1620</v>
      </c>
      <c r="B1380">
        <v>75</v>
      </c>
      <c r="C1380" t="s">
        <v>1619</v>
      </c>
      <c r="D1380" t="s">
        <v>367</v>
      </c>
      <c r="E1380" t="s">
        <v>642</v>
      </c>
      <c r="F1380" t="s">
        <v>634</v>
      </c>
      <c r="G1380" t="s">
        <v>1579</v>
      </c>
      <c r="R1380">
        <v>5</v>
      </c>
      <c r="S1380">
        <v>5</v>
      </c>
      <c r="T1380">
        <v>15</v>
      </c>
      <c r="U1380">
        <v>10</v>
      </c>
      <c r="V1380">
        <v>20</v>
      </c>
      <c r="W1380">
        <v>10</v>
      </c>
      <c r="X1380">
        <v>5</v>
      </c>
      <c r="Y1380">
        <v>5</v>
      </c>
      <c r="CH1380" t="str">
        <f t="shared" si="21"/>
        <v>D-0528</v>
      </c>
      <c r="CI1380" s="1" t="s">
        <v>102</v>
      </c>
    </row>
    <row r="1381" spans="1:87">
      <c r="A1381" t="s">
        <v>1622</v>
      </c>
      <c r="B1381">
        <v>1045</v>
      </c>
      <c r="C1381" t="s">
        <v>1011</v>
      </c>
      <c r="D1381" t="s">
        <v>284</v>
      </c>
      <c r="E1381" t="s">
        <v>698</v>
      </c>
      <c r="F1381" t="s">
        <v>699</v>
      </c>
      <c r="G1381" t="s">
        <v>749</v>
      </c>
      <c r="M1381">
        <v>40</v>
      </c>
      <c r="N1381">
        <v>50</v>
      </c>
      <c r="O1381">
        <v>125</v>
      </c>
      <c r="P1381">
        <v>240</v>
      </c>
      <c r="Q1381">
        <v>130</v>
      </c>
      <c r="R1381">
        <v>240</v>
      </c>
      <c r="S1381">
        <v>220</v>
      </c>
      <c r="CH1381" t="str">
        <f t="shared" si="21"/>
        <v>D-0391</v>
      </c>
      <c r="CI1381" s="1" t="s">
        <v>102</v>
      </c>
    </row>
    <row r="1382" spans="1:87">
      <c r="A1382" t="s">
        <v>1623</v>
      </c>
      <c r="B1382">
        <v>1555</v>
      </c>
      <c r="C1382" t="s">
        <v>1012</v>
      </c>
      <c r="D1382" t="s">
        <v>284</v>
      </c>
      <c r="E1382" t="s">
        <v>698</v>
      </c>
      <c r="F1382" t="s">
        <v>699</v>
      </c>
      <c r="G1382" t="s">
        <v>751</v>
      </c>
      <c r="M1382">
        <v>160</v>
      </c>
      <c r="N1382">
        <v>160</v>
      </c>
      <c r="O1382">
        <v>215</v>
      </c>
      <c r="P1382">
        <v>240</v>
      </c>
      <c r="Q1382">
        <v>210</v>
      </c>
      <c r="R1382">
        <v>280</v>
      </c>
      <c r="S1382">
        <v>290</v>
      </c>
      <c r="CH1382" t="str">
        <f t="shared" si="21"/>
        <v>D-0391</v>
      </c>
      <c r="CI1382" s="1" t="s">
        <v>102</v>
      </c>
    </row>
    <row r="1383" spans="1:87">
      <c r="A1383" t="s">
        <v>1625</v>
      </c>
      <c r="B1383">
        <v>154</v>
      </c>
      <c r="C1383" t="s">
        <v>1124</v>
      </c>
      <c r="D1383" t="s">
        <v>1125</v>
      </c>
      <c r="E1383" t="s">
        <v>642</v>
      </c>
      <c r="F1383" t="s">
        <v>672</v>
      </c>
      <c r="G1383" t="s">
        <v>1126</v>
      </c>
      <c r="P1383">
        <v>16</v>
      </c>
      <c r="R1383">
        <v>30</v>
      </c>
      <c r="T1383">
        <v>35</v>
      </c>
      <c r="V1383">
        <v>32</v>
      </c>
      <c r="X1383">
        <v>24</v>
      </c>
      <c r="Z1383">
        <v>17</v>
      </c>
      <c r="CH1383" t="str">
        <f t="shared" si="21"/>
        <v>D-0604</v>
      </c>
      <c r="CI1383" s="1" t="s">
        <v>102</v>
      </c>
    </row>
    <row r="1384" spans="1:87">
      <c r="A1384" t="s">
        <v>1626</v>
      </c>
      <c r="B1384">
        <v>182</v>
      </c>
      <c r="C1384" t="s">
        <v>1127</v>
      </c>
      <c r="D1384" t="s">
        <v>1125</v>
      </c>
      <c r="E1384" t="s">
        <v>642</v>
      </c>
      <c r="F1384" t="s">
        <v>672</v>
      </c>
      <c r="G1384" t="s">
        <v>1126</v>
      </c>
      <c r="P1384">
        <v>1</v>
      </c>
      <c r="R1384">
        <v>33</v>
      </c>
      <c r="T1384">
        <v>52</v>
      </c>
      <c r="V1384">
        <v>50</v>
      </c>
      <c r="X1384">
        <v>20</v>
      </c>
      <c r="Z1384">
        <v>22</v>
      </c>
      <c r="AB1384">
        <v>4</v>
      </c>
      <c r="CH1384" t="str">
        <f t="shared" si="21"/>
        <v>D-0604</v>
      </c>
      <c r="CI1384" s="1" t="s">
        <v>102</v>
      </c>
    </row>
    <row r="1385" spans="1:87">
      <c r="A1385" t="s">
        <v>1627</v>
      </c>
      <c r="B1385">
        <v>167</v>
      </c>
      <c r="C1385" t="s">
        <v>1129</v>
      </c>
      <c r="D1385" t="s">
        <v>1125</v>
      </c>
      <c r="E1385" t="s">
        <v>642</v>
      </c>
      <c r="F1385" t="s">
        <v>672</v>
      </c>
      <c r="G1385" t="s">
        <v>1130</v>
      </c>
      <c r="R1385">
        <v>59</v>
      </c>
      <c r="T1385">
        <v>35</v>
      </c>
      <c r="V1385">
        <v>32</v>
      </c>
      <c r="X1385">
        <v>24</v>
      </c>
      <c r="Z1385">
        <v>17</v>
      </c>
      <c r="CH1385" t="str">
        <f t="shared" si="21"/>
        <v>D-0604</v>
      </c>
      <c r="CI1385" s="1" t="s">
        <v>102</v>
      </c>
    </row>
    <row r="1386" spans="1:87">
      <c r="A1386" t="s">
        <v>1628</v>
      </c>
      <c r="B1386">
        <v>408</v>
      </c>
      <c r="C1386" t="s">
        <v>1124</v>
      </c>
      <c r="D1386" t="s">
        <v>1125</v>
      </c>
      <c r="E1386" t="s">
        <v>642</v>
      </c>
      <c r="F1386" t="s">
        <v>672</v>
      </c>
      <c r="G1386" t="s">
        <v>1126</v>
      </c>
      <c r="P1386">
        <v>1</v>
      </c>
      <c r="R1386">
        <v>2</v>
      </c>
      <c r="T1386">
        <v>348</v>
      </c>
      <c r="Z1386">
        <v>36</v>
      </c>
      <c r="AB1386">
        <v>21</v>
      </c>
      <c r="CH1386" t="str">
        <f t="shared" si="21"/>
        <v>D-0604</v>
      </c>
      <c r="CI1386" s="1" t="s">
        <v>102</v>
      </c>
    </row>
    <row r="1387" spans="1:87">
      <c r="A1387" t="s">
        <v>1629</v>
      </c>
      <c r="B1387">
        <v>40</v>
      </c>
      <c r="C1387" t="s">
        <v>1127</v>
      </c>
      <c r="D1387" t="s">
        <v>1125</v>
      </c>
      <c r="E1387" t="s">
        <v>642</v>
      </c>
      <c r="F1387" t="s">
        <v>672</v>
      </c>
      <c r="G1387" t="s">
        <v>1126</v>
      </c>
      <c r="V1387">
        <v>9</v>
      </c>
      <c r="X1387">
        <v>17</v>
      </c>
      <c r="Z1387">
        <v>9</v>
      </c>
      <c r="AB1387">
        <v>5</v>
      </c>
      <c r="CH1387" t="str">
        <f t="shared" si="21"/>
        <v>D-0604</v>
      </c>
      <c r="CI1387" s="1" t="s">
        <v>102</v>
      </c>
    </row>
    <row r="1388" spans="1:87">
      <c r="A1388" t="s">
        <v>1630</v>
      </c>
      <c r="B1388">
        <v>458</v>
      </c>
      <c r="C1388" t="s">
        <v>1129</v>
      </c>
      <c r="D1388" t="s">
        <v>1125</v>
      </c>
      <c r="E1388" t="s">
        <v>642</v>
      </c>
      <c r="F1388" t="s">
        <v>672</v>
      </c>
      <c r="G1388" t="s">
        <v>1130</v>
      </c>
      <c r="R1388">
        <v>16</v>
      </c>
      <c r="T1388">
        <v>108</v>
      </c>
      <c r="V1388">
        <v>157</v>
      </c>
      <c r="X1388">
        <v>118</v>
      </c>
      <c r="Z1388">
        <v>59</v>
      </c>
      <c r="CH1388" t="str">
        <f t="shared" si="21"/>
        <v>D-0604</v>
      </c>
      <c r="CI1388" s="1" t="s">
        <v>102</v>
      </c>
    </row>
    <row r="1389" spans="1:87">
      <c r="A1389" t="s">
        <v>1631</v>
      </c>
      <c r="B1389">
        <v>19</v>
      </c>
      <c r="C1389" t="s">
        <v>1124</v>
      </c>
      <c r="D1389" t="s">
        <v>1125</v>
      </c>
      <c r="E1389" t="s">
        <v>642</v>
      </c>
      <c r="F1389" t="s">
        <v>672</v>
      </c>
      <c r="G1389" t="s">
        <v>1126</v>
      </c>
      <c r="P1389">
        <v>19</v>
      </c>
      <c r="CH1389" t="str">
        <f t="shared" si="21"/>
        <v>D-0604</v>
      </c>
      <c r="CI1389" s="1" t="s">
        <v>102</v>
      </c>
    </row>
    <row r="1390" spans="1:87">
      <c r="A1390" t="s">
        <v>1632</v>
      </c>
      <c r="B1390">
        <v>170</v>
      </c>
      <c r="C1390" t="s">
        <v>1127</v>
      </c>
      <c r="D1390" t="s">
        <v>1125</v>
      </c>
      <c r="E1390" t="s">
        <v>642</v>
      </c>
      <c r="F1390" t="s">
        <v>672</v>
      </c>
      <c r="G1390" t="s">
        <v>1126</v>
      </c>
      <c r="P1390">
        <v>54</v>
      </c>
      <c r="R1390">
        <v>84</v>
      </c>
      <c r="AB1390">
        <v>32</v>
      </c>
      <c r="CH1390" t="str">
        <f t="shared" si="21"/>
        <v>D-0604</v>
      </c>
      <c r="CI1390" s="1" t="s">
        <v>102</v>
      </c>
    </row>
    <row r="1391" spans="1:87">
      <c r="A1391" t="s">
        <v>1633</v>
      </c>
      <c r="B1391">
        <v>145</v>
      </c>
      <c r="C1391" t="s">
        <v>1129</v>
      </c>
      <c r="D1391" t="s">
        <v>1125</v>
      </c>
      <c r="E1391" t="s">
        <v>642</v>
      </c>
      <c r="F1391" t="s">
        <v>672</v>
      </c>
      <c r="G1391" t="s">
        <v>1130</v>
      </c>
      <c r="P1391">
        <v>10</v>
      </c>
      <c r="R1391">
        <v>45</v>
      </c>
      <c r="T1391">
        <v>73</v>
      </c>
      <c r="Z1391">
        <v>17</v>
      </c>
      <c r="CH1391" t="str">
        <f t="shared" si="21"/>
        <v>D-0604</v>
      </c>
      <c r="CI1391" s="1" t="s">
        <v>102</v>
      </c>
    </row>
    <row r="1392" spans="1:87">
      <c r="A1392" t="s">
        <v>1634</v>
      </c>
      <c r="B1392">
        <v>57</v>
      </c>
      <c r="C1392" t="s">
        <v>1124</v>
      </c>
      <c r="D1392" t="s">
        <v>1125</v>
      </c>
      <c r="E1392" t="s">
        <v>642</v>
      </c>
      <c r="F1392" t="s">
        <v>672</v>
      </c>
      <c r="G1392" t="s">
        <v>1126</v>
      </c>
      <c r="P1392">
        <v>1</v>
      </c>
      <c r="R1392">
        <v>5</v>
      </c>
      <c r="T1392">
        <v>14</v>
      </c>
      <c r="V1392">
        <v>20</v>
      </c>
      <c r="X1392">
        <v>10</v>
      </c>
      <c r="Z1392">
        <v>7</v>
      </c>
      <c r="CH1392" t="str">
        <f t="shared" si="21"/>
        <v>D-0604</v>
      </c>
      <c r="CI1392" s="1" t="s">
        <v>102</v>
      </c>
    </row>
    <row r="1393" spans="1:87">
      <c r="A1393" t="s">
        <v>1635</v>
      </c>
      <c r="B1393">
        <v>19</v>
      </c>
      <c r="C1393" t="s">
        <v>1127</v>
      </c>
      <c r="D1393" t="s">
        <v>1125</v>
      </c>
      <c r="E1393" t="s">
        <v>642</v>
      </c>
      <c r="F1393" t="s">
        <v>672</v>
      </c>
      <c r="G1393" t="s">
        <v>1126</v>
      </c>
      <c r="P1393">
        <v>2</v>
      </c>
      <c r="R1393">
        <v>13</v>
      </c>
      <c r="AB1393">
        <v>4</v>
      </c>
      <c r="CH1393" t="str">
        <f t="shared" si="21"/>
        <v>D-0604</v>
      </c>
      <c r="CI1393" s="1" t="s">
        <v>102</v>
      </c>
    </row>
    <row r="1394" spans="1:87">
      <c r="A1394" t="s">
        <v>1636</v>
      </c>
      <c r="B1394">
        <v>51</v>
      </c>
      <c r="C1394" t="s">
        <v>1129</v>
      </c>
      <c r="D1394" t="s">
        <v>1125</v>
      </c>
      <c r="E1394" t="s">
        <v>642</v>
      </c>
      <c r="F1394" t="s">
        <v>672</v>
      </c>
      <c r="G1394" t="s">
        <v>1130</v>
      </c>
      <c r="P1394">
        <v>2</v>
      </c>
      <c r="R1394">
        <v>7</v>
      </c>
      <c r="T1394">
        <v>16</v>
      </c>
      <c r="X1394">
        <v>18</v>
      </c>
      <c r="Z1394">
        <v>8</v>
      </c>
      <c r="CH1394" t="str">
        <f t="shared" si="21"/>
        <v>D-0604</v>
      </c>
      <c r="CI1394" s="1" t="s">
        <v>102</v>
      </c>
    </row>
    <row r="1395" spans="1:87">
      <c r="A1395" t="s">
        <v>1637</v>
      </c>
      <c r="B1395">
        <v>370</v>
      </c>
      <c r="C1395" t="s">
        <v>1124</v>
      </c>
      <c r="D1395" t="s">
        <v>1125</v>
      </c>
      <c r="E1395" t="s">
        <v>642</v>
      </c>
      <c r="F1395" t="s">
        <v>672</v>
      </c>
      <c r="G1395" t="s">
        <v>1126</v>
      </c>
      <c r="R1395">
        <v>1</v>
      </c>
      <c r="T1395">
        <v>153</v>
      </c>
      <c r="V1395">
        <v>213</v>
      </c>
      <c r="X1395">
        <v>2</v>
      </c>
      <c r="Z1395">
        <v>1</v>
      </c>
      <c r="CH1395" t="str">
        <f t="shared" si="21"/>
        <v>D-0604</v>
      </c>
      <c r="CI1395" s="1" t="s">
        <v>102</v>
      </c>
    </row>
    <row r="1396" spans="1:87">
      <c r="A1396" t="s">
        <v>1638</v>
      </c>
      <c r="B1396">
        <v>227</v>
      </c>
      <c r="C1396" t="s">
        <v>1127</v>
      </c>
      <c r="D1396" t="s">
        <v>1125</v>
      </c>
      <c r="E1396" t="s">
        <v>642</v>
      </c>
      <c r="F1396" t="s">
        <v>672</v>
      </c>
      <c r="G1396" t="s">
        <v>1126</v>
      </c>
      <c r="P1396">
        <v>17</v>
      </c>
      <c r="R1396">
        <v>80</v>
      </c>
      <c r="T1396">
        <v>94</v>
      </c>
      <c r="AB1396">
        <v>36</v>
      </c>
      <c r="CH1396" t="str">
        <f t="shared" si="21"/>
        <v>D-0604</v>
      </c>
      <c r="CI1396" s="1" t="s">
        <v>102</v>
      </c>
    </row>
    <row r="1397" spans="1:87">
      <c r="A1397" t="s">
        <v>1639</v>
      </c>
      <c r="B1397">
        <v>741</v>
      </c>
      <c r="C1397" t="s">
        <v>1129</v>
      </c>
      <c r="D1397" t="s">
        <v>1125</v>
      </c>
      <c r="E1397" t="s">
        <v>642</v>
      </c>
      <c r="F1397" t="s">
        <v>672</v>
      </c>
      <c r="G1397" t="s">
        <v>1130</v>
      </c>
      <c r="P1397">
        <v>18</v>
      </c>
      <c r="R1397">
        <v>85</v>
      </c>
      <c r="T1397">
        <v>210</v>
      </c>
      <c r="V1397">
        <v>65</v>
      </c>
      <c r="X1397">
        <v>230</v>
      </c>
      <c r="Z1397">
        <v>106</v>
      </c>
      <c r="AB1397">
        <v>27</v>
      </c>
      <c r="CH1397" t="str">
        <f t="shared" si="21"/>
        <v>D-0604</v>
      </c>
      <c r="CI1397" s="1" t="s">
        <v>102</v>
      </c>
    </row>
    <row r="1398" spans="1:87">
      <c r="A1398" t="s">
        <v>1641</v>
      </c>
      <c r="B1398">
        <v>2516</v>
      </c>
      <c r="C1398" t="s">
        <v>953</v>
      </c>
      <c r="D1398" t="s">
        <v>365</v>
      </c>
      <c r="E1398" t="s">
        <v>629</v>
      </c>
      <c r="F1398" t="s">
        <v>706</v>
      </c>
      <c r="G1398" t="s">
        <v>1353</v>
      </c>
      <c r="V1398">
        <v>366</v>
      </c>
      <c r="W1398">
        <v>534</v>
      </c>
      <c r="X1398">
        <v>398</v>
      </c>
      <c r="Y1398">
        <v>750</v>
      </c>
      <c r="Z1398">
        <v>426</v>
      </c>
      <c r="AB1398">
        <v>42</v>
      </c>
      <c r="CH1398" t="str">
        <f t="shared" si="21"/>
        <v>D-0524</v>
      </c>
      <c r="CI1398" s="1" t="s">
        <v>102</v>
      </c>
    </row>
    <row r="1399" spans="1:87">
      <c r="A1399" t="s">
        <v>1663</v>
      </c>
      <c r="B1399">
        <v>852</v>
      </c>
      <c r="C1399" t="s">
        <v>1542</v>
      </c>
      <c r="D1399" t="s">
        <v>261</v>
      </c>
      <c r="E1399" t="s">
        <v>629</v>
      </c>
      <c r="F1399" t="s">
        <v>635</v>
      </c>
      <c r="G1399" t="s">
        <v>1516</v>
      </c>
      <c r="R1399">
        <v>24</v>
      </c>
      <c r="S1399">
        <v>24</v>
      </c>
      <c r="T1399">
        <v>36</v>
      </c>
      <c r="U1399">
        <v>36</v>
      </c>
      <c r="V1399">
        <v>72</v>
      </c>
      <c r="W1399">
        <v>72</v>
      </c>
      <c r="X1399">
        <v>96</v>
      </c>
      <c r="Y1399">
        <v>108</v>
      </c>
      <c r="Z1399">
        <v>108</v>
      </c>
      <c r="AA1399">
        <v>108</v>
      </c>
      <c r="AB1399">
        <v>84</v>
      </c>
      <c r="AC1399">
        <v>12</v>
      </c>
      <c r="AD1399">
        <v>48</v>
      </c>
      <c r="AF1399">
        <v>24</v>
      </c>
      <c r="CH1399" t="str">
        <f t="shared" si="21"/>
        <v>D-0310</v>
      </c>
      <c r="CI1399" s="1" t="s">
        <v>102</v>
      </c>
    </row>
    <row r="1400" spans="1:87">
      <c r="A1400" t="s">
        <v>1664</v>
      </c>
      <c r="B1400">
        <v>144</v>
      </c>
      <c r="C1400" t="s">
        <v>1542</v>
      </c>
      <c r="D1400" t="s">
        <v>261</v>
      </c>
      <c r="E1400" t="s">
        <v>629</v>
      </c>
      <c r="F1400" t="s">
        <v>635</v>
      </c>
      <c r="G1400" t="s">
        <v>1516</v>
      </c>
      <c r="T1400">
        <v>12</v>
      </c>
      <c r="U1400">
        <v>12</v>
      </c>
      <c r="V1400">
        <v>12</v>
      </c>
      <c r="W1400">
        <v>12</v>
      </c>
      <c r="X1400">
        <v>12</v>
      </c>
      <c r="Y1400">
        <v>12</v>
      </c>
      <c r="Z1400">
        <v>12</v>
      </c>
      <c r="AA1400">
        <v>12</v>
      </c>
      <c r="AB1400">
        <v>12</v>
      </c>
      <c r="AC1400">
        <v>12</v>
      </c>
      <c r="AD1400">
        <v>12</v>
      </c>
      <c r="AF1400">
        <v>12</v>
      </c>
      <c r="CH1400" t="str">
        <f t="shared" si="21"/>
        <v>D-0310</v>
      </c>
      <c r="CI1400" s="1" t="s">
        <v>102</v>
      </c>
    </row>
    <row r="1401" spans="1:87">
      <c r="A1401" t="s">
        <v>1665</v>
      </c>
      <c r="B1401">
        <v>516</v>
      </c>
      <c r="C1401" t="s">
        <v>1542</v>
      </c>
      <c r="D1401" t="s">
        <v>261</v>
      </c>
      <c r="E1401" t="s">
        <v>629</v>
      </c>
      <c r="F1401" t="s">
        <v>635</v>
      </c>
      <c r="G1401" t="s">
        <v>1516</v>
      </c>
      <c r="L1401">
        <v>12</v>
      </c>
      <c r="M1401">
        <v>12</v>
      </c>
      <c r="N1401">
        <v>12</v>
      </c>
      <c r="O1401">
        <v>12</v>
      </c>
      <c r="P1401">
        <v>12</v>
      </c>
      <c r="Q1401">
        <v>12</v>
      </c>
      <c r="R1401">
        <v>12</v>
      </c>
      <c r="S1401">
        <v>12</v>
      </c>
      <c r="T1401">
        <v>24</v>
      </c>
      <c r="U1401">
        <v>12</v>
      </c>
      <c r="V1401">
        <v>24</v>
      </c>
      <c r="W1401">
        <v>24</v>
      </c>
      <c r="X1401">
        <v>60</v>
      </c>
      <c r="Y1401">
        <v>36</v>
      </c>
      <c r="Z1401">
        <v>60</v>
      </c>
      <c r="AA1401">
        <v>60</v>
      </c>
      <c r="AB1401">
        <v>36</v>
      </c>
      <c r="AC1401">
        <v>36</v>
      </c>
      <c r="AD1401">
        <v>36</v>
      </c>
      <c r="AF1401">
        <v>12</v>
      </c>
      <c r="CH1401" t="str">
        <f t="shared" si="21"/>
        <v>D-0310</v>
      </c>
      <c r="CI1401" s="1" t="s">
        <v>102</v>
      </c>
    </row>
    <row r="1402" spans="1:87">
      <c r="A1402" t="s">
        <v>1666</v>
      </c>
      <c r="B1402">
        <v>228</v>
      </c>
      <c r="C1402" t="s">
        <v>1542</v>
      </c>
      <c r="D1402" t="s">
        <v>261</v>
      </c>
      <c r="E1402" t="s">
        <v>629</v>
      </c>
      <c r="F1402" t="s">
        <v>635</v>
      </c>
      <c r="G1402" t="s">
        <v>1516</v>
      </c>
      <c r="T1402">
        <v>12</v>
      </c>
      <c r="V1402">
        <v>12</v>
      </c>
      <c r="W1402">
        <v>12</v>
      </c>
      <c r="X1402">
        <v>36</v>
      </c>
      <c r="Y1402">
        <v>24</v>
      </c>
      <c r="Z1402">
        <v>36</v>
      </c>
      <c r="AA1402">
        <v>24</v>
      </c>
      <c r="AB1402">
        <v>24</v>
      </c>
      <c r="AC1402">
        <v>24</v>
      </c>
      <c r="AD1402">
        <v>24</v>
      </c>
      <c r="CH1402" t="str">
        <f t="shared" si="21"/>
        <v>D-0310</v>
      </c>
      <c r="CI1402" s="1" t="s">
        <v>102</v>
      </c>
    </row>
    <row r="1403" spans="1:87">
      <c r="A1403" t="s">
        <v>1667</v>
      </c>
      <c r="B1403">
        <v>135</v>
      </c>
      <c r="C1403" t="s">
        <v>1542</v>
      </c>
      <c r="D1403" t="s">
        <v>261</v>
      </c>
      <c r="E1403" t="s">
        <v>629</v>
      </c>
      <c r="F1403" t="s">
        <v>635</v>
      </c>
      <c r="G1403" t="s">
        <v>1516</v>
      </c>
      <c r="T1403">
        <v>15</v>
      </c>
      <c r="U1403">
        <v>15</v>
      </c>
      <c r="W1403">
        <v>45</v>
      </c>
      <c r="Y1403">
        <v>30</v>
      </c>
      <c r="Z1403">
        <v>15</v>
      </c>
      <c r="AB1403">
        <v>15</v>
      </c>
      <c r="CH1403" t="str">
        <f t="shared" si="21"/>
        <v>D-0310</v>
      </c>
      <c r="CI1403" s="1" t="s">
        <v>102</v>
      </c>
    </row>
    <row r="1404" spans="1:87">
      <c r="A1404" t="s">
        <v>1668</v>
      </c>
      <c r="B1404">
        <v>135</v>
      </c>
      <c r="C1404" t="s">
        <v>1542</v>
      </c>
      <c r="D1404" t="s">
        <v>261</v>
      </c>
      <c r="E1404" t="s">
        <v>629</v>
      </c>
      <c r="F1404" t="s">
        <v>635</v>
      </c>
      <c r="G1404" t="s">
        <v>1516</v>
      </c>
      <c r="T1404">
        <v>15</v>
      </c>
      <c r="U1404">
        <v>15</v>
      </c>
      <c r="W1404">
        <v>45</v>
      </c>
      <c r="Y1404">
        <v>30</v>
      </c>
      <c r="Z1404">
        <v>15</v>
      </c>
      <c r="AB1404">
        <v>15</v>
      </c>
      <c r="CH1404" t="str">
        <f t="shared" si="21"/>
        <v>D-0310</v>
      </c>
      <c r="CI1404" s="1" t="s">
        <v>102</v>
      </c>
    </row>
    <row r="1405" spans="1:87">
      <c r="A1405" t="s">
        <v>1669</v>
      </c>
      <c r="B1405">
        <v>540</v>
      </c>
      <c r="C1405" t="s">
        <v>1542</v>
      </c>
      <c r="D1405" t="s">
        <v>261</v>
      </c>
      <c r="E1405" t="s">
        <v>629</v>
      </c>
      <c r="F1405" t="s">
        <v>635</v>
      </c>
      <c r="G1405" t="s">
        <v>1516</v>
      </c>
      <c r="T1405">
        <v>36</v>
      </c>
      <c r="U1405">
        <v>72</v>
      </c>
      <c r="V1405">
        <v>84</v>
      </c>
      <c r="W1405">
        <v>96</v>
      </c>
      <c r="X1405">
        <v>96</v>
      </c>
      <c r="Y1405">
        <v>60</v>
      </c>
      <c r="Z1405">
        <v>48</v>
      </c>
      <c r="AA1405">
        <v>24</v>
      </c>
      <c r="AB1405">
        <v>24</v>
      </c>
      <c r="CH1405" t="str">
        <f t="shared" si="21"/>
        <v>D-0310</v>
      </c>
      <c r="CI1405" s="1" t="s">
        <v>102</v>
      </c>
    </row>
    <row r="1406" spans="1:87">
      <c r="A1406" t="s">
        <v>1670</v>
      </c>
      <c r="B1406">
        <v>540</v>
      </c>
      <c r="C1406" t="s">
        <v>1542</v>
      </c>
      <c r="D1406" t="s">
        <v>261</v>
      </c>
      <c r="E1406" t="s">
        <v>629</v>
      </c>
      <c r="F1406" t="s">
        <v>635</v>
      </c>
      <c r="G1406" t="s">
        <v>1516</v>
      </c>
      <c r="T1406">
        <v>36</v>
      </c>
      <c r="U1406">
        <v>72</v>
      </c>
      <c r="V1406">
        <v>84</v>
      </c>
      <c r="W1406">
        <v>96</v>
      </c>
      <c r="X1406">
        <v>96</v>
      </c>
      <c r="Y1406">
        <v>60</v>
      </c>
      <c r="Z1406">
        <v>48</v>
      </c>
      <c r="AA1406">
        <v>24</v>
      </c>
      <c r="AB1406">
        <v>24</v>
      </c>
      <c r="CH1406" t="str">
        <f t="shared" si="21"/>
        <v>D-0310</v>
      </c>
      <c r="CI1406" s="1" t="s">
        <v>102</v>
      </c>
    </row>
    <row r="1407" spans="1:87">
      <c r="A1407" t="s">
        <v>1673</v>
      </c>
      <c r="B1407">
        <v>186</v>
      </c>
      <c r="C1407" t="s">
        <v>1542</v>
      </c>
      <c r="D1407" t="s">
        <v>261</v>
      </c>
      <c r="E1407" t="s">
        <v>629</v>
      </c>
      <c r="F1407" t="s">
        <v>635</v>
      </c>
      <c r="G1407" t="s">
        <v>1516</v>
      </c>
      <c r="R1407">
        <v>12</v>
      </c>
      <c r="S1407">
        <v>12</v>
      </c>
      <c r="U1407">
        <v>12</v>
      </c>
      <c r="V1407">
        <v>12</v>
      </c>
      <c r="W1407">
        <v>24</v>
      </c>
      <c r="X1407">
        <v>12</v>
      </c>
      <c r="Y1407">
        <v>12</v>
      </c>
      <c r="Z1407">
        <v>12</v>
      </c>
      <c r="AA1407">
        <v>24</v>
      </c>
      <c r="AB1407">
        <v>12</v>
      </c>
      <c r="AC1407">
        <v>12</v>
      </c>
      <c r="AD1407">
        <v>12</v>
      </c>
      <c r="AF1407">
        <v>12</v>
      </c>
      <c r="AL1407">
        <v>6</v>
      </c>
      <c r="CH1407" t="str">
        <f t="shared" si="21"/>
        <v>D-0310</v>
      </c>
      <c r="CI1407" s="1" t="s">
        <v>102</v>
      </c>
    </row>
    <row r="1408" spans="1:87">
      <c r="A1408" t="s">
        <v>1674</v>
      </c>
      <c r="B1408">
        <v>246</v>
      </c>
      <c r="C1408" t="s">
        <v>1542</v>
      </c>
      <c r="D1408" t="s">
        <v>261</v>
      </c>
      <c r="E1408" t="s">
        <v>629</v>
      </c>
      <c r="F1408" t="s">
        <v>635</v>
      </c>
      <c r="G1408" t="s">
        <v>1516</v>
      </c>
      <c r="R1408">
        <v>12</v>
      </c>
      <c r="S1408">
        <v>12</v>
      </c>
      <c r="U1408">
        <v>12</v>
      </c>
      <c r="V1408">
        <v>12</v>
      </c>
      <c r="W1408">
        <v>24</v>
      </c>
      <c r="X1408">
        <v>12</v>
      </c>
      <c r="Y1408">
        <v>24</v>
      </c>
      <c r="Z1408">
        <v>24</v>
      </c>
      <c r="AA1408">
        <v>48</v>
      </c>
      <c r="AB1408">
        <v>24</v>
      </c>
      <c r="AC1408">
        <v>12</v>
      </c>
      <c r="AD1408">
        <v>12</v>
      </c>
      <c r="AF1408">
        <v>12</v>
      </c>
      <c r="AL1408">
        <v>6</v>
      </c>
      <c r="CH1408" t="str">
        <f t="shared" si="21"/>
        <v>D-0310</v>
      </c>
      <c r="CI1408" s="1" t="s">
        <v>102</v>
      </c>
    </row>
    <row r="1409" spans="1:87">
      <c r="A1409" t="s">
        <v>1690</v>
      </c>
      <c r="B1409">
        <v>1440</v>
      </c>
      <c r="C1409" t="s">
        <v>1550</v>
      </c>
      <c r="D1409" t="s">
        <v>261</v>
      </c>
      <c r="E1409" t="s">
        <v>629</v>
      </c>
      <c r="F1409" t="s">
        <v>635</v>
      </c>
      <c r="G1409" t="s">
        <v>1551</v>
      </c>
      <c r="L1409">
        <v>48</v>
      </c>
      <c r="M1409">
        <v>144</v>
      </c>
      <c r="N1409">
        <v>96</v>
      </c>
      <c r="O1409">
        <v>300</v>
      </c>
      <c r="P1409">
        <v>156</v>
      </c>
      <c r="Q1409">
        <v>264</v>
      </c>
      <c r="R1409">
        <v>132</v>
      </c>
      <c r="S1409">
        <v>24</v>
      </c>
      <c r="T1409">
        <v>36</v>
      </c>
      <c r="U1409">
        <v>60</v>
      </c>
      <c r="V1409">
        <v>24</v>
      </c>
      <c r="W1409">
        <v>72</v>
      </c>
      <c r="X1409">
        <v>36</v>
      </c>
      <c r="Y1409">
        <v>36</v>
      </c>
      <c r="Z1409">
        <v>12</v>
      </c>
      <c r="CH1409" t="str">
        <f t="shared" si="21"/>
        <v>D-0310</v>
      </c>
      <c r="CI1409" s="1" t="s">
        <v>102</v>
      </c>
    </row>
    <row r="1410" spans="1:87">
      <c r="A1410" t="s">
        <v>1691</v>
      </c>
      <c r="B1410">
        <v>888</v>
      </c>
      <c r="C1410" t="s">
        <v>1550</v>
      </c>
      <c r="D1410" t="s">
        <v>261</v>
      </c>
      <c r="E1410" t="s">
        <v>629</v>
      </c>
      <c r="F1410" t="s">
        <v>635</v>
      </c>
      <c r="G1410" t="s">
        <v>1551</v>
      </c>
      <c r="L1410">
        <v>24</v>
      </c>
      <c r="M1410">
        <v>72</v>
      </c>
      <c r="N1410">
        <v>48</v>
      </c>
      <c r="O1410">
        <v>132</v>
      </c>
      <c r="P1410">
        <v>84</v>
      </c>
      <c r="Q1410">
        <v>120</v>
      </c>
      <c r="R1410">
        <v>72</v>
      </c>
      <c r="S1410">
        <v>24</v>
      </c>
      <c r="T1410">
        <v>36</v>
      </c>
      <c r="U1410">
        <v>72</v>
      </c>
      <c r="V1410">
        <v>24</v>
      </c>
      <c r="W1410">
        <v>84</v>
      </c>
      <c r="X1410">
        <v>48</v>
      </c>
      <c r="Y1410">
        <v>36</v>
      </c>
      <c r="Z1410">
        <v>12</v>
      </c>
      <c r="CH1410" t="str">
        <f t="shared" ref="CH1410:CH1473" si="22">TRIM(IFERROR(IFERROR(MID($D1410,FIND("(D-",$D1410)+1,6),LEFT($D1410,FIND("(",$D1410)-1)),$D1410))</f>
        <v>D-0310</v>
      </c>
      <c r="CI1410" s="1" t="s">
        <v>102</v>
      </c>
    </row>
    <row r="1411" spans="1:87">
      <c r="A1411" t="s">
        <v>1692</v>
      </c>
      <c r="B1411">
        <v>480</v>
      </c>
      <c r="C1411" t="s">
        <v>1550</v>
      </c>
      <c r="D1411" t="s">
        <v>261</v>
      </c>
      <c r="E1411" t="s">
        <v>629</v>
      </c>
      <c r="F1411" t="s">
        <v>635</v>
      </c>
      <c r="G1411" t="s">
        <v>1551</v>
      </c>
      <c r="L1411">
        <v>24</v>
      </c>
      <c r="M1411">
        <v>48</v>
      </c>
      <c r="N1411">
        <v>72</v>
      </c>
      <c r="O1411">
        <v>96</v>
      </c>
      <c r="P1411">
        <v>96</v>
      </c>
      <c r="Q1411">
        <v>84</v>
      </c>
      <c r="S1411">
        <v>60</v>
      </c>
      <c r="CH1411" t="str">
        <f t="shared" si="22"/>
        <v>D-0310</v>
      </c>
      <c r="CI1411" s="1" t="s">
        <v>102</v>
      </c>
    </row>
    <row r="1412" spans="1:87">
      <c r="A1412" t="s">
        <v>1693</v>
      </c>
      <c r="B1412">
        <v>240</v>
      </c>
      <c r="C1412" t="s">
        <v>1550</v>
      </c>
      <c r="D1412" t="s">
        <v>261</v>
      </c>
      <c r="E1412" t="s">
        <v>629</v>
      </c>
      <c r="F1412" t="s">
        <v>635</v>
      </c>
      <c r="G1412" t="s">
        <v>1551</v>
      </c>
      <c r="L1412">
        <v>12</v>
      </c>
      <c r="M1412">
        <v>24</v>
      </c>
      <c r="N1412">
        <v>36</v>
      </c>
      <c r="O1412">
        <v>48</v>
      </c>
      <c r="P1412">
        <v>48</v>
      </c>
      <c r="Q1412">
        <v>36</v>
      </c>
      <c r="S1412">
        <v>36</v>
      </c>
      <c r="CH1412" t="str">
        <f t="shared" si="22"/>
        <v>D-0310</v>
      </c>
      <c r="CI1412" s="1" t="s">
        <v>102</v>
      </c>
    </row>
    <row r="1413" spans="1:87">
      <c r="A1413" t="s">
        <v>1694</v>
      </c>
      <c r="B1413">
        <v>120</v>
      </c>
      <c r="C1413" t="s">
        <v>1550</v>
      </c>
      <c r="D1413" t="s">
        <v>261</v>
      </c>
      <c r="E1413" t="s">
        <v>629</v>
      </c>
      <c r="F1413" t="s">
        <v>635</v>
      </c>
      <c r="G1413" t="s">
        <v>1551</v>
      </c>
      <c r="Q1413">
        <v>12</v>
      </c>
      <c r="R1413">
        <v>12</v>
      </c>
      <c r="S1413">
        <v>12</v>
      </c>
      <c r="T1413">
        <v>12</v>
      </c>
      <c r="U1413">
        <v>12</v>
      </c>
      <c r="V1413">
        <v>12</v>
      </c>
      <c r="W1413">
        <v>12</v>
      </c>
      <c r="X1413">
        <v>12</v>
      </c>
      <c r="Y1413">
        <v>12</v>
      </c>
      <c r="Z1413">
        <v>12</v>
      </c>
      <c r="CH1413" t="str">
        <f t="shared" si="22"/>
        <v>D-0310</v>
      </c>
      <c r="CI1413" s="1" t="s">
        <v>102</v>
      </c>
    </row>
    <row r="1414" spans="1:87">
      <c r="A1414" t="s">
        <v>1696</v>
      </c>
      <c r="B1414">
        <v>132</v>
      </c>
      <c r="C1414" t="s">
        <v>1550</v>
      </c>
      <c r="D1414" t="s">
        <v>261</v>
      </c>
      <c r="E1414" t="s">
        <v>629</v>
      </c>
      <c r="F1414" t="s">
        <v>635</v>
      </c>
      <c r="G1414" t="s">
        <v>1551</v>
      </c>
      <c r="M1414">
        <v>24</v>
      </c>
      <c r="O1414">
        <v>36</v>
      </c>
      <c r="Q1414">
        <v>36</v>
      </c>
      <c r="R1414">
        <v>24</v>
      </c>
      <c r="T1414">
        <v>12</v>
      </c>
      <c r="CH1414" t="str">
        <f t="shared" si="22"/>
        <v>D-0310</v>
      </c>
      <c r="CI1414" s="1" t="s">
        <v>102</v>
      </c>
    </row>
    <row r="1415" spans="1:87">
      <c r="A1415" t="s">
        <v>1697</v>
      </c>
      <c r="B1415">
        <v>120</v>
      </c>
      <c r="C1415" t="s">
        <v>1550</v>
      </c>
      <c r="D1415" t="s">
        <v>261</v>
      </c>
      <c r="E1415" t="s">
        <v>629</v>
      </c>
      <c r="F1415" t="s">
        <v>635</v>
      </c>
      <c r="G1415" t="s">
        <v>1551</v>
      </c>
      <c r="M1415">
        <v>12</v>
      </c>
      <c r="O1415">
        <v>36</v>
      </c>
      <c r="Q1415">
        <v>36</v>
      </c>
      <c r="R1415">
        <v>24</v>
      </c>
      <c r="T1415">
        <v>12</v>
      </c>
      <c r="CH1415" t="str">
        <f t="shared" si="22"/>
        <v>D-0310</v>
      </c>
      <c r="CI1415" s="1" t="s">
        <v>102</v>
      </c>
    </row>
    <row r="1416" spans="1:87">
      <c r="A1416" t="s">
        <v>1698</v>
      </c>
      <c r="B1416">
        <v>567</v>
      </c>
      <c r="C1416" t="s">
        <v>1550</v>
      </c>
      <c r="D1416" t="s">
        <v>261</v>
      </c>
      <c r="E1416" t="s">
        <v>629</v>
      </c>
      <c r="F1416" t="s">
        <v>635</v>
      </c>
      <c r="G1416" t="s">
        <v>1551</v>
      </c>
      <c r="M1416">
        <v>63</v>
      </c>
      <c r="O1416">
        <v>126</v>
      </c>
      <c r="Q1416">
        <v>126</v>
      </c>
      <c r="R1416">
        <v>126</v>
      </c>
      <c r="T1416">
        <v>126</v>
      </c>
      <c r="CH1416" t="str">
        <f t="shared" si="22"/>
        <v>D-0310</v>
      </c>
      <c r="CI1416" s="1" t="s">
        <v>102</v>
      </c>
    </row>
    <row r="1417" spans="1:87">
      <c r="A1417" t="s">
        <v>1699</v>
      </c>
      <c r="B1417">
        <v>558</v>
      </c>
      <c r="C1417" t="s">
        <v>1550</v>
      </c>
      <c r="D1417" t="s">
        <v>261</v>
      </c>
      <c r="E1417" t="s">
        <v>629</v>
      </c>
      <c r="F1417" t="s">
        <v>635</v>
      </c>
      <c r="G1417" t="s">
        <v>1551</v>
      </c>
      <c r="M1417">
        <v>62</v>
      </c>
      <c r="O1417">
        <v>124</v>
      </c>
      <c r="Q1417">
        <v>124</v>
      </c>
      <c r="R1417">
        <v>124</v>
      </c>
      <c r="T1417">
        <v>124</v>
      </c>
      <c r="CH1417" t="str">
        <f t="shared" si="22"/>
        <v>D-0310</v>
      </c>
      <c r="CI1417" s="1" t="s">
        <v>102</v>
      </c>
    </row>
    <row r="1418" spans="1:87">
      <c r="A1418" t="s">
        <v>1700</v>
      </c>
      <c r="B1418">
        <v>672</v>
      </c>
      <c r="C1418" t="s">
        <v>1550</v>
      </c>
      <c r="D1418" t="s">
        <v>261</v>
      </c>
      <c r="E1418" t="s">
        <v>629</v>
      </c>
      <c r="F1418" t="s">
        <v>635</v>
      </c>
      <c r="G1418" t="s">
        <v>1551</v>
      </c>
      <c r="N1418">
        <v>48</v>
      </c>
      <c r="O1418">
        <v>24</v>
      </c>
      <c r="P1418">
        <v>96</v>
      </c>
      <c r="Q1418">
        <v>84</v>
      </c>
      <c r="R1418">
        <v>96</v>
      </c>
      <c r="S1418">
        <v>72</v>
      </c>
      <c r="T1418">
        <v>96</v>
      </c>
      <c r="U1418">
        <v>72</v>
      </c>
      <c r="V1418">
        <v>48</v>
      </c>
      <c r="W1418">
        <v>36</v>
      </c>
      <c r="CH1418" t="str">
        <f t="shared" si="22"/>
        <v>D-0310</v>
      </c>
      <c r="CI1418" s="1" t="s">
        <v>102</v>
      </c>
    </row>
    <row r="1419" spans="1:87">
      <c r="A1419" t="s">
        <v>1701</v>
      </c>
      <c r="B1419">
        <v>672</v>
      </c>
      <c r="C1419" t="s">
        <v>1550</v>
      </c>
      <c r="D1419" t="s">
        <v>261</v>
      </c>
      <c r="E1419" t="s">
        <v>629</v>
      </c>
      <c r="F1419" t="s">
        <v>635</v>
      </c>
      <c r="G1419" t="s">
        <v>1551</v>
      </c>
      <c r="N1419">
        <v>48</v>
      </c>
      <c r="O1419">
        <v>24</v>
      </c>
      <c r="P1419">
        <v>96</v>
      </c>
      <c r="Q1419">
        <v>84</v>
      </c>
      <c r="R1419">
        <v>96</v>
      </c>
      <c r="S1419">
        <v>72</v>
      </c>
      <c r="T1419">
        <v>96</v>
      </c>
      <c r="U1419">
        <v>72</v>
      </c>
      <c r="V1419">
        <v>48</v>
      </c>
      <c r="W1419">
        <v>36</v>
      </c>
      <c r="CH1419" t="str">
        <f t="shared" si="22"/>
        <v>D-0310</v>
      </c>
      <c r="CI1419" s="1" t="s">
        <v>102</v>
      </c>
    </row>
    <row r="1420" spans="1:87">
      <c r="A1420" t="s">
        <v>1708</v>
      </c>
      <c r="B1420">
        <v>600</v>
      </c>
      <c r="C1420" t="s">
        <v>650</v>
      </c>
      <c r="D1420" t="s">
        <v>261</v>
      </c>
      <c r="E1420" t="s">
        <v>629</v>
      </c>
      <c r="F1420" t="s">
        <v>635</v>
      </c>
      <c r="G1420" t="s">
        <v>651</v>
      </c>
      <c r="L1420">
        <v>50</v>
      </c>
      <c r="M1420">
        <v>100</v>
      </c>
      <c r="N1420">
        <v>100</v>
      </c>
      <c r="O1420">
        <v>100</v>
      </c>
      <c r="P1420">
        <v>100</v>
      </c>
      <c r="Q1420">
        <v>100</v>
      </c>
      <c r="R1420">
        <v>50</v>
      </c>
      <c r="CH1420" t="str">
        <f t="shared" si="22"/>
        <v>D-0310</v>
      </c>
      <c r="CI1420" s="1" t="s">
        <v>102</v>
      </c>
    </row>
    <row r="1421" spans="1:87">
      <c r="A1421" t="s">
        <v>1709</v>
      </c>
      <c r="B1421">
        <v>384</v>
      </c>
      <c r="C1421" t="s">
        <v>650</v>
      </c>
      <c r="D1421" t="s">
        <v>261</v>
      </c>
      <c r="E1421" t="s">
        <v>629</v>
      </c>
      <c r="F1421" t="s">
        <v>635</v>
      </c>
      <c r="G1421" t="s">
        <v>651</v>
      </c>
      <c r="L1421">
        <v>64</v>
      </c>
      <c r="M1421">
        <v>32</v>
      </c>
      <c r="N1421">
        <v>64</v>
      </c>
      <c r="O1421">
        <v>64</v>
      </c>
      <c r="P1421">
        <v>64</v>
      </c>
      <c r="R1421">
        <v>32</v>
      </c>
      <c r="S1421">
        <v>32</v>
      </c>
      <c r="U1421">
        <v>32</v>
      </c>
      <c r="CH1421" t="str">
        <f t="shared" si="22"/>
        <v>D-0310</v>
      </c>
      <c r="CI1421" s="1" t="s">
        <v>102</v>
      </c>
    </row>
    <row r="1422" spans="1:87">
      <c r="A1422" t="s">
        <v>1710</v>
      </c>
      <c r="B1422">
        <v>144</v>
      </c>
      <c r="C1422" t="s">
        <v>650</v>
      </c>
      <c r="D1422" t="s">
        <v>261</v>
      </c>
      <c r="E1422" t="s">
        <v>629</v>
      </c>
      <c r="F1422" t="s">
        <v>635</v>
      </c>
      <c r="G1422" t="s">
        <v>651</v>
      </c>
      <c r="L1422">
        <v>12</v>
      </c>
      <c r="N1422">
        <v>24</v>
      </c>
      <c r="P1422">
        <v>36</v>
      </c>
      <c r="R1422">
        <v>36</v>
      </c>
      <c r="T1422">
        <v>24</v>
      </c>
      <c r="V1422">
        <v>12</v>
      </c>
      <c r="CH1422" t="str">
        <f t="shared" si="22"/>
        <v>D-0310</v>
      </c>
      <c r="CI1422" s="1" t="s">
        <v>102</v>
      </c>
    </row>
    <row r="1423" spans="1:87">
      <c r="A1423" t="s">
        <v>1711</v>
      </c>
      <c r="B1423">
        <v>120</v>
      </c>
      <c r="C1423" t="s">
        <v>650</v>
      </c>
      <c r="D1423" t="s">
        <v>261</v>
      </c>
      <c r="E1423" t="s">
        <v>629</v>
      </c>
      <c r="F1423" t="s">
        <v>635</v>
      </c>
      <c r="G1423" t="s">
        <v>651</v>
      </c>
      <c r="L1423">
        <v>20</v>
      </c>
      <c r="M1423">
        <v>20</v>
      </c>
      <c r="O1423">
        <v>30</v>
      </c>
      <c r="P1423">
        <v>10</v>
      </c>
      <c r="Q1423">
        <v>20</v>
      </c>
      <c r="R1423">
        <v>20</v>
      </c>
      <c r="CH1423" t="str">
        <f t="shared" si="22"/>
        <v>D-0310</v>
      </c>
      <c r="CI1423" s="1" t="s">
        <v>102</v>
      </c>
    </row>
    <row r="1424" spans="1:87">
      <c r="A1424" t="s">
        <v>1712</v>
      </c>
      <c r="B1424">
        <v>1836</v>
      </c>
      <c r="C1424" t="s">
        <v>650</v>
      </c>
      <c r="D1424" t="s">
        <v>261</v>
      </c>
      <c r="E1424" t="s">
        <v>629</v>
      </c>
      <c r="F1424" t="s">
        <v>635</v>
      </c>
      <c r="G1424" t="s">
        <v>651</v>
      </c>
      <c r="L1424">
        <v>72</v>
      </c>
      <c r="M1424">
        <v>132</v>
      </c>
      <c r="N1424">
        <v>240</v>
      </c>
      <c r="O1424">
        <v>360</v>
      </c>
      <c r="P1424">
        <v>276</v>
      </c>
      <c r="Q1424">
        <v>348</v>
      </c>
      <c r="R1424">
        <v>108</v>
      </c>
      <c r="T1424">
        <v>96</v>
      </c>
      <c r="U1424">
        <v>96</v>
      </c>
      <c r="W1424">
        <v>108</v>
      </c>
      <c r="CH1424" t="str">
        <f t="shared" si="22"/>
        <v>D-0310</v>
      </c>
      <c r="CI1424" s="1" t="s">
        <v>102</v>
      </c>
    </row>
    <row r="1425" spans="1:87">
      <c r="A1425" t="s">
        <v>1713</v>
      </c>
      <c r="B1425">
        <v>1824</v>
      </c>
      <c r="C1425" t="s">
        <v>650</v>
      </c>
      <c r="D1425" t="s">
        <v>261</v>
      </c>
      <c r="E1425" t="s">
        <v>629</v>
      </c>
      <c r="F1425" t="s">
        <v>635</v>
      </c>
      <c r="G1425" t="s">
        <v>651</v>
      </c>
      <c r="L1425">
        <v>60</v>
      </c>
      <c r="M1425">
        <v>168</v>
      </c>
      <c r="N1425">
        <v>132</v>
      </c>
      <c r="O1425">
        <v>300</v>
      </c>
      <c r="P1425">
        <v>192</v>
      </c>
      <c r="Q1425">
        <v>312</v>
      </c>
      <c r="R1425">
        <v>144</v>
      </c>
      <c r="S1425">
        <v>48</v>
      </c>
      <c r="T1425">
        <v>72</v>
      </c>
      <c r="U1425">
        <v>120</v>
      </c>
      <c r="V1425">
        <v>36</v>
      </c>
      <c r="W1425">
        <v>108</v>
      </c>
      <c r="X1425">
        <v>48</v>
      </c>
      <c r="Y1425">
        <v>60</v>
      </c>
      <c r="Z1425">
        <v>12</v>
      </c>
      <c r="AB1425">
        <v>12</v>
      </c>
      <c r="CH1425" t="str">
        <f t="shared" si="22"/>
        <v>D-0310</v>
      </c>
      <c r="CI1425" s="1" t="s">
        <v>102</v>
      </c>
    </row>
    <row r="1426" spans="1:87">
      <c r="A1426" t="s">
        <v>1714</v>
      </c>
      <c r="B1426">
        <v>240</v>
      </c>
      <c r="C1426" t="s">
        <v>650</v>
      </c>
      <c r="D1426" t="s">
        <v>261</v>
      </c>
      <c r="E1426" t="s">
        <v>629</v>
      </c>
      <c r="F1426" t="s">
        <v>635</v>
      </c>
      <c r="G1426" t="s">
        <v>651</v>
      </c>
      <c r="L1426">
        <v>12</v>
      </c>
      <c r="M1426">
        <v>24</v>
      </c>
      <c r="N1426">
        <v>36</v>
      </c>
      <c r="O1426">
        <v>48</v>
      </c>
      <c r="P1426">
        <v>48</v>
      </c>
      <c r="Q1426">
        <v>36</v>
      </c>
      <c r="S1426">
        <v>36</v>
      </c>
      <c r="CH1426" t="str">
        <f t="shared" si="22"/>
        <v>D-0310</v>
      </c>
      <c r="CI1426" s="1" t="s">
        <v>102</v>
      </c>
    </row>
    <row r="1427" spans="1:87">
      <c r="A1427" t="s">
        <v>1715</v>
      </c>
      <c r="B1427">
        <v>480</v>
      </c>
      <c r="C1427" t="s">
        <v>650</v>
      </c>
      <c r="D1427" t="s">
        <v>261</v>
      </c>
      <c r="E1427" t="s">
        <v>629</v>
      </c>
      <c r="F1427" t="s">
        <v>635</v>
      </c>
      <c r="G1427" t="s">
        <v>651</v>
      </c>
      <c r="L1427">
        <v>24</v>
      </c>
      <c r="M1427">
        <v>48</v>
      </c>
      <c r="N1427">
        <v>72</v>
      </c>
      <c r="O1427">
        <v>96</v>
      </c>
      <c r="P1427">
        <v>96</v>
      </c>
      <c r="Q1427">
        <v>84</v>
      </c>
      <c r="S1427">
        <v>60</v>
      </c>
      <c r="CH1427" t="str">
        <f t="shared" si="22"/>
        <v>D-0310</v>
      </c>
      <c r="CI1427" s="1" t="s">
        <v>102</v>
      </c>
    </row>
    <row r="1428" spans="1:87">
      <c r="A1428" t="s">
        <v>1716</v>
      </c>
      <c r="B1428">
        <v>102</v>
      </c>
      <c r="C1428" t="s">
        <v>650</v>
      </c>
      <c r="D1428" t="s">
        <v>261</v>
      </c>
      <c r="E1428" t="s">
        <v>629</v>
      </c>
      <c r="F1428" t="s">
        <v>635</v>
      </c>
      <c r="G1428" t="s">
        <v>651</v>
      </c>
      <c r="N1428">
        <v>24</v>
      </c>
      <c r="P1428">
        <v>36</v>
      </c>
      <c r="R1428">
        <v>42</v>
      </c>
      <c r="CH1428" t="str">
        <f t="shared" si="22"/>
        <v>D-0310</v>
      </c>
      <c r="CI1428" s="1" t="s">
        <v>102</v>
      </c>
    </row>
    <row r="1429" spans="1:87">
      <c r="A1429" t="s">
        <v>1717</v>
      </c>
      <c r="B1429">
        <v>120</v>
      </c>
      <c r="C1429" t="s">
        <v>650</v>
      </c>
      <c r="D1429" t="s">
        <v>261</v>
      </c>
      <c r="E1429" t="s">
        <v>629</v>
      </c>
      <c r="F1429" t="s">
        <v>635</v>
      </c>
      <c r="G1429" t="s">
        <v>651</v>
      </c>
      <c r="Q1429">
        <v>12</v>
      </c>
      <c r="R1429">
        <v>12</v>
      </c>
      <c r="S1429">
        <v>12</v>
      </c>
      <c r="T1429">
        <v>12</v>
      </c>
      <c r="U1429">
        <v>12</v>
      </c>
      <c r="V1429">
        <v>12</v>
      </c>
      <c r="W1429">
        <v>12</v>
      </c>
      <c r="X1429">
        <v>12</v>
      </c>
      <c r="Y1429">
        <v>12</v>
      </c>
      <c r="Z1429">
        <v>12</v>
      </c>
      <c r="CH1429" t="str">
        <f t="shared" si="22"/>
        <v>D-0310</v>
      </c>
      <c r="CI1429" s="1" t="s">
        <v>102</v>
      </c>
    </row>
    <row r="1430" spans="1:87">
      <c r="A1430" t="s">
        <v>1718</v>
      </c>
      <c r="B1430">
        <v>996</v>
      </c>
      <c r="C1430" t="s">
        <v>650</v>
      </c>
      <c r="D1430" t="s">
        <v>261</v>
      </c>
      <c r="E1430" t="s">
        <v>629</v>
      </c>
      <c r="F1430" t="s">
        <v>635</v>
      </c>
      <c r="G1430" t="s">
        <v>651</v>
      </c>
      <c r="L1430">
        <v>12</v>
      </c>
      <c r="N1430">
        <v>96</v>
      </c>
      <c r="P1430">
        <v>156</v>
      </c>
      <c r="R1430">
        <v>216</v>
      </c>
      <c r="T1430">
        <v>204</v>
      </c>
      <c r="V1430">
        <v>144</v>
      </c>
      <c r="X1430">
        <v>96</v>
      </c>
      <c r="Z1430">
        <v>48</v>
      </c>
      <c r="AB1430">
        <v>24</v>
      </c>
      <c r="CH1430" t="str">
        <f t="shared" si="22"/>
        <v>D-0310</v>
      </c>
      <c r="CI1430" s="1" t="s">
        <v>102</v>
      </c>
    </row>
    <row r="1431" spans="1:87">
      <c r="A1431" t="s">
        <v>1719</v>
      </c>
      <c r="B1431">
        <v>132</v>
      </c>
      <c r="C1431" t="s">
        <v>650</v>
      </c>
      <c r="D1431" t="s">
        <v>261</v>
      </c>
      <c r="E1431" t="s">
        <v>629</v>
      </c>
      <c r="F1431" t="s">
        <v>635</v>
      </c>
      <c r="G1431" t="s">
        <v>651</v>
      </c>
      <c r="N1431">
        <v>12</v>
      </c>
      <c r="P1431">
        <v>24</v>
      </c>
      <c r="R1431">
        <v>36</v>
      </c>
      <c r="T1431">
        <v>36</v>
      </c>
      <c r="V1431">
        <v>12</v>
      </c>
      <c r="X1431">
        <v>12</v>
      </c>
      <c r="CH1431" t="str">
        <f t="shared" si="22"/>
        <v>D-0310</v>
      </c>
      <c r="CI1431" s="1" t="s">
        <v>102</v>
      </c>
    </row>
    <row r="1432" spans="1:87">
      <c r="A1432" t="s">
        <v>1720</v>
      </c>
      <c r="B1432">
        <v>120</v>
      </c>
      <c r="C1432" t="s">
        <v>650</v>
      </c>
      <c r="D1432" t="s">
        <v>261</v>
      </c>
      <c r="E1432" t="s">
        <v>629</v>
      </c>
      <c r="F1432" t="s">
        <v>635</v>
      </c>
      <c r="G1432" t="s">
        <v>651</v>
      </c>
      <c r="M1432">
        <v>12</v>
      </c>
      <c r="O1432">
        <v>36</v>
      </c>
      <c r="Q1432">
        <v>36</v>
      </c>
      <c r="R1432">
        <v>24</v>
      </c>
      <c r="T1432">
        <v>12</v>
      </c>
      <c r="CH1432" t="str">
        <f t="shared" si="22"/>
        <v>D-0310</v>
      </c>
      <c r="CI1432" s="1" t="s">
        <v>102</v>
      </c>
    </row>
    <row r="1433" spans="1:87">
      <c r="A1433" t="s">
        <v>1721</v>
      </c>
      <c r="B1433">
        <v>612</v>
      </c>
      <c r="C1433" t="s">
        <v>650</v>
      </c>
      <c r="D1433" t="s">
        <v>261</v>
      </c>
      <c r="E1433" t="s">
        <v>629</v>
      </c>
      <c r="F1433" t="s">
        <v>635</v>
      </c>
      <c r="G1433" t="s">
        <v>651</v>
      </c>
      <c r="M1433">
        <v>68</v>
      </c>
      <c r="O1433">
        <v>136</v>
      </c>
      <c r="Q1433">
        <v>136</v>
      </c>
      <c r="R1433">
        <v>136</v>
      </c>
      <c r="T1433">
        <v>136</v>
      </c>
      <c r="CH1433" t="str">
        <f t="shared" si="22"/>
        <v>D-0310</v>
      </c>
      <c r="CI1433" s="1" t="s">
        <v>102</v>
      </c>
    </row>
    <row r="1434" spans="1:87">
      <c r="A1434" t="s">
        <v>1722</v>
      </c>
      <c r="B1434">
        <v>396</v>
      </c>
      <c r="C1434" t="s">
        <v>650</v>
      </c>
      <c r="D1434" t="s">
        <v>261</v>
      </c>
      <c r="E1434" t="s">
        <v>629</v>
      </c>
      <c r="F1434" t="s">
        <v>635</v>
      </c>
      <c r="G1434" t="s">
        <v>651</v>
      </c>
      <c r="M1434">
        <v>44</v>
      </c>
      <c r="O1434">
        <v>88</v>
      </c>
      <c r="Q1434">
        <v>88</v>
      </c>
      <c r="R1434">
        <v>88</v>
      </c>
      <c r="T1434">
        <v>88</v>
      </c>
      <c r="CH1434" t="str">
        <f t="shared" si="22"/>
        <v>D-0310</v>
      </c>
      <c r="CI1434" s="1" t="s">
        <v>102</v>
      </c>
    </row>
    <row r="1435" spans="1:87">
      <c r="A1435" t="s">
        <v>1723</v>
      </c>
      <c r="B1435">
        <v>384</v>
      </c>
      <c r="C1435" t="s">
        <v>650</v>
      </c>
      <c r="D1435" t="s">
        <v>261</v>
      </c>
      <c r="E1435" t="s">
        <v>629</v>
      </c>
      <c r="F1435" t="s">
        <v>635</v>
      </c>
      <c r="G1435" t="s">
        <v>651</v>
      </c>
      <c r="L1435">
        <v>24</v>
      </c>
      <c r="N1435">
        <v>48</v>
      </c>
      <c r="P1435">
        <v>72</v>
      </c>
      <c r="R1435">
        <v>108</v>
      </c>
      <c r="T1435">
        <v>72</v>
      </c>
      <c r="V1435">
        <v>60</v>
      </c>
      <c r="CH1435" t="str">
        <f t="shared" si="22"/>
        <v>D-0310</v>
      </c>
      <c r="CI1435" s="1" t="s">
        <v>102</v>
      </c>
    </row>
    <row r="1436" spans="1:87">
      <c r="A1436" t="s">
        <v>1724</v>
      </c>
      <c r="B1436">
        <v>492</v>
      </c>
      <c r="C1436" t="s">
        <v>650</v>
      </c>
      <c r="D1436" t="s">
        <v>261</v>
      </c>
      <c r="E1436" t="s">
        <v>629</v>
      </c>
      <c r="F1436" t="s">
        <v>635</v>
      </c>
      <c r="G1436" t="s">
        <v>651</v>
      </c>
      <c r="L1436">
        <v>36</v>
      </c>
      <c r="N1436">
        <v>72</v>
      </c>
      <c r="P1436">
        <v>132</v>
      </c>
      <c r="R1436">
        <v>144</v>
      </c>
      <c r="T1436">
        <v>72</v>
      </c>
      <c r="V1436">
        <v>36</v>
      </c>
      <c r="CH1436" t="str">
        <f t="shared" si="22"/>
        <v>D-0310</v>
      </c>
      <c r="CI1436" s="1" t="s">
        <v>102</v>
      </c>
    </row>
    <row r="1437" spans="1:87">
      <c r="A1437" t="s">
        <v>1725</v>
      </c>
      <c r="B1437">
        <v>648</v>
      </c>
      <c r="C1437" t="s">
        <v>650</v>
      </c>
      <c r="D1437" t="s">
        <v>261</v>
      </c>
      <c r="E1437" t="s">
        <v>629</v>
      </c>
      <c r="F1437" t="s">
        <v>635</v>
      </c>
      <c r="G1437" t="s">
        <v>651</v>
      </c>
      <c r="N1437">
        <v>48</v>
      </c>
      <c r="O1437">
        <v>24</v>
      </c>
      <c r="P1437">
        <v>84</v>
      </c>
      <c r="Q1437">
        <v>72</v>
      </c>
      <c r="R1437">
        <v>96</v>
      </c>
      <c r="S1437">
        <v>72</v>
      </c>
      <c r="T1437">
        <v>96</v>
      </c>
      <c r="U1437">
        <v>72</v>
      </c>
      <c r="V1437">
        <v>48</v>
      </c>
      <c r="W1437">
        <v>36</v>
      </c>
      <c r="CH1437" t="str">
        <f t="shared" si="22"/>
        <v>D-0310</v>
      </c>
      <c r="CI1437" s="1" t="s">
        <v>102</v>
      </c>
    </row>
    <row r="1438" spans="1:87">
      <c r="A1438" t="s">
        <v>1726</v>
      </c>
      <c r="B1438">
        <v>648</v>
      </c>
      <c r="C1438" t="s">
        <v>650</v>
      </c>
      <c r="D1438" t="s">
        <v>261</v>
      </c>
      <c r="E1438" t="s">
        <v>629</v>
      </c>
      <c r="F1438" t="s">
        <v>635</v>
      </c>
      <c r="G1438" t="s">
        <v>651</v>
      </c>
      <c r="N1438">
        <v>48</v>
      </c>
      <c r="O1438">
        <v>24</v>
      </c>
      <c r="P1438">
        <v>84</v>
      </c>
      <c r="Q1438">
        <v>72</v>
      </c>
      <c r="R1438">
        <v>96</v>
      </c>
      <c r="S1438">
        <v>72</v>
      </c>
      <c r="T1438">
        <v>96</v>
      </c>
      <c r="U1438">
        <v>72</v>
      </c>
      <c r="V1438">
        <v>48</v>
      </c>
      <c r="W1438">
        <v>36</v>
      </c>
      <c r="CH1438" t="str">
        <f t="shared" si="22"/>
        <v>D-0310</v>
      </c>
      <c r="CI1438" s="1" t="s">
        <v>102</v>
      </c>
    </row>
    <row r="1439" spans="1:87">
      <c r="A1439" t="s">
        <v>1727</v>
      </c>
      <c r="B1439">
        <v>792</v>
      </c>
      <c r="C1439" t="s">
        <v>650</v>
      </c>
      <c r="D1439" t="s">
        <v>261</v>
      </c>
      <c r="E1439" t="s">
        <v>629</v>
      </c>
      <c r="F1439" t="s">
        <v>635</v>
      </c>
      <c r="G1439" t="s">
        <v>651</v>
      </c>
      <c r="N1439">
        <v>48</v>
      </c>
      <c r="O1439">
        <v>24</v>
      </c>
      <c r="P1439">
        <v>96</v>
      </c>
      <c r="Q1439">
        <v>96</v>
      </c>
      <c r="R1439">
        <v>108</v>
      </c>
      <c r="S1439">
        <v>84</v>
      </c>
      <c r="T1439">
        <v>132</v>
      </c>
      <c r="U1439">
        <v>96</v>
      </c>
      <c r="V1439">
        <v>60</v>
      </c>
      <c r="W1439">
        <v>48</v>
      </c>
      <c r="CH1439" t="str">
        <f t="shared" si="22"/>
        <v>D-0310</v>
      </c>
      <c r="CI1439" s="1" t="s">
        <v>102</v>
      </c>
    </row>
    <row r="1440" spans="1:87">
      <c r="A1440" t="s">
        <v>1763</v>
      </c>
      <c r="B1440">
        <v>390</v>
      </c>
      <c r="C1440" t="s">
        <v>1746</v>
      </c>
      <c r="D1440" t="s">
        <v>410</v>
      </c>
      <c r="E1440" t="s">
        <v>629</v>
      </c>
      <c r="F1440" t="s">
        <v>652</v>
      </c>
      <c r="G1440" t="s">
        <v>1742</v>
      </c>
      <c r="W1440">
        <v>65</v>
      </c>
      <c r="Y1440">
        <v>65</v>
      </c>
      <c r="AA1440">
        <v>65</v>
      </c>
      <c r="AC1440">
        <v>65</v>
      </c>
      <c r="AE1440">
        <v>65</v>
      </c>
      <c r="AG1440">
        <v>65</v>
      </c>
      <c r="CH1440" t="str">
        <f t="shared" si="22"/>
        <v>D-0591</v>
      </c>
      <c r="CI1440" s="1" t="s">
        <v>102</v>
      </c>
    </row>
    <row r="1441" spans="1:87">
      <c r="A1441" t="s">
        <v>1769</v>
      </c>
      <c r="B1441">
        <v>216</v>
      </c>
      <c r="C1441" t="s">
        <v>1746</v>
      </c>
      <c r="D1441" t="s">
        <v>410</v>
      </c>
      <c r="E1441" t="s">
        <v>629</v>
      </c>
      <c r="F1441" t="s">
        <v>652</v>
      </c>
      <c r="G1441" t="s">
        <v>1742</v>
      </c>
      <c r="M1441">
        <v>24</v>
      </c>
      <c r="N1441">
        <v>12</v>
      </c>
      <c r="S1441">
        <v>12</v>
      </c>
      <c r="U1441">
        <v>12</v>
      </c>
      <c r="V1441">
        <v>12</v>
      </c>
      <c r="W1441">
        <v>12</v>
      </c>
      <c r="X1441">
        <v>12</v>
      </c>
      <c r="Y1441">
        <v>24</v>
      </c>
      <c r="Z1441">
        <v>12</v>
      </c>
      <c r="AA1441">
        <v>12</v>
      </c>
      <c r="AB1441">
        <v>12</v>
      </c>
      <c r="AC1441">
        <v>24</v>
      </c>
      <c r="AD1441">
        <v>12</v>
      </c>
      <c r="AE1441">
        <v>12</v>
      </c>
      <c r="AG1441">
        <v>12</v>
      </c>
      <c r="CH1441" t="str">
        <f t="shared" si="22"/>
        <v>D-0591</v>
      </c>
      <c r="CI1441" s="1" t="s">
        <v>102</v>
      </c>
    </row>
    <row r="1442" spans="1:87">
      <c r="A1442" t="s">
        <v>1801</v>
      </c>
      <c r="B1442">
        <v>196</v>
      </c>
      <c r="C1442" t="s">
        <v>1746</v>
      </c>
      <c r="D1442" t="s">
        <v>410</v>
      </c>
      <c r="E1442" t="s">
        <v>629</v>
      </c>
      <c r="F1442" t="s">
        <v>652</v>
      </c>
      <c r="G1442" t="s">
        <v>1742</v>
      </c>
      <c r="M1442">
        <v>2</v>
      </c>
      <c r="N1442">
        <v>10</v>
      </c>
      <c r="O1442">
        <v>2</v>
      </c>
      <c r="P1442">
        <v>14</v>
      </c>
      <c r="Q1442">
        <v>3</v>
      </c>
      <c r="R1442">
        <v>19</v>
      </c>
      <c r="S1442">
        <v>19</v>
      </c>
      <c r="T1442">
        <v>3</v>
      </c>
      <c r="U1442">
        <v>16</v>
      </c>
      <c r="V1442">
        <v>14</v>
      </c>
      <c r="W1442">
        <v>3</v>
      </c>
      <c r="X1442">
        <v>16</v>
      </c>
      <c r="Y1442">
        <v>5</v>
      </c>
      <c r="Z1442">
        <v>23</v>
      </c>
      <c r="AA1442">
        <v>23</v>
      </c>
      <c r="AB1442">
        <v>4</v>
      </c>
      <c r="AC1442">
        <v>12</v>
      </c>
      <c r="AD1442">
        <v>5</v>
      </c>
      <c r="AE1442">
        <v>2</v>
      </c>
      <c r="AG1442">
        <v>1</v>
      </c>
      <c r="CH1442" t="str">
        <f t="shared" si="22"/>
        <v>D-0591</v>
      </c>
      <c r="CI1442" s="1" t="s">
        <v>102</v>
      </c>
    </row>
    <row r="1443" spans="1:87">
      <c r="A1443" t="s">
        <v>1818</v>
      </c>
      <c r="B1443">
        <v>24</v>
      </c>
      <c r="C1443" t="s">
        <v>1746</v>
      </c>
      <c r="D1443" t="s">
        <v>410</v>
      </c>
      <c r="E1443" t="s">
        <v>629</v>
      </c>
      <c r="F1443" t="s">
        <v>652</v>
      </c>
      <c r="G1443" t="s">
        <v>1742</v>
      </c>
      <c r="S1443">
        <v>2</v>
      </c>
      <c r="U1443">
        <v>2</v>
      </c>
      <c r="V1443">
        <v>2</v>
      </c>
      <c r="X1443">
        <v>4</v>
      </c>
      <c r="Y1443">
        <v>4</v>
      </c>
      <c r="Z1443">
        <v>4</v>
      </c>
      <c r="AA1443">
        <v>4</v>
      </c>
      <c r="AC1443">
        <v>2</v>
      </c>
      <c r="CH1443" t="str">
        <f t="shared" si="22"/>
        <v>D-0591</v>
      </c>
      <c r="CI1443" s="1" t="s">
        <v>102</v>
      </c>
    </row>
    <row r="1444" spans="1:87">
      <c r="A1444" t="s">
        <v>1823</v>
      </c>
      <c r="B1444">
        <v>32</v>
      </c>
      <c r="C1444" t="s">
        <v>1746</v>
      </c>
      <c r="D1444" t="s">
        <v>410</v>
      </c>
      <c r="E1444" t="s">
        <v>629</v>
      </c>
      <c r="F1444" t="s">
        <v>652</v>
      </c>
      <c r="G1444" t="s">
        <v>1742</v>
      </c>
      <c r="V1444">
        <v>4</v>
      </c>
      <c r="X1444">
        <v>8</v>
      </c>
      <c r="Z1444">
        <v>8</v>
      </c>
      <c r="AA1444">
        <v>8</v>
      </c>
      <c r="AC1444">
        <v>4</v>
      </c>
      <c r="CH1444" t="str">
        <f t="shared" si="22"/>
        <v>D-0591</v>
      </c>
      <c r="CI1444" s="1" t="s">
        <v>102</v>
      </c>
    </row>
    <row r="1445" spans="1:87">
      <c r="A1445" t="s">
        <v>1826</v>
      </c>
      <c r="B1445">
        <v>48</v>
      </c>
      <c r="C1445" t="s">
        <v>1746</v>
      </c>
      <c r="D1445" t="s">
        <v>410</v>
      </c>
      <c r="E1445" t="s">
        <v>629</v>
      </c>
      <c r="F1445" t="s">
        <v>652</v>
      </c>
      <c r="G1445" t="s">
        <v>1742</v>
      </c>
      <c r="U1445">
        <v>4</v>
      </c>
      <c r="V1445">
        <v>6</v>
      </c>
      <c r="X1445">
        <v>10</v>
      </c>
      <c r="Y1445">
        <v>4</v>
      </c>
      <c r="Z1445">
        <v>11</v>
      </c>
      <c r="AA1445">
        <v>7</v>
      </c>
      <c r="AC1445">
        <v>4</v>
      </c>
      <c r="AD1445">
        <v>2</v>
      </c>
      <c r="CH1445" t="str">
        <f t="shared" si="22"/>
        <v>D-0591</v>
      </c>
      <c r="CI1445" s="1" t="s">
        <v>102</v>
      </c>
    </row>
    <row r="1446" spans="1:87">
      <c r="A1446" t="s">
        <v>1827</v>
      </c>
      <c r="B1446">
        <v>111</v>
      </c>
      <c r="C1446" t="s">
        <v>1746</v>
      </c>
      <c r="D1446" t="s">
        <v>410</v>
      </c>
      <c r="E1446" t="s">
        <v>629</v>
      </c>
      <c r="F1446" t="s">
        <v>652</v>
      </c>
      <c r="G1446" t="s">
        <v>1742</v>
      </c>
      <c r="N1446">
        <v>7</v>
      </c>
      <c r="P1446">
        <v>12</v>
      </c>
      <c r="R1446">
        <v>17</v>
      </c>
      <c r="S1446">
        <v>15</v>
      </c>
      <c r="U1446">
        <v>13</v>
      </c>
      <c r="V1446">
        <v>10</v>
      </c>
      <c r="X1446">
        <v>10</v>
      </c>
      <c r="Z1446">
        <v>11</v>
      </c>
      <c r="AA1446">
        <v>9</v>
      </c>
      <c r="AC1446">
        <v>7</v>
      </c>
      <c r="CH1446" t="str">
        <f t="shared" si="22"/>
        <v>D-0591</v>
      </c>
      <c r="CI1446" s="1" t="s">
        <v>102</v>
      </c>
    </row>
    <row r="1447" spans="1:87">
      <c r="A1447" t="s">
        <v>1828</v>
      </c>
      <c r="B1447">
        <v>48</v>
      </c>
      <c r="C1447" t="s">
        <v>1746</v>
      </c>
      <c r="D1447" t="s">
        <v>410</v>
      </c>
      <c r="E1447" t="s">
        <v>629</v>
      </c>
      <c r="F1447" t="s">
        <v>652</v>
      </c>
      <c r="G1447" t="s">
        <v>1742</v>
      </c>
      <c r="U1447">
        <v>4</v>
      </c>
      <c r="V1447">
        <v>6</v>
      </c>
      <c r="X1447">
        <v>9</v>
      </c>
      <c r="Y1447">
        <v>4</v>
      </c>
      <c r="Z1447">
        <v>12</v>
      </c>
      <c r="AA1447">
        <v>7</v>
      </c>
      <c r="AC1447">
        <v>4</v>
      </c>
      <c r="AD1447">
        <v>2</v>
      </c>
      <c r="CH1447" t="str">
        <f t="shared" si="22"/>
        <v>D-0591</v>
      </c>
      <c r="CI1447" s="1" t="s">
        <v>102</v>
      </c>
    </row>
    <row r="1448" spans="1:87">
      <c r="A1448" t="s">
        <v>1831</v>
      </c>
      <c r="B1448">
        <v>188</v>
      </c>
      <c r="C1448" t="s">
        <v>1746</v>
      </c>
      <c r="D1448" t="s">
        <v>410</v>
      </c>
      <c r="E1448" t="s">
        <v>629</v>
      </c>
      <c r="F1448" t="s">
        <v>652</v>
      </c>
      <c r="G1448" t="s">
        <v>1742</v>
      </c>
      <c r="M1448">
        <v>1</v>
      </c>
      <c r="O1448">
        <v>8</v>
      </c>
      <c r="Q1448">
        <v>16</v>
      </c>
      <c r="S1448">
        <v>21</v>
      </c>
      <c r="U1448">
        <v>24</v>
      </c>
      <c r="W1448">
        <v>31</v>
      </c>
      <c r="Y1448">
        <v>33</v>
      </c>
      <c r="AA1448">
        <v>28</v>
      </c>
      <c r="AC1448">
        <v>17</v>
      </c>
      <c r="AE1448">
        <v>7</v>
      </c>
      <c r="AG1448">
        <v>2</v>
      </c>
      <c r="CH1448" t="str">
        <f t="shared" si="22"/>
        <v>D-0591</v>
      </c>
      <c r="CI1448" s="1" t="s">
        <v>102</v>
      </c>
    </row>
    <row r="1449" spans="1:87">
      <c r="A1449" t="s">
        <v>1837</v>
      </c>
      <c r="B1449">
        <v>588</v>
      </c>
      <c r="C1449" t="s">
        <v>1746</v>
      </c>
      <c r="D1449" t="s">
        <v>410</v>
      </c>
      <c r="E1449" t="s">
        <v>629</v>
      </c>
      <c r="F1449" t="s">
        <v>652</v>
      </c>
      <c r="G1449" t="s">
        <v>1742</v>
      </c>
      <c r="O1449">
        <v>3</v>
      </c>
      <c r="Q1449">
        <v>9</v>
      </c>
      <c r="S1449">
        <v>12</v>
      </c>
      <c r="U1449">
        <v>30</v>
      </c>
      <c r="W1449">
        <v>66</v>
      </c>
      <c r="Y1449">
        <v>132</v>
      </c>
      <c r="AA1449">
        <v>144</v>
      </c>
      <c r="AC1449">
        <v>102</v>
      </c>
      <c r="AE1449">
        <v>69</v>
      </c>
      <c r="AG1449">
        <v>21</v>
      </c>
      <c r="CH1449" t="str">
        <f t="shared" si="22"/>
        <v>D-0591</v>
      </c>
      <c r="CI1449" s="1" t="s">
        <v>102</v>
      </c>
    </row>
    <row r="1450" spans="1:87">
      <c r="A1450" t="s">
        <v>1838</v>
      </c>
      <c r="B1450">
        <v>81</v>
      </c>
      <c r="C1450" t="s">
        <v>1746</v>
      </c>
      <c r="D1450" t="s">
        <v>410</v>
      </c>
      <c r="E1450" t="s">
        <v>629</v>
      </c>
      <c r="F1450" t="s">
        <v>652</v>
      </c>
      <c r="G1450" t="s">
        <v>1742</v>
      </c>
      <c r="Q1450">
        <v>1</v>
      </c>
      <c r="S1450">
        <v>3</v>
      </c>
      <c r="U1450">
        <v>3</v>
      </c>
      <c r="W1450">
        <v>8</v>
      </c>
      <c r="Y1450">
        <v>19</v>
      </c>
      <c r="AA1450">
        <v>19</v>
      </c>
      <c r="AC1450">
        <v>12</v>
      </c>
      <c r="AE1450">
        <v>11</v>
      </c>
      <c r="AG1450">
        <v>5</v>
      </c>
      <c r="CH1450" t="str">
        <f t="shared" si="22"/>
        <v>D-0591</v>
      </c>
      <c r="CI1450" s="1" t="s">
        <v>102</v>
      </c>
    </row>
    <row r="1451" spans="1:87">
      <c r="A1451" t="s">
        <v>1841</v>
      </c>
      <c r="B1451">
        <v>26</v>
      </c>
      <c r="C1451" t="s">
        <v>1746</v>
      </c>
      <c r="D1451" t="s">
        <v>410</v>
      </c>
      <c r="E1451" t="s">
        <v>629</v>
      </c>
      <c r="F1451" t="s">
        <v>652</v>
      </c>
      <c r="G1451" t="s">
        <v>1742</v>
      </c>
      <c r="Q1451">
        <v>1</v>
      </c>
      <c r="S1451">
        <v>3</v>
      </c>
      <c r="U1451">
        <v>4</v>
      </c>
      <c r="W1451">
        <v>4</v>
      </c>
      <c r="Y1451">
        <v>5</v>
      </c>
      <c r="AA1451">
        <v>5</v>
      </c>
      <c r="AC1451">
        <v>3</v>
      </c>
      <c r="AE1451">
        <v>1</v>
      </c>
      <c r="CH1451" t="str">
        <f t="shared" si="22"/>
        <v>D-0591</v>
      </c>
      <c r="CI1451" s="1" t="s">
        <v>102</v>
      </c>
    </row>
    <row r="1452" spans="1:87">
      <c r="A1452" t="s">
        <v>1851</v>
      </c>
      <c r="B1452">
        <v>264</v>
      </c>
      <c r="C1452" t="s">
        <v>1746</v>
      </c>
      <c r="D1452" t="s">
        <v>410</v>
      </c>
      <c r="E1452" t="s">
        <v>629</v>
      </c>
      <c r="F1452" t="s">
        <v>652</v>
      </c>
      <c r="G1452" t="s">
        <v>1742</v>
      </c>
      <c r="T1452">
        <v>12</v>
      </c>
      <c r="U1452">
        <v>24</v>
      </c>
      <c r="V1452">
        <v>36</v>
      </c>
      <c r="W1452">
        <v>36</v>
      </c>
      <c r="X1452">
        <v>48</v>
      </c>
      <c r="Y1452">
        <v>36</v>
      </c>
      <c r="Z1452">
        <v>24</v>
      </c>
      <c r="AA1452">
        <v>12</v>
      </c>
      <c r="AB1452">
        <v>12</v>
      </c>
      <c r="AC1452">
        <v>12</v>
      </c>
      <c r="AD1452">
        <v>12</v>
      </c>
      <c r="CH1452" t="str">
        <f t="shared" si="22"/>
        <v>D-0591</v>
      </c>
      <c r="CI1452" s="1" t="s">
        <v>102</v>
      </c>
    </row>
    <row r="1453" spans="1:87">
      <c r="A1453" t="s">
        <v>1864</v>
      </c>
      <c r="B1453">
        <v>180</v>
      </c>
      <c r="C1453" t="s">
        <v>1746</v>
      </c>
      <c r="D1453" t="s">
        <v>410</v>
      </c>
      <c r="E1453" t="s">
        <v>629</v>
      </c>
      <c r="F1453" t="s">
        <v>652</v>
      </c>
      <c r="G1453" t="s">
        <v>1742</v>
      </c>
      <c r="U1453">
        <v>15</v>
      </c>
      <c r="V1453">
        <v>30</v>
      </c>
      <c r="W1453">
        <v>30</v>
      </c>
      <c r="X1453">
        <v>30</v>
      </c>
      <c r="Y1453">
        <v>30</v>
      </c>
      <c r="Z1453">
        <v>15</v>
      </c>
      <c r="AA1453">
        <v>15</v>
      </c>
      <c r="AB1453">
        <v>15</v>
      </c>
      <c r="CH1453" t="str">
        <f t="shared" si="22"/>
        <v>D-0591</v>
      </c>
      <c r="CI1453" s="1" t="s">
        <v>102</v>
      </c>
    </row>
    <row r="1454" spans="1:87">
      <c r="A1454" t="s">
        <v>1867</v>
      </c>
      <c r="B1454">
        <v>228</v>
      </c>
      <c r="C1454" t="s">
        <v>1746</v>
      </c>
      <c r="D1454" t="s">
        <v>410</v>
      </c>
      <c r="E1454" t="s">
        <v>629</v>
      </c>
      <c r="F1454" t="s">
        <v>652</v>
      </c>
      <c r="G1454" t="s">
        <v>1742</v>
      </c>
      <c r="U1454">
        <v>19</v>
      </c>
      <c r="V1454">
        <v>38</v>
      </c>
      <c r="W1454">
        <v>38</v>
      </c>
      <c r="X1454">
        <v>38</v>
      </c>
      <c r="Y1454">
        <v>38</v>
      </c>
      <c r="Z1454">
        <v>19</v>
      </c>
      <c r="AA1454">
        <v>19</v>
      </c>
      <c r="AB1454">
        <v>19</v>
      </c>
      <c r="CH1454" t="str">
        <f t="shared" si="22"/>
        <v>D-0591</v>
      </c>
      <c r="CI1454" s="1" t="s">
        <v>102</v>
      </c>
    </row>
    <row r="1455" spans="1:87">
      <c r="A1455" t="s">
        <v>1891</v>
      </c>
      <c r="B1455">
        <v>34</v>
      </c>
      <c r="C1455" t="s">
        <v>1746</v>
      </c>
      <c r="D1455" t="s">
        <v>410</v>
      </c>
      <c r="E1455" t="s">
        <v>629</v>
      </c>
      <c r="F1455" t="s">
        <v>652</v>
      </c>
      <c r="G1455" t="s">
        <v>1742</v>
      </c>
      <c r="W1455">
        <v>6</v>
      </c>
      <c r="X1455">
        <v>6</v>
      </c>
      <c r="Y1455">
        <v>6</v>
      </c>
      <c r="Z1455">
        <v>6</v>
      </c>
      <c r="AA1455">
        <v>6</v>
      </c>
      <c r="AC1455">
        <v>4</v>
      </c>
      <c r="CH1455" t="str">
        <f t="shared" si="22"/>
        <v>D-0591</v>
      </c>
      <c r="CI1455" s="1" t="s">
        <v>102</v>
      </c>
    </row>
    <row r="1456" spans="1:87">
      <c r="A1456" t="s">
        <v>1903</v>
      </c>
      <c r="B1456">
        <v>313</v>
      </c>
      <c r="C1456" t="s">
        <v>1746</v>
      </c>
      <c r="D1456" t="s">
        <v>410</v>
      </c>
      <c r="E1456" t="s">
        <v>629</v>
      </c>
      <c r="F1456" t="s">
        <v>652</v>
      </c>
      <c r="G1456" t="s">
        <v>1742</v>
      </c>
      <c r="Q1456">
        <v>12</v>
      </c>
      <c r="S1456">
        <v>24</v>
      </c>
      <c r="U1456">
        <v>45</v>
      </c>
      <c r="W1456">
        <v>92</v>
      </c>
      <c r="Y1456">
        <v>80</v>
      </c>
      <c r="AA1456">
        <v>39</v>
      </c>
      <c r="AC1456">
        <v>21</v>
      </c>
      <c r="CH1456" t="str">
        <f t="shared" si="22"/>
        <v>D-0591</v>
      </c>
      <c r="CI1456" s="1" t="s">
        <v>102</v>
      </c>
    </row>
    <row r="1457" spans="1:87">
      <c r="A1457" t="s">
        <v>1908</v>
      </c>
      <c r="B1457">
        <v>2808</v>
      </c>
      <c r="C1457" t="s">
        <v>1746</v>
      </c>
      <c r="D1457" t="s">
        <v>410</v>
      </c>
      <c r="E1457" t="s">
        <v>629</v>
      </c>
      <c r="F1457" t="s">
        <v>652</v>
      </c>
      <c r="G1457" t="s">
        <v>1742</v>
      </c>
      <c r="M1457">
        <v>36</v>
      </c>
      <c r="N1457">
        <v>96</v>
      </c>
      <c r="O1457">
        <v>120</v>
      </c>
      <c r="P1457">
        <v>276</v>
      </c>
      <c r="Q1457">
        <v>204</v>
      </c>
      <c r="R1457">
        <v>276</v>
      </c>
      <c r="S1457">
        <v>192</v>
      </c>
      <c r="T1457">
        <v>60</v>
      </c>
      <c r="U1457">
        <v>264</v>
      </c>
      <c r="V1457">
        <v>324</v>
      </c>
      <c r="W1457">
        <v>108</v>
      </c>
      <c r="X1457">
        <v>360</v>
      </c>
      <c r="Y1457">
        <v>120</v>
      </c>
      <c r="Z1457">
        <v>264</v>
      </c>
      <c r="AA1457">
        <v>72</v>
      </c>
      <c r="AB1457">
        <v>12</v>
      </c>
      <c r="AC1457">
        <v>24</v>
      </c>
      <c r="CH1457" t="str">
        <f t="shared" si="22"/>
        <v>D-0591</v>
      </c>
      <c r="CI1457" s="1" t="s">
        <v>102</v>
      </c>
    </row>
    <row r="1458" spans="1:87">
      <c r="A1458" t="s">
        <v>1909</v>
      </c>
      <c r="B1458">
        <v>3432</v>
      </c>
      <c r="C1458" t="s">
        <v>1746</v>
      </c>
      <c r="D1458" t="s">
        <v>410</v>
      </c>
      <c r="E1458" t="s">
        <v>629</v>
      </c>
      <c r="F1458" t="s">
        <v>652</v>
      </c>
      <c r="G1458" t="s">
        <v>1742</v>
      </c>
      <c r="M1458">
        <v>60</v>
      </c>
      <c r="N1458">
        <v>132</v>
      </c>
      <c r="O1458">
        <v>156</v>
      </c>
      <c r="P1458">
        <v>336</v>
      </c>
      <c r="Q1458">
        <v>240</v>
      </c>
      <c r="R1458">
        <v>348</v>
      </c>
      <c r="S1458">
        <v>216</v>
      </c>
      <c r="T1458">
        <v>84</v>
      </c>
      <c r="U1458">
        <v>312</v>
      </c>
      <c r="V1458">
        <v>408</v>
      </c>
      <c r="W1458">
        <v>144</v>
      </c>
      <c r="X1458">
        <v>420</v>
      </c>
      <c r="Y1458">
        <v>144</v>
      </c>
      <c r="Z1458">
        <v>312</v>
      </c>
      <c r="AA1458">
        <v>84</v>
      </c>
      <c r="AB1458">
        <v>12</v>
      </c>
      <c r="AC1458">
        <v>24</v>
      </c>
      <c r="CH1458" t="str">
        <f t="shared" si="22"/>
        <v>D-0591</v>
      </c>
      <c r="CI1458" s="1" t="s">
        <v>102</v>
      </c>
    </row>
    <row r="1459" spans="1:87">
      <c r="A1459" t="s">
        <v>1912</v>
      </c>
      <c r="B1459">
        <v>1452</v>
      </c>
      <c r="C1459" t="s">
        <v>1746</v>
      </c>
      <c r="D1459" t="s">
        <v>410</v>
      </c>
      <c r="E1459" t="s">
        <v>629</v>
      </c>
      <c r="F1459" t="s">
        <v>652</v>
      </c>
      <c r="G1459" t="s">
        <v>1742</v>
      </c>
      <c r="M1459">
        <v>24</v>
      </c>
      <c r="N1459">
        <v>48</v>
      </c>
      <c r="O1459">
        <v>36</v>
      </c>
      <c r="P1459">
        <v>120</v>
      </c>
      <c r="Q1459">
        <v>84</v>
      </c>
      <c r="R1459">
        <v>120</v>
      </c>
      <c r="S1459">
        <v>72</v>
      </c>
      <c r="T1459">
        <v>24</v>
      </c>
      <c r="U1459">
        <v>144</v>
      </c>
      <c r="V1459">
        <v>192</v>
      </c>
      <c r="W1459">
        <v>84</v>
      </c>
      <c r="X1459">
        <v>216</v>
      </c>
      <c r="Y1459">
        <v>96</v>
      </c>
      <c r="Z1459">
        <v>120</v>
      </c>
      <c r="AA1459">
        <v>36</v>
      </c>
      <c r="AB1459">
        <v>12</v>
      </c>
      <c r="AC1459">
        <v>12</v>
      </c>
      <c r="AD1459">
        <v>12</v>
      </c>
      <c r="CH1459" t="str">
        <f t="shared" si="22"/>
        <v>D-0591</v>
      </c>
      <c r="CI1459" s="1" t="s">
        <v>102</v>
      </c>
    </row>
    <row r="1460" spans="1:87">
      <c r="A1460" t="s">
        <v>1914</v>
      </c>
      <c r="B1460">
        <v>2256</v>
      </c>
      <c r="C1460" t="s">
        <v>1746</v>
      </c>
      <c r="D1460" t="s">
        <v>410</v>
      </c>
      <c r="E1460" t="s">
        <v>629</v>
      </c>
      <c r="F1460" t="s">
        <v>652</v>
      </c>
      <c r="G1460" t="s">
        <v>1742</v>
      </c>
      <c r="M1460">
        <v>36</v>
      </c>
      <c r="N1460">
        <v>108</v>
      </c>
      <c r="O1460">
        <v>96</v>
      </c>
      <c r="P1460">
        <v>216</v>
      </c>
      <c r="Q1460">
        <v>120</v>
      </c>
      <c r="R1460">
        <v>216</v>
      </c>
      <c r="S1460">
        <v>144</v>
      </c>
      <c r="T1460">
        <v>60</v>
      </c>
      <c r="U1460">
        <v>204</v>
      </c>
      <c r="V1460">
        <v>276</v>
      </c>
      <c r="W1460">
        <v>108</v>
      </c>
      <c r="X1460">
        <v>300</v>
      </c>
      <c r="Y1460">
        <v>120</v>
      </c>
      <c r="Z1460">
        <v>168</v>
      </c>
      <c r="AA1460">
        <v>60</v>
      </c>
      <c r="AB1460">
        <v>12</v>
      </c>
      <c r="AC1460">
        <v>12</v>
      </c>
      <c r="CH1460" t="str">
        <f t="shared" si="22"/>
        <v>D-0591</v>
      </c>
      <c r="CI1460" s="1" t="s">
        <v>102</v>
      </c>
    </row>
    <row r="1461" spans="1:87">
      <c r="A1461" t="s">
        <v>1915</v>
      </c>
      <c r="B1461">
        <v>2556</v>
      </c>
      <c r="C1461" t="s">
        <v>1746</v>
      </c>
      <c r="D1461" t="s">
        <v>410</v>
      </c>
      <c r="E1461" t="s">
        <v>629</v>
      </c>
      <c r="F1461" t="s">
        <v>652</v>
      </c>
      <c r="G1461" t="s">
        <v>1742</v>
      </c>
      <c r="M1461">
        <v>36</v>
      </c>
      <c r="N1461">
        <v>108</v>
      </c>
      <c r="O1461">
        <v>120</v>
      </c>
      <c r="P1461">
        <v>252</v>
      </c>
      <c r="Q1461">
        <v>144</v>
      </c>
      <c r="R1461">
        <v>228</v>
      </c>
      <c r="S1461">
        <v>180</v>
      </c>
      <c r="T1461">
        <v>60</v>
      </c>
      <c r="U1461">
        <v>240</v>
      </c>
      <c r="V1461">
        <v>324</v>
      </c>
      <c r="W1461">
        <v>96</v>
      </c>
      <c r="X1461">
        <v>360</v>
      </c>
      <c r="Y1461">
        <v>132</v>
      </c>
      <c r="Z1461">
        <v>204</v>
      </c>
      <c r="AA1461">
        <v>72</v>
      </c>
      <c r="CH1461" t="str">
        <f t="shared" si="22"/>
        <v>D-0591</v>
      </c>
      <c r="CI1461" s="1" t="s">
        <v>102</v>
      </c>
    </row>
    <row r="1462" spans="1:87">
      <c r="A1462" t="s">
        <v>1916</v>
      </c>
      <c r="B1462">
        <v>4428</v>
      </c>
      <c r="C1462" t="s">
        <v>1746</v>
      </c>
      <c r="D1462" t="s">
        <v>410</v>
      </c>
      <c r="E1462" t="s">
        <v>629</v>
      </c>
      <c r="F1462" t="s">
        <v>652</v>
      </c>
      <c r="G1462" t="s">
        <v>1742</v>
      </c>
      <c r="M1462">
        <v>84</v>
      </c>
      <c r="N1462">
        <v>180</v>
      </c>
      <c r="O1462">
        <v>204</v>
      </c>
      <c r="P1462">
        <v>360</v>
      </c>
      <c r="Q1462">
        <v>276</v>
      </c>
      <c r="R1462">
        <v>348</v>
      </c>
      <c r="S1462">
        <v>300</v>
      </c>
      <c r="T1462">
        <v>132</v>
      </c>
      <c r="U1462">
        <v>396</v>
      </c>
      <c r="V1462">
        <v>516</v>
      </c>
      <c r="W1462">
        <v>204</v>
      </c>
      <c r="X1462">
        <v>540</v>
      </c>
      <c r="Y1462">
        <v>240</v>
      </c>
      <c r="Z1462">
        <v>384</v>
      </c>
      <c r="AA1462">
        <v>192</v>
      </c>
      <c r="AB1462">
        <v>36</v>
      </c>
      <c r="AC1462">
        <v>36</v>
      </c>
      <c r="CH1462" t="str">
        <f t="shared" si="22"/>
        <v>D-0591</v>
      </c>
      <c r="CI1462" s="1" t="s">
        <v>102</v>
      </c>
    </row>
    <row r="1463" spans="1:87">
      <c r="A1463" t="s">
        <v>1917</v>
      </c>
      <c r="B1463">
        <v>5436</v>
      </c>
      <c r="C1463" t="s">
        <v>1746</v>
      </c>
      <c r="D1463" t="s">
        <v>410</v>
      </c>
      <c r="E1463" t="s">
        <v>629</v>
      </c>
      <c r="F1463" t="s">
        <v>652</v>
      </c>
      <c r="G1463" t="s">
        <v>1742</v>
      </c>
      <c r="M1463">
        <v>84</v>
      </c>
      <c r="N1463">
        <v>216</v>
      </c>
      <c r="O1463">
        <v>240</v>
      </c>
      <c r="P1463">
        <v>432</v>
      </c>
      <c r="Q1463">
        <v>348</v>
      </c>
      <c r="R1463">
        <v>432</v>
      </c>
      <c r="S1463">
        <v>348</v>
      </c>
      <c r="T1463">
        <v>132</v>
      </c>
      <c r="U1463">
        <v>504</v>
      </c>
      <c r="V1463">
        <v>660</v>
      </c>
      <c r="W1463">
        <v>228</v>
      </c>
      <c r="X1463">
        <v>708</v>
      </c>
      <c r="Y1463">
        <v>288</v>
      </c>
      <c r="Z1463">
        <v>516</v>
      </c>
      <c r="AA1463">
        <v>228</v>
      </c>
      <c r="AB1463">
        <v>24</v>
      </c>
      <c r="AC1463">
        <v>48</v>
      </c>
      <c r="CH1463" t="str">
        <f t="shared" si="22"/>
        <v>D-0591</v>
      </c>
      <c r="CI1463" s="1" t="s">
        <v>102</v>
      </c>
    </row>
    <row r="1464" spans="1:87">
      <c r="A1464" t="s">
        <v>1918</v>
      </c>
      <c r="B1464">
        <v>372</v>
      </c>
      <c r="C1464" t="s">
        <v>1746</v>
      </c>
      <c r="D1464" t="s">
        <v>410</v>
      </c>
      <c r="E1464" t="s">
        <v>629</v>
      </c>
      <c r="F1464" t="s">
        <v>652</v>
      </c>
      <c r="G1464" t="s">
        <v>1742</v>
      </c>
      <c r="M1464">
        <v>12</v>
      </c>
      <c r="N1464">
        <v>12</v>
      </c>
      <c r="O1464">
        <v>36</v>
      </c>
      <c r="P1464">
        <v>12</v>
      </c>
      <c r="Q1464">
        <v>48</v>
      </c>
      <c r="R1464">
        <v>24</v>
      </c>
      <c r="T1464">
        <v>24</v>
      </c>
      <c r="U1464">
        <v>12</v>
      </c>
      <c r="V1464">
        <v>48</v>
      </c>
      <c r="W1464">
        <v>24</v>
      </c>
      <c r="X1464">
        <v>48</v>
      </c>
      <c r="Y1464">
        <v>24</v>
      </c>
      <c r="Z1464">
        <v>24</v>
      </c>
      <c r="AA1464">
        <v>12</v>
      </c>
      <c r="AB1464">
        <v>12</v>
      </c>
      <c r="CH1464" t="str">
        <f t="shared" si="22"/>
        <v>D-0591</v>
      </c>
      <c r="CI1464" s="1" t="s">
        <v>102</v>
      </c>
    </row>
    <row r="1465" spans="1:87">
      <c r="A1465" t="s">
        <v>1920</v>
      </c>
      <c r="B1465">
        <v>432</v>
      </c>
      <c r="C1465" t="s">
        <v>1746</v>
      </c>
      <c r="D1465" t="s">
        <v>410</v>
      </c>
      <c r="E1465" t="s">
        <v>629</v>
      </c>
      <c r="F1465" t="s">
        <v>652</v>
      </c>
      <c r="G1465" t="s">
        <v>1742</v>
      </c>
      <c r="M1465">
        <v>12</v>
      </c>
      <c r="N1465">
        <v>12</v>
      </c>
      <c r="O1465">
        <v>36</v>
      </c>
      <c r="P1465">
        <v>12</v>
      </c>
      <c r="Q1465">
        <v>48</v>
      </c>
      <c r="R1465">
        <v>24</v>
      </c>
      <c r="T1465">
        <v>36</v>
      </c>
      <c r="U1465">
        <v>12</v>
      </c>
      <c r="V1465">
        <v>48</v>
      </c>
      <c r="W1465">
        <v>12</v>
      </c>
      <c r="X1465">
        <v>84</v>
      </c>
      <c r="Y1465">
        <v>24</v>
      </c>
      <c r="Z1465">
        <v>48</v>
      </c>
      <c r="AA1465">
        <v>12</v>
      </c>
      <c r="AB1465">
        <v>12</v>
      </c>
      <c r="CH1465" t="str">
        <f t="shared" si="22"/>
        <v>D-0591</v>
      </c>
      <c r="CI1465" s="1" t="s">
        <v>102</v>
      </c>
    </row>
    <row r="1466" spans="1:87">
      <c r="A1466" t="s">
        <v>1921</v>
      </c>
      <c r="B1466">
        <v>720</v>
      </c>
      <c r="C1466" t="s">
        <v>1746</v>
      </c>
      <c r="D1466" t="s">
        <v>410</v>
      </c>
      <c r="E1466" t="s">
        <v>629</v>
      </c>
      <c r="F1466" t="s">
        <v>652</v>
      </c>
      <c r="G1466" t="s">
        <v>1742</v>
      </c>
      <c r="M1466">
        <v>12</v>
      </c>
      <c r="N1466">
        <v>12</v>
      </c>
      <c r="O1466">
        <v>60</v>
      </c>
      <c r="P1466">
        <v>36</v>
      </c>
      <c r="Q1466">
        <v>108</v>
      </c>
      <c r="R1466">
        <v>36</v>
      </c>
      <c r="T1466">
        <v>72</v>
      </c>
      <c r="U1466">
        <v>12</v>
      </c>
      <c r="V1466">
        <v>96</v>
      </c>
      <c r="W1466">
        <v>24</v>
      </c>
      <c r="X1466">
        <v>120</v>
      </c>
      <c r="Y1466">
        <v>36</v>
      </c>
      <c r="Z1466">
        <v>72</v>
      </c>
      <c r="AA1466">
        <v>12</v>
      </c>
      <c r="AB1466">
        <v>12</v>
      </c>
      <c r="CH1466" t="str">
        <f t="shared" si="22"/>
        <v>D-0591</v>
      </c>
      <c r="CI1466" s="1" t="s">
        <v>102</v>
      </c>
    </row>
    <row r="1467" spans="1:87">
      <c r="A1467" t="s">
        <v>1924</v>
      </c>
      <c r="B1467">
        <v>192</v>
      </c>
      <c r="C1467" t="s">
        <v>1746</v>
      </c>
      <c r="D1467" t="s">
        <v>410</v>
      </c>
      <c r="E1467" t="s">
        <v>629</v>
      </c>
      <c r="F1467" t="s">
        <v>652</v>
      </c>
      <c r="G1467" t="s">
        <v>1742</v>
      </c>
      <c r="O1467">
        <v>12</v>
      </c>
      <c r="P1467">
        <v>12</v>
      </c>
      <c r="Q1467">
        <v>12</v>
      </c>
      <c r="R1467">
        <v>12</v>
      </c>
      <c r="S1467">
        <v>12</v>
      </c>
      <c r="T1467">
        <v>12</v>
      </c>
      <c r="U1467">
        <v>12</v>
      </c>
      <c r="V1467">
        <v>12</v>
      </c>
      <c r="W1467">
        <v>12</v>
      </c>
      <c r="X1467">
        <v>12</v>
      </c>
      <c r="Y1467">
        <v>24</v>
      </c>
      <c r="Z1467">
        <v>24</v>
      </c>
      <c r="AA1467">
        <v>12</v>
      </c>
      <c r="AC1467">
        <v>12</v>
      </c>
      <c r="CH1467" t="str">
        <f t="shared" si="22"/>
        <v>D-0591</v>
      </c>
      <c r="CI1467" s="1" t="s">
        <v>102</v>
      </c>
    </row>
    <row r="1468" spans="1:87">
      <c r="A1468" t="s">
        <v>1925</v>
      </c>
      <c r="B1468">
        <v>312</v>
      </c>
      <c r="C1468" t="s">
        <v>1746</v>
      </c>
      <c r="D1468" t="s">
        <v>410</v>
      </c>
      <c r="E1468" t="s">
        <v>629</v>
      </c>
      <c r="F1468" t="s">
        <v>652</v>
      </c>
      <c r="G1468" t="s">
        <v>1742</v>
      </c>
      <c r="O1468">
        <v>12</v>
      </c>
      <c r="P1468">
        <v>12</v>
      </c>
      <c r="Q1468">
        <v>24</v>
      </c>
      <c r="R1468">
        <v>24</v>
      </c>
      <c r="S1468">
        <v>24</v>
      </c>
      <c r="T1468">
        <v>12</v>
      </c>
      <c r="U1468">
        <v>24</v>
      </c>
      <c r="V1468">
        <v>24</v>
      </c>
      <c r="W1468">
        <v>24</v>
      </c>
      <c r="X1468">
        <v>36</v>
      </c>
      <c r="Y1468">
        <v>36</v>
      </c>
      <c r="Z1468">
        <v>24</v>
      </c>
      <c r="AA1468">
        <v>24</v>
      </c>
      <c r="AB1468">
        <v>12</v>
      </c>
      <c r="CH1468" t="str">
        <f t="shared" si="22"/>
        <v>D-0591</v>
      </c>
      <c r="CI1468" s="1" t="s">
        <v>102</v>
      </c>
    </row>
    <row r="1469" spans="1:87">
      <c r="A1469" t="s">
        <v>1926</v>
      </c>
      <c r="B1469">
        <v>960</v>
      </c>
      <c r="C1469" t="s">
        <v>1746</v>
      </c>
      <c r="D1469" t="s">
        <v>410</v>
      </c>
      <c r="E1469" t="s">
        <v>629</v>
      </c>
      <c r="F1469" t="s">
        <v>652</v>
      </c>
      <c r="G1469" t="s">
        <v>1742</v>
      </c>
      <c r="W1469">
        <v>160</v>
      </c>
      <c r="Y1469">
        <v>160</v>
      </c>
      <c r="AA1469">
        <v>320</v>
      </c>
      <c r="AC1469">
        <v>160</v>
      </c>
      <c r="AE1469">
        <v>160</v>
      </c>
      <c r="CH1469" t="str">
        <f t="shared" si="22"/>
        <v>D-0591</v>
      </c>
      <c r="CI1469" s="1" t="s">
        <v>102</v>
      </c>
    </row>
    <row r="1470" spans="1:87">
      <c r="A1470" t="s">
        <v>1927</v>
      </c>
      <c r="B1470">
        <v>840</v>
      </c>
      <c r="C1470" t="s">
        <v>1746</v>
      </c>
      <c r="D1470" t="s">
        <v>410</v>
      </c>
      <c r="E1470" t="s">
        <v>629</v>
      </c>
      <c r="F1470" t="s">
        <v>652</v>
      </c>
      <c r="G1470" t="s">
        <v>1742</v>
      </c>
      <c r="W1470">
        <v>180</v>
      </c>
      <c r="Y1470">
        <v>300</v>
      </c>
      <c r="AA1470">
        <v>144</v>
      </c>
      <c r="AC1470">
        <v>156</v>
      </c>
      <c r="AE1470">
        <v>12</v>
      </c>
      <c r="AG1470">
        <v>48</v>
      </c>
      <c r="CH1470" t="str">
        <f t="shared" si="22"/>
        <v>D-0591</v>
      </c>
      <c r="CI1470" s="1" t="s">
        <v>102</v>
      </c>
    </row>
    <row r="1471" spans="1:87">
      <c r="A1471" t="s">
        <v>1929</v>
      </c>
      <c r="B1471">
        <v>264</v>
      </c>
      <c r="C1471" t="s">
        <v>1746</v>
      </c>
      <c r="D1471" t="s">
        <v>410</v>
      </c>
      <c r="E1471" t="s">
        <v>629</v>
      </c>
      <c r="F1471" t="s">
        <v>652</v>
      </c>
      <c r="G1471" t="s">
        <v>1742</v>
      </c>
      <c r="U1471">
        <v>48</v>
      </c>
      <c r="V1471">
        <v>48</v>
      </c>
      <c r="X1471">
        <v>48</v>
      </c>
      <c r="Z1471">
        <v>48</v>
      </c>
      <c r="AA1471">
        <v>36</v>
      </c>
      <c r="AC1471">
        <v>36</v>
      </c>
      <c r="CH1471" t="str">
        <f t="shared" si="22"/>
        <v>D-0591</v>
      </c>
      <c r="CI1471" s="1" t="s">
        <v>102</v>
      </c>
    </row>
    <row r="1472" spans="1:87">
      <c r="A1472" t="s">
        <v>1931</v>
      </c>
      <c r="B1472">
        <v>312</v>
      </c>
      <c r="C1472" t="s">
        <v>1746</v>
      </c>
      <c r="D1472" t="s">
        <v>410</v>
      </c>
      <c r="E1472" t="s">
        <v>629</v>
      </c>
      <c r="F1472" t="s">
        <v>652</v>
      </c>
      <c r="G1472" t="s">
        <v>1742</v>
      </c>
      <c r="M1472">
        <v>24</v>
      </c>
      <c r="O1472">
        <v>24</v>
      </c>
      <c r="P1472">
        <v>24</v>
      </c>
      <c r="Q1472">
        <v>48</v>
      </c>
      <c r="R1472">
        <v>24</v>
      </c>
      <c r="S1472">
        <v>60</v>
      </c>
      <c r="T1472">
        <v>24</v>
      </c>
      <c r="U1472">
        <v>36</v>
      </c>
      <c r="V1472">
        <v>24</v>
      </c>
      <c r="W1472">
        <v>24</v>
      </c>
      <c r="CH1472" t="str">
        <f t="shared" si="22"/>
        <v>D-0591</v>
      </c>
      <c r="CI1472" s="1" t="s">
        <v>102</v>
      </c>
    </row>
    <row r="1473" spans="1:87">
      <c r="A1473" t="s">
        <v>1932</v>
      </c>
      <c r="B1473">
        <v>312</v>
      </c>
      <c r="C1473" t="s">
        <v>1746</v>
      </c>
      <c r="D1473" t="s">
        <v>410</v>
      </c>
      <c r="E1473" t="s">
        <v>629</v>
      </c>
      <c r="F1473" t="s">
        <v>652</v>
      </c>
      <c r="G1473" t="s">
        <v>1742</v>
      </c>
      <c r="M1473">
        <v>24</v>
      </c>
      <c r="O1473">
        <v>24</v>
      </c>
      <c r="P1473">
        <v>24</v>
      </c>
      <c r="Q1473">
        <v>48</v>
      </c>
      <c r="R1473">
        <v>24</v>
      </c>
      <c r="S1473">
        <v>60</v>
      </c>
      <c r="T1473">
        <v>24</v>
      </c>
      <c r="U1473">
        <v>36</v>
      </c>
      <c r="V1473">
        <v>24</v>
      </c>
      <c r="W1473">
        <v>24</v>
      </c>
      <c r="CH1473" t="str">
        <f t="shared" si="22"/>
        <v>D-0591</v>
      </c>
      <c r="CI1473" s="1" t="s">
        <v>102</v>
      </c>
    </row>
    <row r="1474" spans="1:87">
      <c r="A1474" t="s">
        <v>1933</v>
      </c>
      <c r="B1474">
        <v>312</v>
      </c>
      <c r="C1474" t="s">
        <v>1746</v>
      </c>
      <c r="D1474" t="s">
        <v>410</v>
      </c>
      <c r="E1474" t="s">
        <v>629</v>
      </c>
      <c r="F1474" t="s">
        <v>652</v>
      </c>
      <c r="G1474" t="s">
        <v>1742</v>
      </c>
      <c r="M1474">
        <v>24</v>
      </c>
      <c r="O1474">
        <v>24</v>
      </c>
      <c r="P1474">
        <v>24</v>
      </c>
      <c r="Q1474">
        <v>48</v>
      </c>
      <c r="R1474">
        <v>24</v>
      </c>
      <c r="S1474">
        <v>60</v>
      </c>
      <c r="T1474">
        <v>24</v>
      </c>
      <c r="U1474">
        <v>36</v>
      </c>
      <c r="V1474">
        <v>24</v>
      </c>
      <c r="W1474">
        <v>24</v>
      </c>
      <c r="CH1474" t="str">
        <f t="shared" ref="CH1474:CH1537" si="23">TRIM(IFERROR(IFERROR(MID($D1474,FIND("(D-",$D1474)+1,6),LEFT($D1474,FIND("(",$D1474)-1)),$D1474))</f>
        <v>D-0591</v>
      </c>
      <c r="CI1474" s="1" t="s">
        <v>102</v>
      </c>
    </row>
    <row r="1475" spans="1:87">
      <c r="A1475" t="s">
        <v>1935</v>
      </c>
      <c r="B1475">
        <v>35</v>
      </c>
      <c r="C1475" t="s">
        <v>1746</v>
      </c>
      <c r="D1475" t="s">
        <v>410</v>
      </c>
      <c r="E1475" t="s">
        <v>629</v>
      </c>
      <c r="F1475" t="s">
        <v>652</v>
      </c>
      <c r="G1475" t="s">
        <v>1742</v>
      </c>
      <c r="U1475">
        <v>3</v>
      </c>
      <c r="V1475">
        <v>6</v>
      </c>
      <c r="X1475">
        <v>6</v>
      </c>
      <c r="Y1475">
        <v>3</v>
      </c>
      <c r="Z1475">
        <v>6</v>
      </c>
      <c r="AA1475">
        <v>6</v>
      </c>
      <c r="AC1475">
        <v>3</v>
      </c>
      <c r="AD1475">
        <v>2</v>
      </c>
      <c r="CH1475" t="str">
        <f t="shared" si="23"/>
        <v>D-0591</v>
      </c>
      <c r="CI1475" s="1" t="s">
        <v>102</v>
      </c>
    </row>
    <row r="1476" spans="1:87">
      <c r="A1476" t="s">
        <v>1936</v>
      </c>
      <c r="B1476">
        <v>123</v>
      </c>
      <c r="C1476" t="s">
        <v>1746</v>
      </c>
      <c r="D1476" t="s">
        <v>410</v>
      </c>
      <c r="E1476" t="s">
        <v>629</v>
      </c>
      <c r="F1476" t="s">
        <v>652</v>
      </c>
      <c r="G1476" t="s">
        <v>1742</v>
      </c>
      <c r="M1476">
        <v>2</v>
      </c>
      <c r="N1476">
        <v>2</v>
      </c>
      <c r="O1476">
        <v>4</v>
      </c>
      <c r="P1476">
        <v>4</v>
      </c>
      <c r="Q1476">
        <v>5</v>
      </c>
      <c r="R1476">
        <v>5</v>
      </c>
      <c r="S1476">
        <v>6</v>
      </c>
      <c r="T1476">
        <v>5</v>
      </c>
      <c r="U1476">
        <v>11</v>
      </c>
      <c r="V1476">
        <v>11</v>
      </c>
      <c r="W1476">
        <v>6</v>
      </c>
      <c r="X1476">
        <v>13</v>
      </c>
      <c r="Y1476">
        <v>10</v>
      </c>
      <c r="Z1476">
        <v>14</v>
      </c>
      <c r="AA1476">
        <v>11</v>
      </c>
      <c r="AB1476">
        <v>3</v>
      </c>
      <c r="AC1476">
        <v>7</v>
      </c>
      <c r="AD1476">
        <v>2</v>
      </c>
      <c r="AE1476">
        <v>1</v>
      </c>
      <c r="AG1476">
        <v>1</v>
      </c>
      <c r="CH1476" t="str">
        <f t="shared" si="23"/>
        <v>D-0591</v>
      </c>
      <c r="CI1476" s="1" t="s">
        <v>102</v>
      </c>
    </row>
    <row r="1477" spans="1:87">
      <c r="A1477" t="s">
        <v>1938</v>
      </c>
      <c r="B1477">
        <v>191</v>
      </c>
      <c r="C1477" t="s">
        <v>1746</v>
      </c>
      <c r="D1477" t="s">
        <v>410</v>
      </c>
      <c r="E1477" t="s">
        <v>629</v>
      </c>
      <c r="F1477" t="s">
        <v>652</v>
      </c>
      <c r="G1477" t="s">
        <v>1742</v>
      </c>
      <c r="M1477">
        <v>2</v>
      </c>
      <c r="N1477">
        <v>5</v>
      </c>
      <c r="O1477">
        <v>7</v>
      </c>
      <c r="P1477">
        <v>11</v>
      </c>
      <c r="Q1477">
        <v>12</v>
      </c>
      <c r="R1477">
        <v>14</v>
      </c>
      <c r="S1477">
        <v>9</v>
      </c>
      <c r="T1477">
        <v>11</v>
      </c>
      <c r="U1477">
        <v>13</v>
      </c>
      <c r="V1477">
        <v>13</v>
      </c>
      <c r="W1477">
        <v>7</v>
      </c>
      <c r="X1477">
        <v>15</v>
      </c>
      <c r="Y1477">
        <v>16</v>
      </c>
      <c r="Z1477">
        <v>21</v>
      </c>
      <c r="AA1477">
        <v>16</v>
      </c>
      <c r="AB1477">
        <v>4</v>
      </c>
      <c r="AC1477">
        <v>10</v>
      </c>
      <c r="AD1477">
        <v>2</v>
      </c>
      <c r="AE1477">
        <v>2</v>
      </c>
      <c r="AG1477">
        <v>1</v>
      </c>
      <c r="CH1477" t="str">
        <f t="shared" si="23"/>
        <v>D-0591</v>
      </c>
      <c r="CI1477" s="1" t="s">
        <v>102</v>
      </c>
    </row>
    <row r="1478" spans="1:87">
      <c r="A1478" t="s">
        <v>1939</v>
      </c>
      <c r="B1478">
        <v>35</v>
      </c>
      <c r="C1478" t="s">
        <v>1746</v>
      </c>
      <c r="D1478" t="s">
        <v>410</v>
      </c>
      <c r="E1478" t="s">
        <v>629</v>
      </c>
      <c r="F1478" t="s">
        <v>652</v>
      </c>
      <c r="G1478" t="s">
        <v>1742</v>
      </c>
      <c r="U1478">
        <v>3</v>
      </c>
      <c r="V1478">
        <v>6</v>
      </c>
      <c r="X1478">
        <v>6</v>
      </c>
      <c r="Y1478">
        <v>3</v>
      </c>
      <c r="Z1478">
        <v>6</v>
      </c>
      <c r="AA1478">
        <v>6</v>
      </c>
      <c r="AC1478">
        <v>3</v>
      </c>
      <c r="AD1478">
        <v>2</v>
      </c>
      <c r="CH1478" t="str">
        <f t="shared" si="23"/>
        <v>D-0591</v>
      </c>
      <c r="CI1478" s="1" t="s">
        <v>102</v>
      </c>
    </row>
    <row r="1479" spans="1:87">
      <c r="A1479" t="s">
        <v>1940</v>
      </c>
      <c r="B1479">
        <v>200</v>
      </c>
      <c r="C1479" t="s">
        <v>1746</v>
      </c>
      <c r="D1479" t="s">
        <v>410</v>
      </c>
      <c r="E1479" t="s">
        <v>629</v>
      </c>
      <c r="F1479" t="s">
        <v>652</v>
      </c>
      <c r="G1479" t="s">
        <v>1742</v>
      </c>
      <c r="M1479">
        <v>2</v>
      </c>
      <c r="N1479">
        <v>5</v>
      </c>
      <c r="O1479">
        <v>7</v>
      </c>
      <c r="P1479">
        <v>9</v>
      </c>
      <c r="Q1479">
        <v>11</v>
      </c>
      <c r="R1479">
        <v>13</v>
      </c>
      <c r="S1479">
        <v>10</v>
      </c>
      <c r="T1479">
        <v>10</v>
      </c>
      <c r="U1479">
        <v>15</v>
      </c>
      <c r="V1479">
        <v>15</v>
      </c>
      <c r="W1479">
        <v>8</v>
      </c>
      <c r="X1479">
        <v>17</v>
      </c>
      <c r="Y1479">
        <v>18</v>
      </c>
      <c r="Z1479">
        <v>22</v>
      </c>
      <c r="AA1479">
        <v>16</v>
      </c>
      <c r="AB1479">
        <v>6</v>
      </c>
      <c r="AC1479">
        <v>11</v>
      </c>
      <c r="AD1479">
        <v>2</v>
      </c>
      <c r="AE1479">
        <v>2</v>
      </c>
      <c r="AG1479">
        <v>1</v>
      </c>
      <c r="CH1479" t="str">
        <f t="shared" si="23"/>
        <v>D-0591</v>
      </c>
      <c r="CI1479" s="1" t="s">
        <v>102</v>
      </c>
    </row>
    <row r="1480" spans="1:87">
      <c r="A1480" t="s">
        <v>1941</v>
      </c>
      <c r="B1480">
        <v>35</v>
      </c>
      <c r="C1480" t="s">
        <v>1746</v>
      </c>
      <c r="D1480" t="s">
        <v>410</v>
      </c>
      <c r="E1480" t="s">
        <v>629</v>
      </c>
      <c r="F1480" t="s">
        <v>652</v>
      </c>
      <c r="G1480" t="s">
        <v>1742</v>
      </c>
      <c r="U1480">
        <v>3</v>
      </c>
      <c r="V1480">
        <v>6</v>
      </c>
      <c r="X1480">
        <v>6</v>
      </c>
      <c r="Y1480">
        <v>3</v>
      </c>
      <c r="Z1480">
        <v>6</v>
      </c>
      <c r="AA1480">
        <v>6</v>
      </c>
      <c r="AC1480">
        <v>3</v>
      </c>
      <c r="AD1480">
        <v>2</v>
      </c>
      <c r="CH1480" t="str">
        <f t="shared" si="23"/>
        <v>D-0591</v>
      </c>
      <c r="CI1480" s="1" t="s">
        <v>102</v>
      </c>
    </row>
    <row r="1481" spans="1:87">
      <c r="A1481" t="s">
        <v>1942</v>
      </c>
      <c r="B1481">
        <v>35</v>
      </c>
      <c r="C1481" t="s">
        <v>1746</v>
      </c>
      <c r="D1481" t="s">
        <v>410</v>
      </c>
      <c r="E1481" t="s">
        <v>629</v>
      </c>
      <c r="F1481" t="s">
        <v>652</v>
      </c>
      <c r="G1481" t="s">
        <v>1742</v>
      </c>
      <c r="U1481">
        <v>3</v>
      </c>
      <c r="V1481">
        <v>6</v>
      </c>
      <c r="X1481">
        <v>6</v>
      </c>
      <c r="Y1481">
        <v>3</v>
      </c>
      <c r="Z1481">
        <v>6</v>
      </c>
      <c r="AA1481">
        <v>6</v>
      </c>
      <c r="AC1481">
        <v>3</v>
      </c>
      <c r="AD1481">
        <v>2</v>
      </c>
      <c r="CH1481" t="str">
        <f t="shared" si="23"/>
        <v>D-0591</v>
      </c>
      <c r="CI1481" s="1" t="s">
        <v>102</v>
      </c>
    </row>
    <row r="1482" spans="1:87">
      <c r="A1482" t="s">
        <v>1945</v>
      </c>
      <c r="B1482">
        <v>101</v>
      </c>
      <c r="C1482" t="s">
        <v>1746</v>
      </c>
      <c r="D1482" t="s">
        <v>410</v>
      </c>
      <c r="E1482" t="s">
        <v>629</v>
      </c>
      <c r="F1482" t="s">
        <v>652</v>
      </c>
      <c r="G1482" t="s">
        <v>1742</v>
      </c>
      <c r="M1482">
        <v>1</v>
      </c>
      <c r="O1482">
        <v>2</v>
      </c>
      <c r="Q1482">
        <v>5</v>
      </c>
      <c r="S1482">
        <v>7</v>
      </c>
      <c r="U1482">
        <v>10</v>
      </c>
      <c r="W1482">
        <v>12</v>
      </c>
      <c r="Y1482">
        <v>14</v>
      </c>
      <c r="AA1482">
        <v>21</v>
      </c>
      <c r="AC1482">
        <v>16</v>
      </c>
      <c r="AE1482">
        <v>11</v>
      </c>
      <c r="AG1482">
        <v>2</v>
      </c>
      <c r="CH1482" t="str">
        <f t="shared" si="23"/>
        <v>D-0591</v>
      </c>
      <c r="CI1482" s="1" t="s">
        <v>102</v>
      </c>
    </row>
    <row r="1483" spans="1:87">
      <c r="A1483" t="s">
        <v>1947</v>
      </c>
      <c r="B1483">
        <v>72</v>
      </c>
      <c r="C1483" t="s">
        <v>1746</v>
      </c>
      <c r="D1483" t="s">
        <v>410</v>
      </c>
      <c r="E1483" t="s">
        <v>629</v>
      </c>
      <c r="F1483" t="s">
        <v>652</v>
      </c>
      <c r="G1483" t="s">
        <v>1742</v>
      </c>
      <c r="Q1483">
        <v>6</v>
      </c>
      <c r="S1483">
        <v>11</v>
      </c>
      <c r="U1483">
        <v>11</v>
      </c>
      <c r="W1483">
        <v>10</v>
      </c>
      <c r="Y1483">
        <v>10</v>
      </c>
      <c r="AA1483">
        <v>11</v>
      </c>
      <c r="AC1483">
        <v>7</v>
      </c>
      <c r="AE1483">
        <v>6</v>
      </c>
      <c r="CH1483" t="str">
        <f t="shared" si="23"/>
        <v>D-0591</v>
      </c>
      <c r="CI1483" s="1" t="s">
        <v>102</v>
      </c>
    </row>
    <row r="1484" spans="1:87">
      <c r="A1484" t="s">
        <v>1952</v>
      </c>
      <c r="B1484">
        <v>168</v>
      </c>
      <c r="C1484" t="s">
        <v>1746</v>
      </c>
      <c r="D1484" t="s">
        <v>410</v>
      </c>
      <c r="E1484" t="s">
        <v>629</v>
      </c>
      <c r="F1484" t="s">
        <v>652</v>
      </c>
      <c r="G1484" t="s">
        <v>1742</v>
      </c>
      <c r="P1484">
        <v>24</v>
      </c>
      <c r="R1484">
        <v>24</v>
      </c>
      <c r="S1484">
        <v>24</v>
      </c>
      <c r="U1484">
        <v>24</v>
      </c>
      <c r="V1484">
        <v>24</v>
      </c>
      <c r="X1484">
        <v>24</v>
      </c>
      <c r="Z1484">
        <v>12</v>
      </c>
      <c r="AA1484">
        <v>12</v>
      </c>
      <c r="CH1484" t="str">
        <f t="shared" si="23"/>
        <v>D-0591</v>
      </c>
      <c r="CI1484" s="1" t="s">
        <v>102</v>
      </c>
    </row>
    <row r="1485" spans="1:87">
      <c r="A1485" t="s">
        <v>1953</v>
      </c>
      <c r="B1485">
        <v>384</v>
      </c>
      <c r="C1485" t="s">
        <v>1746</v>
      </c>
      <c r="D1485" t="s">
        <v>410</v>
      </c>
      <c r="E1485" t="s">
        <v>629</v>
      </c>
      <c r="F1485" t="s">
        <v>652</v>
      </c>
      <c r="G1485" t="s">
        <v>1742</v>
      </c>
      <c r="N1485">
        <v>24</v>
      </c>
      <c r="P1485">
        <v>60</v>
      </c>
      <c r="R1485">
        <v>60</v>
      </c>
      <c r="S1485">
        <v>60</v>
      </c>
      <c r="U1485">
        <v>60</v>
      </c>
      <c r="V1485">
        <v>48</v>
      </c>
      <c r="X1485">
        <v>48</v>
      </c>
      <c r="Z1485">
        <v>12</v>
      </c>
      <c r="AA1485">
        <v>12</v>
      </c>
      <c r="CH1485" t="str">
        <f t="shared" si="23"/>
        <v>D-0591</v>
      </c>
      <c r="CI1485" s="1" t="s">
        <v>102</v>
      </c>
    </row>
    <row r="1486" spans="1:87">
      <c r="A1486" t="s">
        <v>1954</v>
      </c>
      <c r="B1486">
        <v>408</v>
      </c>
      <c r="C1486" t="s">
        <v>1746</v>
      </c>
      <c r="D1486" t="s">
        <v>410</v>
      </c>
      <c r="E1486" t="s">
        <v>629</v>
      </c>
      <c r="F1486" t="s">
        <v>652</v>
      </c>
      <c r="G1486" t="s">
        <v>1742</v>
      </c>
      <c r="N1486">
        <v>24</v>
      </c>
      <c r="P1486">
        <v>36</v>
      </c>
      <c r="R1486">
        <v>60</v>
      </c>
      <c r="S1486">
        <v>60</v>
      </c>
      <c r="U1486">
        <v>48</v>
      </c>
      <c r="V1486">
        <v>48</v>
      </c>
      <c r="X1486">
        <v>48</v>
      </c>
      <c r="Z1486">
        <v>36</v>
      </c>
      <c r="AA1486">
        <v>24</v>
      </c>
      <c r="AC1486">
        <v>24</v>
      </c>
      <c r="CH1486" t="str">
        <f t="shared" si="23"/>
        <v>D-0591</v>
      </c>
      <c r="CI1486" s="1" t="s">
        <v>102</v>
      </c>
    </row>
    <row r="1487" spans="1:87">
      <c r="A1487" t="s">
        <v>1957</v>
      </c>
      <c r="B1487">
        <v>132</v>
      </c>
      <c r="C1487" t="s">
        <v>1746</v>
      </c>
      <c r="D1487" t="s">
        <v>410</v>
      </c>
      <c r="E1487" t="s">
        <v>629</v>
      </c>
      <c r="F1487" t="s">
        <v>652</v>
      </c>
      <c r="G1487" t="s">
        <v>1742</v>
      </c>
      <c r="O1487">
        <v>12</v>
      </c>
      <c r="P1487">
        <v>12</v>
      </c>
      <c r="R1487">
        <v>12</v>
      </c>
      <c r="T1487">
        <v>12</v>
      </c>
      <c r="U1487">
        <v>12</v>
      </c>
      <c r="W1487">
        <v>12</v>
      </c>
      <c r="X1487">
        <v>12</v>
      </c>
      <c r="Z1487">
        <v>12</v>
      </c>
      <c r="AA1487">
        <v>12</v>
      </c>
      <c r="AC1487">
        <v>12</v>
      </c>
      <c r="AD1487">
        <v>12</v>
      </c>
      <c r="CH1487" t="str">
        <f t="shared" si="23"/>
        <v>D-0591</v>
      </c>
      <c r="CI1487" s="1" t="s">
        <v>102</v>
      </c>
    </row>
    <row r="1488" spans="1:87">
      <c r="A1488" t="s">
        <v>1961</v>
      </c>
      <c r="B1488">
        <v>153</v>
      </c>
      <c r="C1488" t="s">
        <v>1746</v>
      </c>
      <c r="D1488" t="s">
        <v>410</v>
      </c>
      <c r="E1488" t="s">
        <v>629</v>
      </c>
      <c r="F1488" t="s">
        <v>652</v>
      </c>
      <c r="G1488" t="s">
        <v>1742</v>
      </c>
      <c r="S1488">
        <v>17</v>
      </c>
      <c r="U1488">
        <v>17</v>
      </c>
      <c r="V1488">
        <v>34</v>
      </c>
      <c r="X1488">
        <v>34</v>
      </c>
      <c r="Z1488">
        <v>34</v>
      </c>
      <c r="AA1488">
        <v>17</v>
      </c>
      <c r="CH1488" t="str">
        <f t="shared" si="23"/>
        <v>D-0591</v>
      </c>
      <c r="CI1488" s="1" t="s">
        <v>102</v>
      </c>
    </row>
    <row r="1489" spans="1:87">
      <c r="A1489" t="s">
        <v>1962</v>
      </c>
      <c r="B1489">
        <v>1647</v>
      </c>
      <c r="C1489" t="s">
        <v>1746</v>
      </c>
      <c r="D1489" t="s">
        <v>410</v>
      </c>
      <c r="E1489" t="s">
        <v>629</v>
      </c>
      <c r="F1489" t="s">
        <v>652</v>
      </c>
      <c r="G1489" t="s">
        <v>1742</v>
      </c>
      <c r="U1489">
        <v>183</v>
      </c>
      <c r="V1489">
        <v>183</v>
      </c>
      <c r="X1489">
        <v>549</v>
      </c>
      <c r="Z1489">
        <v>366</v>
      </c>
      <c r="AA1489">
        <v>183</v>
      </c>
      <c r="AC1489">
        <v>183</v>
      </c>
      <c r="CH1489" t="str">
        <f t="shared" si="23"/>
        <v>D-0591</v>
      </c>
      <c r="CI1489" s="1" t="s">
        <v>102</v>
      </c>
    </row>
    <row r="1490" spans="1:87">
      <c r="A1490" t="s">
        <v>1964</v>
      </c>
      <c r="B1490">
        <v>441</v>
      </c>
      <c r="C1490" t="s">
        <v>1746</v>
      </c>
      <c r="D1490" t="s">
        <v>410</v>
      </c>
      <c r="E1490" t="s">
        <v>629</v>
      </c>
      <c r="F1490" t="s">
        <v>652</v>
      </c>
      <c r="G1490" t="s">
        <v>1742</v>
      </c>
      <c r="U1490">
        <v>49</v>
      </c>
      <c r="V1490">
        <v>49</v>
      </c>
      <c r="X1490">
        <v>147</v>
      </c>
      <c r="Z1490">
        <v>98</v>
      </c>
      <c r="AA1490">
        <v>49</v>
      </c>
      <c r="AC1490">
        <v>49</v>
      </c>
      <c r="CH1490" t="str">
        <f t="shared" si="23"/>
        <v>D-0591</v>
      </c>
      <c r="CI1490" s="1" t="s">
        <v>102</v>
      </c>
    </row>
    <row r="1491" spans="1:87">
      <c r="A1491" t="s">
        <v>1965</v>
      </c>
      <c r="B1491">
        <v>441</v>
      </c>
      <c r="C1491" t="s">
        <v>1746</v>
      </c>
      <c r="D1491" t="s">
        <v>410</v>
      </c>
      <c r="E1491" t="s">
        <v>629</v>
      </c>
      <c r="F1491" t="s">
        <v>652</v>
      </c>
      <c r="G1491" t="s">
        <v>1742</v>
      </c>
      <c r="U1491">
        <v>49</v>
      </c>
      <c r="V1491">
        <v>49</v>
      </c>
      <c r="X1491">
        <v>147</v>
      </c>
      <c r="Z1491">
        <v>98</v>
      </c>
      <c r="AA1491">
        <v>49</v>
      </c>
      <c r="AC1491">
        <v>49</v>
      </c>
      <c r="CH1491" t="str">
        <f t="shared" si="23"/>
        <v>D-0591</v>
      </c>
      <c r="CI1491" s="1" t="s">
        <v>102</v>
      </c>
    </row>
    <row r="1492" spans="1:87">
      <c r="A1492" t="s">
        <v>1966</v>
      </c>
      <c r="B1492">
        <v>228</v>
      </c>
      <c r="C1492" t="s">
        <v>1746</v>
      </c>
      <c r="D1492" t="s">
        <v>410</v>
      </c>
      <c r="E1492" t="s">
        <v>629</v>
      </c>
      <c r="F1492" t="s">
        <v>652</v>
      </c>
      <c r="G1492" t="s">
        <v>1742</v>
      </c>
      <c r="T1492">
        <v>38</v>
      </c>
      <c r="U1492">
        <v>38</v>
      </c>
      <c r="W1492">
        <v>76</v>
      </c>
      <c r="Y1492">
        <v>38</v>
      </c>
      <c r="Z1492">
        <v>19</v>
      </c>
      <c r="AB1492">
        <v>19</v>
      </c>
      <c r="CH1492" t="str">
        <f t="shared" si="23"/>
        <v>D-0591</v>
      </c>
      <c r="CI1492" s="1" t="s">
        <v>102</v>
      </c>
    </row>
    <row r="1493" spans="1:87">
      <c r="A1493" t="s">
        <v>1968</v>
      </c>
      <c r="B1493">
        <v>72</v>
      </c>
      <c r="C1493" t="s">
        <v>1746</v>
      </c>
      <c r="D1493" t="s">
        <v>410</v>
      </c>
      <c r="E1493" t="s">
        <v>629</v>
      </c>
      <c r="F1493" t="s">
        <v>652</v>
      </c>
      <c r="G1493" t="s">
        <v>1742</v>
      </c>
      <c r="U1493">
        <v>12</v>
      </c>
      <c r="V1493">
        <v>12</v>
      </c>
      <c r="X1493">
        <v>18</v>
      </c>
      <c r="Z1493">
        <v>12</v>
      </c>
      <c r="AA1493">
        <v>12</v>
      </c>
      <c r="AC1493">
        <v>6</v>
      </c>
      <c r="CH1493" t="str">
        <f t="shared" si="23"/>
        <v>D-0591</v>
      </c>
      <c r="CI1493" s="1" t="s">
        <v>102</v>
      </c>
    </row>
    <row r="1494" spans="1:87">
      <c r="A1494" t="s">
        <v>1969</v>
      </c>
      <c r="B1494">
        <v>72</v>
      </c>
      <c r="C1494" t="s">
        <v>1746</v>
      </c>
      <c r="D1494" t="s">
        <v>410</v>
      </c>
      <c r="E1494" t="s">
        <v>629</v>
      </c>
      <c r="F1494" t="s">
        <v>652</v>
      </c>
      <c r="G1494" t="s">
        <v>1742</v>
      </c>
      <c r="U1494">
        <v>12</v>
      </c>
      <c r="V1494">
        <v>12</v>
      </c>
      <c r="X1494">
        <v>18</v>
      </c>
      <c r="Z1494">
        <v>12</v>
      </c>
      <c r="AA1494">
        <v>12</v>
      </c>
      <c r="AC1494">
        <v>6</v>
      </c>
      <c r="CH1494" t="str">
        <f t="shared" si="23"/>
        <v>D-0591</v>
      </c>
      <c r="CI1494" s="1" t="s">
        <v>102</v>
      </c>
    </row>
    <row r="1495" spans="1:87">
      <c r="A1495" t="s">
        <v>1970</v>
      </c>
      <c r="B1495">
        <v>216</v>
      </c>
      <c r="C1495" t="s">
        <v>1746</v>
      </c>
      <c r="D1495" t="s">
        <v>410</v>
      </c>
      <c r="E1495" t="s">
        <v>629</v>
      </c>
      <c r="F1495" t="s">
        <v>652</v>
      </c>
      <c r="G1495" t="s">
        <v>1742</v>
      </c>
      <c r="O1495">
        <v>12</v>
      </c>
      <c r="Q1495">
        <v>12</v>
      </c>
      <c r="S1495">
        <v>36</v>
      </c>
      <c r="U1495">
        <v>36</v>
      </c>
      <c r="W1495">
        <v>48</v>
      </c>
      <c r="Y1495">
        <v>36</v>
      </c>
      <c r="AA1495">
        <v>24</v>
      </c>
      <c r="AC1495">
        <v>12</v>
      </c>
      <c r="CH1495" t="str">
        <f t="shared" si="23"/>
        <v>D-0591</v>
      </c>
      <c r="CI1495" s="1" t="s">
        <v>102</v>
      </c>
    </row>
    <row r="1496" spans="1:87">
      <c r="A1496" t="s">
        <v>1971</v>
      </c>
      <c r="B1496">
        <v>204</v>
      </c>
      <c r="C1496" t="s">
        <v>1746</v>
      </c>
      <c r="D1496" t="s">
        <v>410</v>
      </c>
      <c r="E1496" t="s">
        <v>629</v>
      </c>
      <c r="F1496" t="s">
        <v>652</v>
      </c>
      <c r="G1496" t="s">
        <v>1742</v>
      </c>
      <c r="M1496">
        <v>12</v>
      </c>
      <c r="O1496">
        <v>12</v>
      </c>
      <c r="Q1496">
        <v>12</v>
      </c>
      <c r="S1496">
        <v>24</v>
      </c>
      <c r="U1496">
        <v>36</v>
      </c>
      <c r="W1496">
        <v>36</v>
      </c>
      <c r="Y1496">
        <v>36</v>
      </c>
      <c r="AA1496">
        <v>24</v>
      </c>
      <c r="AC1496">
        <v>12</v>
      </c>
      <c r="CH1496" t="str">
        <f t="shared" si="23"/>
        <v>D-0591</v>
      </c>
      <c r="CI1496" s="1" t="s">
        <v>102</v>
      </c>
    </row>
    <row r="1497" spans="1:87">
      <c r="A1497" t="s">
        <v>1974</v>
      </c>
      <c r="B1497">
        <v>252</v>
      </c>
      <c r="C1497" t="s">
        <v>1746</v>
      </c>
      <c r="D1497" t="s">
        <v>410</v>
      </c>
      <c r="E1497" t="s">
        <v>629</v>
      </c>
      <c r="F1497" t="s">
        <v>652</v>
      </c>
      <c r="G1497" t="s">
        <v>1742</v>
      </c>
      <c r="M1497">
        <v>12</v>
      </c>
      <c r="O1497">
        <v>24</v>
      </c>
      <c r="Q1497">
        <v>36</v>
      </c>
      <c r="S1497">
        <v>36</v>
      </c>
      <c r="U1497">
        <v>36</v>
      </c>
      <c r="W1497">
        <v>36</v>
      </c>
      <c r="Y1497">
        <v>36</v>
      </c>
      <c r="AA1497">
        <v>24</v>
      </c>
      <c r="AC1497">
        <v>12</v>
      </c>
      <c r="CH1497" t="str">
        <f t="shared" si="23"/>
        <v>D-0591</v>
      </c>
      <c r="CI1497" s="1" t="s">
        <v>102</v>
      </c>
    </row>
    <row r="1498" spans="1:87">
      <c r="A1498" t="s">
        <v>1976</v>
      </c>
      <c r="B1498">
        <v>384</v>
      </c>
      <c r="C1498" t="s">
        <v>1746</v>
      </c>
      <c r="D1498" t="s">
        <v>410</v>
      </c>
      <c r="E1498" t="s">
        <v>629</v>
      </c>
      <c r="F1498" t="s">
        <v>652</v>
      </c>
      <c r="G1498" t="s">
        <v>1742</v>
      </c>
      <c r="Q1498">
        <v>12</v>
      </c>
      <c r="S1498">
        <v>72</v>
      </c>
      <c r="U1498">
        <v>96</v>
      </c>
      <c r="W1498">
        <v>96</v>
      </c>
      <c r="Y1498">
        <v>60</v>
      </c>
      <c r="AA1498">
        <v>36</v>
      </c>
      <c r="AC1498">
        <v>12</v>
      </c>
      <c r="CH1498" t="str">
        <f t="shared" si="23"/>
        <v>D-0591</v>
      </c>
      <c r="CI1498" s="1" t="s">
        <v>102</v>
      </c>
    </row>
    <row r="1499" spans="1:87">
      <c r="A1499" t="s">
        <v>1977</v>
      </c>
      <c r="B1499">
        <v>288</v>
      </c>
      <c r="C1499" t="s">
        <v>1746</v>
      </c>
      <c r="D1499" t="s">
        <v>410</v>
      </c>
      <c r="E1499" t="s">
        <v>629</v>
      </c>
      <c r="F1499" t="s">
        <v>652</v>
      </c>
      <c r="G1499" t="s">
        <v>1742</v>
      </c>
      <c r="U1499">
        <v>24</v>
      </c>
      <c r="V1499">
        <v>36</v>
      </c>
      <c r="W1499">
        <v>48</v>
      </c>
      <c r="X1499">
        <v>48</v>
      </c>
      <c r="Y1499">
        <v>48</v>
      </c>
      <c r="Z1499">
        <v>36</v>
      </c>
      <c r="AA1499">
        <v>24</v>
      </c>
      <c r="AB1499">
        <v>12</v>
      </c>
      <c r="AC1499">
        <v>12</v>
      </c>
      <c r="CH1499" t="str">
        <f t="shared" si="23"/>
        <v>D-0591</v>
      </c>
      <c r="CI1499" s="1" t="s">
        <v>102</v>
      </c>
    </row>
    <row r="1500" spans="1:87">
      <c r="A1500" t="s">
        <v>1978</v>
      </c>
      <c r="B1500">
        <v>288</v>
      </c>
      <c r="C1500" t="s">
        <v>1746</v>
      </c>
      <c r="D1500" t="s">
        <v>410</v>
      </c>
      <c r="E1500" t="s">
        <v>629</v>
      </c>
      <c r="F1500" t="s">
        <v>652</v>
      </c>
      <c r="G1500" t="s">
        <v>1742</v>
      </c>
      <c r="U1500">
        <v>24</v>
      </c>
      <c r="V1500">
        <v>36</v>
      </c>
      <c r="W1500">
        <v>48</v>
      </c>
      <c r="X1500">
        <v>48</v>
      </c>
      <c r="Y1500">
        <v>48</v>
      </c>
      <c r="Z1500">
        <v>36</v>
      </c>
      <c r="AA1500">
        <v>24</v>
      </c>
      <c r="AB1500">
        <v>12</v>
      </c>
      <c r="AC1500">
        <v>12</v>
      </c>
      <c r="CH1500" t="str">
        <f t="shared" si="23"/>
        <v>D-0591</v>
      </c>
      <c r="CI1500" s="1" t="s">
        <v>102</v>
      </c>
    </row>
    <row r="1501" spans="1:87">
      <c r="A1501" t="s">
        <v>1980</v>
      </c>
      <c r="B1501">
        <v>828</v>
      </c>
      <c r="C1501" t="s">
        <v>1746</v>
      </c>
      <c r="D1501" t="s">
        <v>410</v>
      </c>
      <c r="E1501" t="s">
        <v>629</v>
      </c>
      <c r="F1501" t="s">
        <v>652</v>
      </c>
      <c r="G1501" t="s">
        <v>1742</v>
      </c>
      <c r="U1501">
        <v>36</v>
      </c>
      <c r="V1501">
        <v>96</v>
      </c>
      <c r="W1501">
        <v>120</v>
      </c>
      <c r="X1501">
        <v>144</v>
      </c>
      <c r="Y1501">
        <v>144</v>
      </c>
      <c r="Z1501">
        <v>108</v>
      </c>
      <c r="AA1501">
        <v>84</v>
      </c>
      <c r="AB1501">
        <v>48</v>
      </c>
      <c r="AC1501">
        <v>48</v>
      </c>
      <c r="CH1501" t="str">
        <f t="shared" si="23"/>
        <v>D-0591</v>
      </c>
      <c r="CI1501" s="1" t="s">
        <v>102</v>
      </c>
    </row>
    <row r="1502" spans="1:87">
      <c r="A1502" t="s">
        <v>1981</v>
      </c>
      <c r="B1502">
        <v>288</v>
      </c>
      <c r="C1502" t="s">
        <v>1746</v>
      </c>
      <c r="D1502" t="s">
        <v>410</v>
      </c>
      <c r="E1502" t="s">
        <v>629</v>
      </c>
      <c r="F1502" t="s">
        <v>652</v>
      </c>
      <c r="G1502" t="s">
        <v>1742</v>
      </c>
      <c r="U1502">
        <v>24</v>
      </c>
      <c r="V1502">
        <v>36</v>
      </c>
      <c r="W1502">
        <v>48</v>
      </c>
      <c r="X1502">
        <v>48</v>
      </c>
      <c r="Y1502">
        <v>48</v>
      </c>
      <c r="Z1502">
        <v>36</v>
      </c>
      <c r="AA1502">
        <v>24</v>
      </c>
      <c r="AB1502">
        <v>12</v>
      </c>
      <c r="AC1502">
        <v>12</v>
      </c>
      <c r="CH1502" t="str">
        <f t="shared" si="23"/>
        <v>D-0591</v>
      </c>
      <c r="CI1502" s="1" t="s">
        <v>102</v>
      </c>
    </row>
    <row r="1503" spans="1:87">
      <c r="A1503" t="s">
        <v>1982</v>
      </c>
      <c r="B1503">
        <v>288</v>
      </c>
      <c r="C1503" t="s">
        <v>1746</v>
      </c>
      <c r="D1503" t="s">
        <v>410</v>
      </c>
      <c r="E1503" t="s">
        <v>629</v>
      </c>
      <c r="F1503" t="s">
        <v>652</v>
      </c>
      <c r="G1503" t="s">
        <v>1742</v>
      </c>
      <c r="U1503">
        <v>24</v>
      </c>
      <c r="V1503">
        <v>36</v>
      </c>
      <c r="W1503">
        <v>48</v>
      </c>
      <c r="X1503">
        <v>48</v>
      </c>
      <c r="Y1503">
        <v>48</v>
      </c>
      <c r="Z1503">
        <v>36</v>
      </c>
      <c r="AA1503">
        <v>24</v>
      </c>
      <c r="AB1503">
        <v>12</v>
      </c>
      <c r="AC1503">
        <v>12</v>
      </c>
      <c r="CH1503" t="str">
        <f t="shared" si="23"/>
        <v>D-0591</v>
      </c>
      <c r="CI1503" s="1" t="s">
        <v>102</v>
      </c>
    </row>
    <row r="1504" spans="1:87">
      <c r="A1504" t="s">
        <v>1983</v>
      </c>
      <c r="B1504">
        <v>168</v>
      </c>
      <c r="C1504" t="s">
        <v>1746</v>
      </c>
      <c r="D1504" t="s">
        <v>410</v>
      </c>
      <c r="E1504" t="s">
        <v>629</v>
      </c>
      <c r="F1504" t="s">
        <v>652</v>
      </c>
      <c r="G1504" t="s">
        <v>1742</v>
      </c>
      <c r="U1504">
        <v>28</v>
      </c>
      <c r="W1504">
        <v>42</v>
      </c>
      <c r="Y1504">
        <v>42</v>
      </c>
      <c r="AA1504">
        <v>28</v>
      </c>
      <c r="AC1504">
        <v>14</v>
      </c>
      <c r="AE1504">
        <v>14</v>
      </c>
      <c r="CH1504" t="str">
        <f t="shared" si="23"/>
        <v>D-0591</v>
      </c>
      <c r="CI1504" s="1" t="s">
        <v>102</v>
      </c>
    </row>
    <row r="1505" spans="1:87">
      <c r="A1505" t="s">
        <v>1987</v>
      </c>
      <c r="B1505">
        <v>348</v>
      </c>
      <c r="C1505" t="s">
        <v>1746</v>
      </c>
      <c r="D1505" t="s">
        <v>410</v>
      </c>
      <c r="E1505" t="s">
        <v>629</v>
      </c>
      <c r="F1505" t="s">
        <v>652</v>
      </c>
      <c r="G1505" t="s">
        <v>1742</v>
      </c>
      <c r="U1505">
        <v>54</v>
      </c>
      <c r="W1505">
        <v>85</v>
      </c>
      <c r="X1505">
        <v>6</v>
      </c>
      <c r="Y1505">
        <v>81</v>
      </c>
      <c r="Z1505">
        <v>6</v>
      </c>
      <c r="AA1505">
        <v>58</v>
      </c>
      <c r="AC1505">
        <v>29</v>
      </c>
      <c r="AE1505">
        <v>29</v>
      </c>
      <c r="CH1505" t="str">
        <f t="shared" si="23"/>
        <v>D-0591</v>
      </c>
      <c r="CI1505" s="1" t="s">
        <v>102</v>
      </c>
    </row>
    <row r="1506" spans="1:87">
      <c r="A1506" t="s">
        <v>1989</v>
      </c>
      <c r="B1506">
        <v>120</v>
      </c>
      <c r="C1506" t="s">
        <v>1746</v>
      </c>
      <c r="D1506" t="s">
        <v>410</v>
      </c>
      <c r="E1506" t="s">
        <v>629</v>
      </c>
      <c r="F1506" t="s">
        <v>652</v>
      </c>
      <c r="G1506" t="s">
        <v>1742</v>
      </c>
      <c r="U1506">
        <v>24</v>
      </c>
      <c r="V1506">
        <v>24</v>
      </c>
      <c r="X1506">
        <v>24</v>
      </c>
      <c r="Z1506">
        <v>24</v>
      </c>
      <c r="AA1506">
        <v>24</v>
      </c>
      <c r="CH1506" t="str">
        <f t="shared" si="23"/>
        <v>D-0591</v>
      </c>
      <c r="CI1506" s="1" t="s">
        <v>102</v>
      </c>
    </row>
    <row r="1507" spans="1:87">
      <c r="A1507" t="s">
        <v>2007</v>
      </c>
      <c r="B1507">
        <v>35</v>
      </c>
      <c r="C1507" t="s">
        <v>1991</v>
      </c>
      <c r="D1507" t="s">
        <v>410</v>
      </c>
      <c r="E1507" t="s">
        <v>629</v>
      </c>
      <c r="F1507" t="s">
        <v>652</v>
      </c>
      <c r="G1507" t="s">
        <v>1992</v>
      </c>
      <c r="U1507">
        <v>3</v>
      </c>
      <c r="V1507">
        <v>6</v>
      </c>
      <c r="X1507">
        <v>6</v>
      </c>
      <c r="Y1507">
        <v>3</v>
      </c>
      <c r="Z1507">
        <v>6</v>
      </c>
      <c r="AA1507">
        <v>6</v>
      </c>
      <c r="AC1507">
        <v>3</v>
      </c>
      <c r="AD1507">
        <v>2</v>
      </c>
      <c r="CH1507" t="str">
        <f t="shared" si="23"/>
        <v>D-0591</v>
      </c>
      <c r="CI1507" s="1" t="s">
        <v>102</v>
      </c>
    </row>
    <row r="1508" spans="1:87">
      <c r="A1508" t="s">
        <v>2009</v>
      </c>
      <c r="B1508">
        <v>144</v>
      </c>
      <c r="C1508" t="s">
        <v>1991</v>
      </c>
      <c r="D1508" t="s">
        <v>410</v>
      </c>
      <c r="E1508" t="s">
        <v>629</v>
      </c>
      <c r="F1508" t="s">
        <v>652</v>
      </c>
      <c r="G1508" t="s">
        <v>1992</v>
      </c>
      <c r="M1508">
        <v>12</v>
      </c>
      <c r="O1508">
        <v>12</v>
      </c>
      <c r="Q1508">
        <v>12</v>
      </c>
      <c r="S1508">
        <v>24</v>
      </c>
      <c r="U1508">
        <v>24</v>
      </c>
      <c r="W1508">
        <v>24</v>
      </c>
      <c r="Y1508">
        <v>12</v>
      </c>
      <c r="AA1508">
        <v>12</v>
      </c>
      <c r="AC1508">
        <v>12</v>
      </c>
      <c r="CH1508" t="str">
        <f t="shared" si="23"/>
        <v>D-0591</v>
      </c>
      <c r="CI1508" s="1" t="s">
        <v>102</v>
      </c>
    </row>
    <row r="1509" spans="1:87">
      <c r="A1509" t="s">
        <v>2011</v>
      </c>
      <c r="B1509">
        <v>348</v>
      </c>
      <c r="C1509" t="s">
        <v>1991</v>
      </c>
      <c r="D1509" t="s">
        <v>410</v>
      </c>
      <c r="E1509" t="s">
        <v>629</v>
      </c>
      <c r="F1509" t="s">
        <v>652</v>
      </c>
      <c r="G1509" t="s">
        <v>1992</v>
      </c>
      <c r="O1509">
        <v>12</v>
      </c>
      <c r="P1509">
        <v>12</v>
      </c>
      <c r="Q1509">
        <v>24</v>
      </c>
      <c r="R1509">
        <v>12</v>
      </c>
      <c r="S1509">
        <v>24</v>
      </c>
      <c r="T1509">
        <v>12</v>
      </c>
      <c r="U1509">
        <v>36</v>
      </c>
      <c r="V1509">
        <v>36</v>
      </c>
      <c r="W1509">
        <v>48</v>
      </c>
      <c r="X1509">
        <v>36</v>
      </c>
      <c r="Y1509">
        <v>48</v>
      </c>
      <c r="Z1509">
        <v>24</v>
      </c>
      <c r="AA1509">
        <v>12</v>
      </c>
      <c r="AC1509">
        <v>12</v>
      </c>
      <c r="CH1509" t="str">
        <f t="shared" si="23"/>
        <v>D-0591</v>
      </c>
      <c r="CI1509" s="1" t="s">
        <v>102</v>
      </c>
    </row>
    <row r="1510" spans="1:87">
      <c r="A1510" t="s">
        <v>2024</v>
      </c>
      <c r="B1510">
        <v>1704</v>
      </c>
      <c r="C1510" t="s">
        <v>2014</v>
      </c>
      <c r="D1510" t="s">
        <v>133</v>
      </c>
      <c r="E1510" t="s">
        <v>629</v>
      </c>
      <c r="F1510" t="s">
        <v>635</v>
      </c>
      <c r="G1510" t="s">
        <v>2015</v>
      </c>
      <c r="L1510">
        <v>216</v>
      </c>
      <c r="M1510">
        <v>312</v>
      </c>
      <c r="N1510">
        <v>216</v>
      </c>
      <c r="O1510">
        <v>300</v>
      </c>
      <c r="P1510">
        <v>216</v>
      </c>
      <c r="Q1510">
        <v>252</v>
      </c>
      <c r="R1510">
        <v>144</v>
      </c>
      <c r="S1510">
        <v>24</v>
      </c>
      <c r="T1510">
        <v>12</v>
      </c>
      <c r="U1510">
        <v>12</v>
      </c>
      <c r="CH1510" t="str">
        <f t="shared" si="23"/>
        <v>D-0036</v>
      </c>
      <c r="CI1510" s="1" t="s">
        <v>102</v>
      </c>
    </row>
    <row r="1511" spans="1:87">
      <c r="A1511" t="s">
        <v>2025</v>
      </c>
      <c r="B1511">
        <v>1332</v>
      </c>
      <c r="C1511" t="s">
        <v>2014</v>
      </c>
      <c r="D1511" t="s">
        <v>133</v>
      </c>
      <c r="E1511" t="s">
        <v>629</v>
      </c>
      <c r="F1511" t="s">
        <v>635</v>
      </c>
      <c r="G1511" t="s">
        <v>2015</v>
      </c>
      <c r="L1511">
        <v>108</v>
      </c>
      <c r="M1511">
        <v>168</v>
      </c>
      <c r="N1511">
        <v>180</v>
      </c>
      <c r="O1511">
        <v>228</v>
      </c>
      <c r="P1511">
        <v>204</v>
      </c>
      <c r="Q1511">
        <v>192</v>
      </c>
      <c r="R1511">
        <v>108</v>
      </c>
      <c r="S1511">
        <v>36</v>
      </c>
      <c r="T1511">
        <v>48</v>
      </c>
      <c r="U1511">
        <v>24</v>
      </c>
      <c r="V1511">
        <v>12</v>
      </c>
      <c r="W1511">
        <v>12</v>
      </c>
      <c r="X1511">
        <v>12</v>
      </c>
      <c r="CH1511" t="str">
        <f t="shared" si="23"/>
        <v>D-0036</v>
      </c>
      <c r="CI1511" s="1" t="s">
        <v>102</v>
      </c>
    </row>
    <row r="1512" spans="1:87">
      <c r="A1512" t="s">
        <v>2026</v>
      </c>
      <c r="B1512">
        <v>192</v>
      </c>
      <c r="C1512" t="s">
        <v>2014</v>
      </c>
      <c r="D1512" t="s">
        <v>133</v>
      </c>
      <c r="E1512" t="s">
        <v>629</v>
      </c>
      <c r="F1512" t="s">
        <v>635</v>
      </c>
      <c r="G1512" t="s">
        <v>2015</v>
      </c>
      <c r="L1512">
        <v>12</v>
      </c>
      <c r="M1512">
        <v>24</v>
      </c>
      <c r="N1512">
        <v>36</v>
      </c>
      <c r="O1512">
        <v>36</v>
      </c>
      <c r="P1512">
        <v>48</v>
      </c>
      <c r="Q1512">
        <v>24</v>
      </c>
      <c r="S1512">
        <v>12</v>
      </c>
      <c r="CH1512" t="str">
        <f t="shared" si="23"/>
        <v>D-0036</v>
      </c>
      <c r="CI1512" s="1" t="s">
        <v>102</v>
      </c>
    </row>
    <row r="1513" spans="1:87">
      <c r="A1513" t="s">
        <v>2071</v>
      </c>
      <c r="B1513">
        <v>1140</v>
      </c>
      <c r="C1513" t="s">
        <v>2072</v>
      </c>
      <c r="D1513" t="s">
        <v>261</v>
      </c>
      <c r="E1513" t="s">
        <v>629</v>
      </c>
      <c r="F1513" t="s">
        <v>635</v>
      </c>
      <c r="G1513" t="s">
        <v>2073</v>
      </c>
      <c r="P1513">
        <v>12</v>
      </c>
      <c r="Q1513">
        <v>36</v>
      </c>
      <c r="R1513">
        <v>60</v>
      </c>
      <c r="S1513">
        <v>48</v>
      </c>
      <c r="T1513">
        <v>84</v>
      </c>
      <c r="U1513">
        <v>48</v>
      </c>
      <c r="V1513">
        <v>84</v>
      </c>
      <c r="W1513">
        <v>84</v>
      </c>
      <c r="X1513">
        <v>72</v>
      </c>
      <c r="Y1513">
        <v>72</v>
      </c>
      <c r="Z1513">
        <v>96</v>
      </c>
      <c r="AA1513">
        <v>72</v>
      </c>
      <c r="AB1513">
        <v>84</v>
      </c>
      <c r="AC1513">
        <v>72</v>
      </c>
      <c r="AD1513">
        <v>108</v>
      </c>
      <c r="AF1513">
        <v>108</v>
      </c>
      <c r="CH1513" t="str">
        <f t="shared" si="23"/>
        <v>D-0310</v>
      </c>
      <c r="CI1513" s="1" t="s">
        <v>102</v>
      </c>
    </row>
    <row r="1514" spans="1:87">
      <c r="A1514" t="s">
        <v>2074</v>
      </c>
      <c r="B1514">
        <v>576</v>
      </c>
      <c r="C1514" t="s">
        <v>2072</v>
      </c>
      <c r="D1514" t="s">
        <v>261</v>
      </c>
      <c r="E1514" t="s">
        <v>629</v>
      </c>
      <c r="F1514" t="s">
        <v>635</v>
      </c>
      <c r="G1514" t="s">
        <v>2073</v>
      </c>
      <c r="L1514">
        <v>24</v>
      </c>
      <c r="M1514">
        <v>24</v>
      </c>
      <c r="N1514">
        <v>24</v>
      </c>
      <c r="O1514">
        <v>24</v>
      </c>
      <c r="P1514">
        <v>84</v>
      </c>
      <c r="Q1514">
        <v>60</v>
      </c>
      <c r="R1514">
        <v>120</v>
      </c>
      <c r="S1514">
        <v>72</v>
      </c>
      <c r="T1514">
        <v>72</v>
      </c>
      <c r="U1514">
        <v>24</v>
      </c>
      <c r="V1514">
        <v>24</v>
      </c>
      <c r="W1514">
        <v>12</v>
      </c>
      <c r="X1514">
        <v>12</v>
      </c>
      <c r="CH1514" t="str">
        <f t="shared" si="23"/>
        <v>D-0310</v>
      </c>
      <c r="CI1514" s="1" t="s">
        <v>102</v>
      </c>
    </row>
    <row r="1515" spans="1:87">
      <c r="A1515" t="s">
        <v>2075</v>
      </c>
      <c r="B1515">
        <v>396</v>
      </c>
      <c r="C1515" t="s">
        <v>2072</v>
      </c>
      <c r="D1515" t="s">
        <v>261</v>
      </c>
      <c r="E1515" t="s">
        <v>629</v>
      </c>
      <c r="F1515" t="s">
        <v>635</v>
      </c>
      <c r="G1515" t="s">
        <v>2073</v>
      </c>
      <c r="N1515">
        <v>24</v>
      </c>
      <c r="O1515">
        <v>36</v>
      </c>
      <c r="P1515">
        <v>36</v>
      </c>
      <c r="Q1515">
        <v>48</v>
      </c>
      <c r="R1515">
        <v>48</v>
      </c>
      <c r="S1515">
        <v>48</v>
      </c>
      <c r="T1515">
        <v>48</v>
      </c>
      <c r="U1515">
        <v>36</v>
      </c>
      <c r="V1515">
        <v>36</v>
      </c>
      <c r="W1515">
        <v>24</v>
      </c>
      <c r="X1515">
        <v>12</v>
      </c>
      <c r="CH1515" t="str">
        <f t="shared" si="23"/>
        <v>D-0310</v>
      </c>
      <c r="CI1515" s="1" t="s">
        <v>102</v>
      </c>
    </row>
    <row r="1516" spans="1:87">
      <c r="A1516" t="s">
        <v>2076</v>
      </c>
      <c r="B1516">
        <v>360</v>
      </c>
      <c r="C1516" t="s">
        <v>2072</v>
      </c>
      <c r="D1516" t="s">
        <v>261</v>
      </c>
      <c r="E1516" t="s">
        <v>629</v>
      </c>
      <c r="F1516" t="s">
        <v>635</v>
      </c>
      <c r="G1516" t="s">
        <v>2073</v>
      </c>
      <c r="N1516">
        <v>40</v>
      </c>
      <c r="O1516">
        <v>40</v>
      </c>
      <c r="P1516">
        <v>40</v>
      </c>
      <c r="Q1516">
        <v>40</v>
      </c>
      <c r="R1516">
        <v>40</v>
      </c>
      <c r="S1516">
        <v>40</v>
      </c>
      <c r="T1516">
        <v>40</v>
      </c>
      <c r="U1516">
        <v>40</v>
      </c>
      <c r="V1516">
        <v>40</v>
      </c>
      <c r="CH1516" t="str">
        <f t="shared" si="23"/>
        <v>D-0310</v>
      </c>
      <c r="CI1516" s="1" t="s">
        <v>102</v>
      </c>
    </row>
    <row r="1517" spans="1:87">
      <c r="A1517" t="s">
        <v>2077</v>
      </c>
      <c r="B1517">
        <v>540</v>
      </c>
      <c r="C1517" t="s">
        <v>2072</v>
      </c>
      <c r="D1517" t="s">
        <v>261</v>
      </c>
      <c r="E1517" t="s">
        <v>629</v>
      </c>
      <c r="F1517" t="s">
        <v>635</v>
      </c>
      <c r="G1517" t="s">
        <v>2073</v>
      </c>
      <c r="N1517">
        <v>60</v>
      </c>
      <c r="O1517">
        <v>60</v>
      </c>
      <c r="P1517">
        <v>60</v>
      </c>
      <c r="Q1517">
        <v>60</v>
      </c>
      <c r="R1517">
        <v>120</v>
      </c>
      <c r="S1517">
        <v>60</v>
      </c>
      <c r="T1517">
        <v>60</v>
      </c>
      <c r="V1517">
        <v>60</v>
      </c>
      <c r="CH1517" t="str">
        <f t="shared" si="23"/>
        <v>D-0310</v>
      </c>
      <c r="CI1517" s="1" t="s">
        <v>102</v>
      </c>
    </row>
    <row r="1518" spans="1:87">
      <c r="A1518" t="s">
        <v>2078</v>
      </c>
      <c r="B1518">
        <v>270</v>
      </c>
      <c r="C1518" t="s">
        <v>2072</v>
      </c>
      <c r="D1518" t="s">
        <v>261</v>
      </c>
      <c r="E1518" t="s">
        <v>629</v>
      </c>
      <c r="F1518" t="s">
        <v>635</v>
      </c>
      <c r="G1518" t="s">
        <v>2073</v>
      </c>
      <c r="P1518">
        <v>60</v>
      </c>
      <c r="Q1518">
        <v>60</v>
      </c>
      <c r="R1518">
        <v>60</v>
      </c>
      <c r="S1518">
        <v>30</v>
      </c>
      <c r="T1518">
        <v>60</v>
      </c>
      <c r="CH1518" t="str">
        <f t="shared" si="23"/>
        <v>D-0310</v>
      </c>
      <c r="CI1518" s="1" t="s">
        <v>102</v>
      </c>
    </row>
    <row r="1519" spans="1:87">
      <c r="A1519" t="s">
        <v>2079</v>
      </c>
      <c r="B1519">
        <v>1068</v>
      </c>
      <c r="C1519" t="s">
        <v>2072</v>
      </c>
      <c r="D1519" t="s">
        <v>261</v>
      </c>
      <c r="E1519" t="s">
        <v>629</v>
      </c>
      <c r="F1519" t="s">
        <v>635</v>
      </c>
      <c r="G1519" t="s">
        <v>2073</v>
      </c>
      <c r="L1519">
        <v>24</v>
      </c>
      <c r="M1519">
        <v>24</v>
      </c>
      <c r="N1519">
        <v>72</v>
      </c>
      <c r="O1519">
        <v>72</v>
      </c>
      <c r="P1519">
        <v>132</v>
      </c>
      <c r="Q1519">
        <v>120</v>
      </c>
      <c r="R1519">
        <v>156</v>
      </c>
      <c r="S1519">
        <v>132</v>
      </c>
      <c r="T1519">
        <v>132</v>
      </c>
      <c r="U1519">
        <v>72</v>
      </c>
      <c r="V1519">
        <v>84</v>
      </c>
      <c r="W1519">
        <v>12</v>
      </c>
      <c r="X1519">
        <v>36</v>
      </c>
      <c r="CH1519" t="str">
        <f t="shared" si="23"/>
        <v>D-0310</v>
      </c>
      <c r="CI1519" s="1" t="s">
        <v>102</v>
      </c>
    </row>
    <row r="1520" spans="1:87">
      <c r="A1520" t="s">
        <v>2080</v>
      </c>
      <c r="B1520">
        <v>360</v>
      </c>
      <c r="C1520" t="s">
        <v>2072</v>
      </c>
      <c r="D1520" t="s">
        <v>261</v>
      </c>
      <c r="E1520" t="s">
        <v>629</v>
      </c>
      <c r="F1520" t="s">
        <v>635</v>
      </c>
      <c r="G1520" t="s">
        <v>2073</v>
      </c>
      <c r="L1520">
        <v>24</v>
      </c>
      <c r="N1520">
        <v>48</v>
      </c>
      <c r="P1520">
        <v>48</v>
      </c>
      <c r="R1520">
        <v>60</v>
      </c>
      <c r="T1520">
        <v>60</v>
      </c>
      <c r="V1520">
        <v>60</v>
      </c>
      <c r="X1520">
        <v>36</v>
      </c>
      <c r="Z1520">
        <v>12</v>
      </c>
      <c r="AB1520">
        <v>12</v>
      </c>
      <c r="CH1520" t="str">
        <f t="shared" si="23"/>
        <v>D-0310</v>
      </c>
      <c r="CI1520" s="1" t="s">
        <v>102</v>
      </c>
    </row>
    <row r="1521" spans="1:87">
      <c r="A1521" t="s">
        <v>2081</v>
      </c>
      <c r="B1521">
        <v>630</v>
      </c>
      <c r="C1521" t="s">
        <v>2082</v>
      </c>
      <c r="D1521" t="s">
        <v>261</v>
      </c>
      <c r="E1521" t="s">
        <v>629</v>
      </c>
      <c r="F1521" t="s">
        <v>652</v>
      </c>
      <c r="G1521" t="s">
        <v>2083</v>
      </c>
      <c r="N1521">
        <v>12</v>
      </c>
      <c r="O1521">
        <v>12</v>
      </c>
      <c r="P1521">
        <v>24</v>
      </c>
      <c r="Q1521">
        <v>12</v>
      </c>
      <c r="R1521">
        <v>24</v>
      </c>
      <c r="S1521">
        <v>24</v>
      </c>
      <c r="T1521">
        <v>48</v>
      </c>
      <c r="U1521">
        <v>36</v>
      </c>
      <c r="V1521">
        <v>48</v>
      </c>
      <c r="W1521">
        <v>48</v>
      </c>
      <c r="X1521">
        <v>72</v>
      </c>
      <c r="Y1521">
        <v>48</v>
      </c>
      <c r="Z1521">
        <v>72</v>
      </c>
      <c r="AA1521">
        <v>36</v>
      </c>
      <c r="AB1521">
        <v>48</v>
      </c>
      <c r="AC1521">
        <v>24</v>
      </c>
      <c r="AD1521">
        <v>24</v>
      </c>
      <c r="AF1521">
        <v>12</v>
      </c>
      <c r="AJ1521">
        <v>6</v>
      </c>
      <c r="CH1521" t="str">
        <f t="shared" si="23"/>
        <v>D-0310</v>
      </c>
      <c r="CI1521" s="1" t="s">
        <v>102</v>
      </c>
    </row>
    <row r="1522" spans="1:87">
      <c r="A1522" t="s">
        <v>2084</v>
      </c>
      <c r="B1522">
        <v>768</v>
      </c>
      <c r="C1522" t="s">
        <v>2082</v>
      </c>
      <c r="D1522" t="s">
        <v>261</v>
      </c>
      <c r="E1522" t="s">
        <v>629</v>
      </c>
      <c r="F1522" t="s">
        <v>652</v>
      </c>
      <c r="G1522" t="s">
        <v>2083</v>
      </c>
      <c r="T1522">
        <v>12</v>
      </c>
      <c r="U1522">
        <v>12</v>
      </c>
      <c r="V1522">
        <v>84</v>
      </c>
      <c r="W1522">
        <v>72</v>
      </c>
      <c r="X1522">
        <v>108</v>
      </c>
      <c r="Y1522">
        <v>84</v>
      </c>
      <c r="Z1522">
        <v>108</v>
      </c>
      <c r="AA1522">
        <v>84</v>
      </c>
      <c r="AB1522">
        <v>72</v>
      </c>
      <c r="AC1522">
        <v>24</v>
      </c>
      <c r="AD1522">
        <v>60</v>
      </c>
      <c r="AF1522">
        <v>48</v>
      </c>
      <c r="CH1522" t="str">
        <f t="shared" si="23"/>
        <v>D-0310</v>
      </c>
      <c r="CI1522" s="1" t="s">
        <v>102</v>
      </c>
    </row>
    <row r="1523" spans="1:87">
      <c r="A1523" t="s">
        <v>2085</v>
      </c>
      <c r="B1523">
        <v>204</v>
      </c>
      <c r="C1523" t="s">
        <v>2082</v>
      </c>
      <c r="D1523" t="s">
        <v>261</v>
      </c>
      <c r="E1523" t="s">
        <v>629</v>
      </c>
      <c r="F1523" t="s">
        <v>652</v>
      </c>
      <c r="G1523" t="s">
        <v>2083</v>
      </c>
      <c r="M1523">
        <v>12</v>
      </c>
      <c r="O1523">
        <v>12</v>
      </c>
      <c r="P1523">
        <v>12</v>
      </c>
      <c r="Q1523">
        <v>12</v>
      </c>
      <c r="R1523">
        <v>12</v>
      </c>
      <c r="S1523">
        <v>12</v>
      </c>
      <c r="T1523">
        <v>12</v>
      </c>
      <c r="U1523">
        <v>12</v>
      </c>
      <c r="V1523">
        <v>12</v>
      </c>
      <c r="W1523">
        <v>12</v>
      </c>
      <c r="X1523">
        <v>12</v>
      </c>
      <c r="Y1523">
        <v>24</v>
      </c>
      <c r="Z1523">
        <v>24</v>
      </c>
      <c r="AA1523">
        <v>12</v>
      </c>
      <c r="AB1523">
        <v>12</v>
      </c>
      <c r="CH1523" t="str">
        <f t="shared" si="23"/>
        <v>D-0310</v>
      </c>
      <c r="CI1523" s="1" t="s">
        <v>102</v>
      </c>
    </row>
    <row r="1524" spans="1:87">
      <c r="A1524" t="s">
        <v>2086</v>
      </c>
      <c r="B1524">
        <v>228</v>
      </c>
      <c r="C1524" t="s">
        <v>2082</v>
      </c>
      <c r="D1524" t="s">
        <v>261</v>
      </c>
      <c r="E1524" t="s">
        <v>629</v>
      </c>
      <c r="F1524" t="s">
        <v>652</v>
      </c>
      <c r="G1524" t="s">
        <v>2083</v>
      </c>
      <c r="L1524">
        <v>12</v>
      </c>
      <c r="M1524">
        <v>12</v>
      </c>
      <c r="N1524">
        <v>12</v>
      </c>
      <c r="O1524">
        <v>12</v>
      </c>
      <c r="P1524">
        <v>12</v>
      </c>
      <c r="Q1524">
        <v>12</v>
      </c>
      <c r="R1524">
        <v>12</v>
      </c>
      <c r="S1524">
        <v>12</v>
      </c>
      <c r="T1524">
        <v>12</v>
      </c>
      <c r="U1524">
        <v>24</v>
      </c>
      <c r="V1524">
        <v>12</v>
      </c>
      <c r="W1524">
        <v>24</v>
      </c>
      <c r="X1524">
        <v>12</v>
      </c>
      <c r="Y1524">
        <v>12</v>
      </c>
      <c r="Z1524">
        <v>12</v>
      </c>
      <c r="AA1524">
        <v>12</v>
      </c>
      <c r="AB1524">
        <v>12</v>
      </c>
      <c r="CH1524" t="str">
        <f t="shared" si="23"/>
        <v>D-0310</v>
      </c>
      <c r="CI1524" s="1" t="s">
        <v>102</v>
      </c>
    </row>
    <row r="1525" spans="1:87">
      <c r="A1525" t="s">
        <v>2087</v>
      </c>
      <c r="B1525">
        <v>372</v>
      </c>
      <c r="C1525" t="s">
        <v>2082</v>
      </c>
      <c r="D1525" t="s">
        <v>261</v>
      </c>
      <c r="E1525" t="s">
        <v>629</v>
      </c>
      <c r="F1525" t="s">
        <v>652</v>
      </c>
      <c r="G1525" t="s">
        <v>2083</v>
      </c>
      <c r="O1525">
        <v>12</v>
      </c>
      <c r="P1525">
        <v>12</v>
      </c>
      <c r="Q1525">
        <v>12</v>
      </c>
      <c r="R1525">
        <v>24</v>
      </c>
      <c r="S1525">
        <v>24</v>
      </c>
      <c r="T1525">
        <v>24</v>
      </c>
      <c r="U1525">
        <v>24</v>
      </c>
      <c r="V1525">
        <v>24</v>
      </c>
      <c r="W1525">
        <v>24</v>
      </c>
      <c r="X1525">
        <v>24</v>
      </c>
      <c r="Y1525">
        <v>24</v>
      </c>
      <c r="Z1525">
        <v>24</v>
      </c>
      <c r="AA1525">
        <v>24</v>
      </c>
      <c r="AB1525">
        <v>24</v>
      </c>
      <c r="AC1525">
        <v>24</v>
      </c>
      <c r="AD1525">
        <v>24</v>
      </c>
      <c r="AF1525">
        <v>24</v>
      </c>
      <c r="CH1525" t="str">
        <f t="shared" si="23"/>
        <v>D-0310</v>
      </c>
      <c r="CI1525" s="1" t="s">
        <v>102</v>
      </c>
    </row>
    <row r="1526" spans="1:87">
      <c r="A1526" t="s">
        <v>2088</v>
      </c>
      <c r="B1526">
        <v>132</v>
      </c>
      <c r="C1526" t="s">
        <v>2082</v>
      </c>
      <c r="D1526" t="s">
        <v>261</v>
      </c>
      <c r="E1526" t="s">
        <v>629</v>
      </c>
      <c r="F1526" t="s">
        <v>652</v>
      </c>
      <c r="G1526" t="s">
        <v>2083</v>
      </c>
      <c r="V1526">
        <v>12</v>
      </c>
      <c r="W1526">
        <v>12</v>
      </c>
      <c r="X1526">
        <v>12</v>
      </c>
      <c r="Y1526">
        <v>24</v>
      </c>
      <c r="Z1526">
        <v>24</v>
      </c>
      <c r="AA1526">
        <v>24</v>
      </c>
      <c r="AB1526">
        <v>12</v>
      </c>
      <c r="AD1526">
        <v>12</v>
      </c>
      <c r="CH1526" t="str">
        <f t="shared" si="23"/>
        <v>D-0310</v>
      </c>
      <c r="CI1526" s="1" t="s">
        <v>102</v>
      </c>
    </row>
    <row r="1527" spans="1:87">
      <c r="A1527" t="s">
        <v>2089</v>
      </c>
      <c r="B1527">
        <v>180</v>
      </c>
      <c r="C1527" t="s">
        <v>2082</v>
      </c>
      <c r="D1527" t="s">
        <v>261</v>
      </c>
      <c r="E1527" t="s">
        <v>629</v>
      </c>
      <c r="F1527" t="s">
        <v>652</v>
      </c>
      <c r="G1527" t="s">
        <v>2083</v>
      </c>
      <c r="T1527">
        <v>22</v>
      </c>
      <c r="U1527">
        <v>10</v>
      </c>
      <c r="V1527">
        <v>32</v>
      </c>
      <c r="W1527">
        <v>10</v>
      </c>
      <c r="X1527">
        <v>32</v>
      </c>
      <c r="Y1527">
        <v>10</v>
      </c>
      <c r="Z1527">
        <v>32</v>
      </c>
      <c r="AA1527">
        <v>10</v>
      </c>
      <c r="AB1527">
        <v>22</v>
      </c>
      <c r="CH1527" t="str">
        <f t="shared" si="23"/>
        <v>D-0310</v>
      </c>
      <c r="CI1527" s="1" t="s">
        <v>102</v>
      </c>
    </row>
    <row r="1528" spans="1:87">
      <c r="A1528" t="s">
        <v>2090</v>
      </c>
      <c r="B1528">
        <v>132</v>
      </c>
      <c r="C1528" t="s">
        <v>2082</v>
      </c>
      <c r="D1528" t="s">
        <v>261</v>
      </c>
      <c r="E1528" t="s">
        <v>629</v>
      </c>
      <c r="F1528" t="s">
        <v>652</v>
      </c>
      <c r="G1528" t="s">
        <v>2083</v>
      </c>
      <c r="R1528">
        <v>12</v>
      </c>
      <c r="T1528">
        <v>24</v>
      </c>
      <c r="V1528">
        <v>24</v>
      </c>
      <c r="X1528">
        <v>24</v>
      </c>
      <c r="Z1528">
        <v>24</v>
      </c>
      <c r="AB1528">
        <v>12</v>
      </c>
      <c r="AD1528">
        <v>12</v>
      </c>
      <c r="CH1528" t="str">
        <f t="shared" si="23"/>
        <v>D-0310</v>
      </c>
      <c r="CI1528" s="1" t="s">
        <v>102</v>
      </c>
    </row>
    <row r="1529" spans="1:87">
      <c r="A1529" t="s">
        <v>2091</v>
      </c>
      <c r="B1529">
        <v>192</v>
      </c>
      <c r="C1529" t="s">
        <v>2082</v>
      </c>
      <c r="D1529" t="s">
        <v>261</v>
      </c>
      <c r="E1529" t="s">
        <v>629</v>
      </c>
      <c r="F1529" t="s">
        <v>652</v>
      </c>
      <c r="G1529" t="s">
        <v>2083</v>
      </c>
      <c r="T1529">
        <v>16</v>
      </c>
      <c r="U1529">
        <v>32</v>
      </c>
      <c r="V1529">
        <v>32</v>
      </c>
      <c r="W1529">
        <v>32</v>
      </c>
      <c r="X1529">
        <v>32</v>
      </c>
      <c r="Y1529">
        <v>16</v>
      </c>
      <c r="Z1529">
        <v>16</v>
      </c>
      <c r="AA1529">
        <v>16</v>
      </c>
      <c r="CH1529" t="str">
        <f t="shared" si="23"/>
        <v>D-0310</v>
      </c>
      <c r="CI1529" s="1" t="s">
        <v>102</v>
      </c>
    </row>
    <row r="1530" spans="1:87">
      <c r="A1530" t="s">
        <v>2092</v>
      </c>
      <c r="B1530">
        <v>120</v>
      </c>
      <c r="C1530" t="s">
        <v>2082</v>
      </c>
      <c r="D1530" t="s">
        <v>261</v>
      </c>
      <c r="E1530" t="s">
        <v>629</v>
      </c>
      <c r="F1530" t="s">
        <v>652</v>
      </c>
      <c r="G1530" t="s">
        <v>2083</v>
      </c>
      <c r="U1530">
        <v>12</v>
      </c>
      <c r="V1530">
        <v>12</v>
      </c>
      <c r="W1530">
        <v>12</v>
      </c>
      <c r="X1530">
        <v>12</v>
      </c>
      <c r="Y1530">
        <v>12</v>
      </c>
      <c r="Z1530">
        <v>12</v>
      </c>
      <c r="AA1530">
        <v>12</v>
      </c>
      <c r="AB1530">
        <v>12</v>
      </c>
      <c r="AC1530">
        <v>12</v>
      </c>
      <c r="AD1530">
        <v>12</v>
      </c>
      <c r="CH1530" t="str">
        <f t="shared" si="23"/>
        <v>D-0310</v>
      </c>
      <c r="CI1530" s="1" t="s">
        <v>102</v>
      </c>
    </row>
    <row r="1531" spans="1:87">
      <c r="A1531" t="s">
        <v>2093</v>
      </c>
      <c r="B1531">
        <v>126</v>
      </c>
      <c r="C1531" t="s">
        <v>2082</v>
      </c>
      <c r="D1531" t="s">
        <v>261</v>
      </c>
      <c r="E1531" t="s">
        <v>629</v>
      </c>
      <c r="F1531" t="s">
        <v>652</v>
      </c>
      <c r="G1531" t="s">
        <v>2083</v>
      </c>
      <c r="U1531">
        <v>14</v>
      </c>
      <c r="W1531">
        <v>28</v>
      </c>
      <c r="X1531">
        <v>14</v>
      </c>
      <c r="Y1531">
        <v>28</v>
      </c>
      <c r="Z1531">
        <v>14</v>
      </c>
      <c r="AB1531">
        <v>14</v>
      </c>
      <c r="AC1531">
        <v>14</v>
      </c>
      <c r="CH1531" t="str">
        <f t="shared" si="23"/>
        <v>D-0310</v>
      </c>
      <c r="CI1531" s="1" t="s">
        <v>102</v>
      </c>
    </row>
    <row r="1532" spans="1:87">
      <c r="A1532" t="s">
        <v>2094</v>
      </c>
      <c r="B1532">
        <v>240</v>
      </c>
      <c r="C1532" t="s">
        <v>2082</v>
      </c>
      <c r="D1532" t="s">
        <v>261</v>
      </c>
      <c r="E1532" t="s">
        <v>629</v>
      </c>
      <c r="F1532" t="s">
        <v>652</v>
      </c>
      <c r="G1532" t="s">
        <v>2083</v>
      </c>
      <c r="S1532">
        <v>12</v>
      </c>
      <c r="T1532">
        <v>12</v>
      </c>
      <c r="U1532">
        <v>24</v>
      </c>
      <c r="V1532">
        <v>12</v>
      </c>
      <c r="W1532">
        <v>36</v>
      </c>
      <c r="X1532">
        <v>24</v>
      </c>
      <c r="Y1532">
        <v>36</v>
      </c>
      <c r="Z1532">
        <v>24</v>
      </c>
      <c r="AA1532">
        <v>12</v>
      </c>
      <c r="AB1532">
        <v>24</v>
      </c>
      <c r="AC1532">
        <v>24</v>
      </c>
      <c r="CH1532" t="str">
        <f t="shared" si="23"/>
        <v>D-0310</v>
      </c>
      <c r="CI1532" s="1" t="s">
        <v>102</v>
      </c>
    </row>
    <row r="1533" spans="1:87">
      <c r="A1533" t="s">
        <v>2095</v>
      </c>
      <c r="B1533">
        <v>204</v>
      </c>
      <c r="C1533" t="s">
        <v>2082</v>
      </c>
      <c r="D1533" t="s">
        <v>261</v>
      </c>
      <c r="E1533" t="s">
        <v>629</v>
      </c>
      <c r="F1533" t="s">
        <v>652</v>
      </c>
      <c r="G1533" t="s">
        <v>2083</v>
      </c>
      <c r="T1533">
        <v>24</v>
      </c>
      <c r="V1533">
        <v>60</v>
      </c>
      <c r="X1533">
        <v>60</v>
      </c>
      <c r="Z1533">
        <v>36</v>
      </c>
      <c r="AB1533">
        <v>24</v>
      </c>
      <c r="CH1533" t="str">
        <f t="shared" si="23"/>
        <v>D-0310</v>
      </c>
      <c r="CI1533" s="1" t="s">
        <v>102</v>
      </c>
    </row>
    <row r="1534" spans="1:87">
      <c r="A1534" t="s">
        <v>2288</v>
      </c>
      <c r="B1534">
        <v>1740</v>
      </c>
      <c r="C1534" t="s">
        <v>2289</v>
      </c>
      <c r="D1534" t="s">
        <v>261</v>
      </c>
      <c r="E1534" t="s">
        <v>629</v>
      </c>
      <c r="F1534" t="s">
        <v>652</v>
      </c>
      <c r="G1534" t="s">
        <v>1736</v>
      </c>
      <c r="L1534">
        <v>12</v>
      </c>
      <c r="M1534">
        <v>12</v>
      </c>
      <c r="N1534">
        <v>24</v>
      </c>
      <c r="O1534">
        <v>36</v>
      </c>
      <c r="P1534">
        <v>60</v>
      </c>
      <c r="Q1534">
        <v>60</v>
      </c>
      <c r="R1534">
        <v>72</v>
      </c>
      <c r="S1534">
        <v>60</v>
      </c>
      <c r="T1534">
        <v>108</v>
      </c>
      <c r="U1534">
        <v>96</v>
      </c>
      <c r="V1534">
        <v>132</v>
      </c>
      <c r="W1534">
        <v>120</v>
      </c>
      <c r="X1534">
        <v>168</v>
      </c>
      <c r="Y1534">
        <v>180</v>
      </c>
      <c r="Z1534">
        <v>180</v>
      </c>
      <c r="AA1534">
        <v>108</v>
      </c>
      <c r="AB1534">
        <v>132</v>
      </c>
      <c r="AC1534">
        <v>60</v>
      </c>
      <c r="AD1534">
        <v>72</v>
      </c>
      <c r="AF1534">
        <v>36</v>
      </c>
      <c r="AJ1534">
        <v>6</v>
      </c>
      <c r="AL1534">
        <v>6</v>
      </c>
      <c r="CH1534" t="str">
        <f t="shared" si="23"/>
        <v>D-0310</v>
      </c>
      <c r="CI1534" s="1" t="s">
        <v>102</v>
      </c>
    </row>
    <row r="1535" spans="1:87">
      <c r="A1535" t="s">
        <v>2290</v>
      </c>
      <c r="B1535">
        <v>780</v>
      </c>
      <c r="C1535" t="s">
        <v>2289</v>
      </c>
      <c r="D1535" t="s">
        <v>261</v>
      </c>
      <c r="E1535" t="s">
        <v>629</v>
      </c>
      <c r="F1535" t="s">
        <v>652</v>
      </c>
      <c r="G1535" t="s">
        <v>1736</v>
      </c>
      <c r="T1535">
        <v>12</v>
      </c>
      <c r="U1535">
        <v>12</v>
      </c>
      <c r="V1535">
        <v>84</v>
      </c>
      <c r="W1535">
        <v>72</v>
      </c>
      <c r="X1535">
        <v>108</v>
      </c>
      <c r="Y1535">
        <v>96</v>
      </c>
      <c r="Z1535">
        <v>108</v>
      </c>
      <c r="AA1535">
        <v>84</v>
      </c>
      <c r="AB1535">
        <v>84</v>
      </c>
      <c r="AC1535">
        <v>12</v>
      </c>
      <c r="AD1535">
        <v>60</v>
      </c>
      <c r="AF1535">
        <v>48</v>
      </c>
      <c r="CH1535" t="str">
        <f t="shared" si="23"/>
        <v>D-0310</v>
      </c>
      <c r="CI1535" s="1" t="s">
        <v>102</v>
      </c>
    </row>
    <row r="1536" spans="1:87">
      <c r="A1536" t="s">
        <v>2292</v>
      </c>
      <c r="B1536">
        <v>120</v>
      </c>
      <c r="C1536" t="s">
        <v>2289</v>
      </c>
      <c r="D1536" t="s">
        <v>261</v>
      </c>
      <c r="E1536" t="s">
        <v>629</v>
      </c>
      <c r="F1536" t="s">
        <v>652</v>
      </c>
      <c r="G1536" t="s">
        <v>1736</v>
      </c>
      <c r="U1536">
        <v>12</v>
      </c>
      <c r="W1536">
        <v>24</v>
      </c>
      <c r="X1536">
        <v>12</v>
      </c>
      <c r="Y1536">
        <v>24</v>
      </c>
      <c r="Z1536">
        <v>24</v>
      </c>
      <c r="AB1536">
        <v>12</v>
      </c>
      <c r="AC1536">
        <v>12</v>
      </c>
      <c r="CH1536" t="str">
        <f t="shared" si="23"/>
        <v>D-0310</v>
      </c>
      <c r="CI1536" s="1" t="s">
        <v>102</v>
      </c>
    </row>
    <row r="1537" spans="1:87">
      <c r="A1537" t="s">
        <v>2293</v>
      </c>
      <c r="B1537">
        <v>168</v>
      </c>
      <c r="C1537" t="s">
        <v>2289</v>
      </c>
      <c r="D1537" t="s">
        <v>261</v>
      </c>
      <c r="E1537" t="s">
        <v>629</v>
      </c>
      <c r="F1537" t="s">
        <v>652</v>
      </c>
      <c r="G1537" t="s">
        <v>1736</v>
      </c>
      <c r="Q1537">
        <v>12</v>
      </c>
      <c r="R1537">
        <v>12</v>
      </c>
      <c r="S1537">
        <v>12</v>
      </c>
      <c r="T1537">
        <v>12</v>
      </c>
      <c r="U1537">
        <v>12</v>
      </c>
      <c r="V1537">
        <v>12</v>
      </c>
      <c r="W1537">
        <v>12</v>
      </c>
      <c r="X1537">
        <v>12</v>
      </c>
      <c r="Y1537">
        <v>12</v>
      </c>
      <c r="Z1537">
        <v>12</v>
      </c>
      <c r="AA1537">
        <v>12</v>
      </c>
      <c r="AB1537">
        <v>12</v>
      </c>
      <c r="AC1537">
        <v>12</v>
      </c>
      <c r="AD1537">
        <v>12</v>
      </c>
      <c r="CH1537" t="str">
        <f t="shared" si="23"/>
        <v>D-0310</v>
      </c>
      <c r="CI1537" s="1" t="s">
        <v>102</v>
      </c>
    </row>
    <row r="1538" spans="1:87">
      <c r="A1538" t="s">
        <v>2294</v>
      </c>
      <c r="B1538">
        <v>264</v>
      </c>
      <c r="C1538" t="s">
        <v>2289</v>
      </c>
      <c r="D1538" t="s">
        <v>261</v>
      </c>
      <c r="E1538" t="s">
        <v>629</v>
      </c>
      <c r="F1538" t="s">
        <v>652</v>
      </c>
      <c r="G1538" t="s">
        <v>1736</v>
      </c>
      <c r="M1538">
        <v>12</v>
      </c>
      <c r="N1538">
        <v>12</v>
      </c>
      <c r="O1538">
        <v>12</v>
      </c>
      <c r="P1538">
        <v>12</v>
      </c>
      <c r="Q1538">
        <v>24</v>
      </c>
      <c r="R1538">
        <v>24</v>
      </c>
      <c r="S1538">
        <v>12</v>
      </c>
      <c r="T1538">
        <v>12</v>
      </c>
      <c r="U1538">
        <v>12</v>
      </c>
      <c r="V1538">
        <v>12</v>
      </c>
      <c r="W1538">
        <v>24</v>
      </c>
      <c r="X1538">
        <v>24</v>
      </c>
      <c r="Y1538">
        <v>24</v>
      </c>
      <c r="Z1538">
        <v>24</v>
      </c>
      <c r="AA1538">
        <v>12</v>
      </c>
      <c r="AB1538">
        <v>12</v>
      </c>
      <c r="CH1538" t="str">
        <f t="shared" ref="CH1538:CH1601" si="24">TRIM(IFERROR(IFERROR(MID($D1538,FIND("(D-",$D1538)+1,6),LEFT($D1538,FIND("(",$D1538)-1)),$D1538))</f>
        <v>D-0310</v>
      </c>
      <c r="CI1538" s="1" t="s">
        <v>102</v>
      </c>
    </row>
    <row r="1539" spans="1:87">
      <c r="A1539" t="s">
        <v>2296</v>
      </c>
      <c r="B1539">
        <v>492</v>
      </c>
      <c r="C1539" t="s">
        <v>2289</v>
      </c>
      <c r="D1539" t="s">
        <v>261</v>
      </c>
      <c r="E1539" t="s">
        <v>629</v>
      </c>
      <c r="F1539" t="s">
        <v>652</v>
      </c>
      <c r="G1539" t="s">
        <v>1736</v>
      </c>
      <c r="L1539">
        <v>12</v>
      </c>
      <c r="M1539">
        <v>12</v>
      </c>
      <c r="N1539">
        <v>24</v>
      </c>
      <c r="O1539">
        <v>24</v>
      </c>
      <c r="P1539">
        <v>24</v>
      </c>
      <c r="Q1539">
        <v>24</v>
      </c>
      <c r="R1539">
        <v>24</v>
      </c>
      <c r="S1539">
        <v>24</v>
      </c>
      <c r="T1539">
        <v>24</v>
      </c>
      <c r="U1539">
        <v>24</v>
      </c>
      <c r="V1539">
        <v>24</v>
      </c>
      <c r="W1539">
        <v>24</v>
      </c>
      <c r="X1539">
        <v>24</v>
      </c>
      <c r="Y1539">
        <v>24</v>
      </c>
      <c r="Z1539">
        <v>48</v>
      </c>
      <c r="AA1539">
        <v>36</v>
      </c>
      <c r="AB1539">
        <v>24</v>
      </c>
      <c r="AC1539">
        <v>24</v>
      </c>
      <c r="AD1539">
        <v>24</v>
      </c>
      <c r="AF1539">
        <v>24</v>
      </c>
      <c r="CH1539" t="str">
        <f t="shared" si="24"/>
        <v>D-0310</v>
      </c>
      <c r="CI1539" s="1" t="s">
        <v>102</v>
      </c>
    </row>
    <row r="1540" spans="1:87">
      <c r="A1540" t="s">
        <v>2104</v>
      </c>
      <c r="B1540">
        <v>390</v>
      </c>
      <c r="C1540" t="s">
        <v>2099</v>
      </c>
      <c r="D1540" t="s">
        <v>410</v>
      </c>
      <c r="E1540" t="s">
        <v>629</v>
      </c>
      <c r="F1540" t="s">
        <v>652</v>
      </c>
      <c r="G1540" t="s">
        <v>1736</v>
      </c>
      <c r="W1540">
        <v>65</v>
      </c>
      <c r="Y1540">
        <v>65</v>
      </c>
      <c r="AA1540">
        <v>65</v>
      </c>
      <c r="AC1540">
        <v>65</v>
      </c>
      <c r="AE1540">
        <v>65</v>
      </c>
      <c r="AG1540">
        <v>65</v>
      </c>
      <c r="CH1540" t="str">
        <f t="shared" si="24"/>
        <v>D-0591</v>
      </c>
      <c r="CI1540" s="1" t="s">
        <v>102</v>
      </c>
    </row>
    <row r="1541" spans="1:87">
      <c r="A1541" t="s">
        <v>2123</v>
      </c>
      <c r="B1541">
        <v>540</v>
      </c>
      <c r="C1541" t="s">
        <v>2099</v>
      </c>
      <c r="D1541" t="s">
        <v>410</v>
      </c>
      <c r="E1541" t="s">
        <v>629</v>
      </c>
      <c r="F1541" t="s">
        <v>652</v>
      </c>
      <c r="G1541" t="s">
        <v>1736</v>
      </c>
      <c r="M1541">
        <v>3</v>
      </c>
      <c r="O1541">
        <v>7</v>
      </c>
      <c r="Q1541">
        <v>17</v>
      </c>
      <c r="S1541">
        <v>22</v>
      </c>
      <c r="U1541">
        <v>21</v>
      </c>
      <c r="W1541">
        <v>71</v>
      </c>
      <c r="Y1541">
        <v>100</v>
      </c>
      <c r="AA1541">
        <v>127</v>
      </c>
      <c r="AC1541">
        <v>79</v>
      </c>
      <c r="AE1541">
        <v>55</v>
      </c>
      <c r="AG1541">
        <v>38</v>
      </c>
      <c r="CH1541" t="str">
        <f t="shared" si="24"/>
        <v>D-0591</v>
      </c>
      <c r="CI1541" s="1" t="s">
        <v>102</v>
      </c>
    </row>
    <row r="1542" spans="1:87">
      <c r="A1542" t="s">
        <v>2125</v>
      </c>
      <c r="B1542">
        <v>114</v>
      </c>
      <c r="C1542" t="s">
        <v>2099</v>
      </c>
      <c r="D1542" t="s">
        <v>410</v>
      </c>
      <c r="E1542" t="s">
        <v>629</v>
      </c>
      <c r="F1542" t="s">
        <v>652</v>
      </c>
      <c r="G1542" t="s">
        <v>1736</v>
      </c>
      <c r="S1542">
        <v>1</v>
      </c>
      <c r="U1542">
        <v>2</v>
      </c>
      <c r="W1542">
        <v>17</v>
      </c>
      <c r="Y1542">
        <v>23</v>
      </c>
      <c r="AA1542">
        <v>28</v>
      </c>
      <c r="AC1542">
        <v>17</v>
      </c>
      <c r="AE1542">
        <v>16</v>
      </c>
      <c r="AG1542">
        <v>10</v>
      </c>
      <c r="CH1542" t="str">
        <f t="shared" si="24"/>
        <v>D-0591</v>
      </c>
      <c r="CI1542" s="1" t="s">
        <v>102</v>
      </c>
    </row>
    <row r="1543" spans="1:87">
      <c r="A1543" t="s">
        <v>2127</v>
      </c>
      <c r="B1543">
        <v>72</v>
      </c>
      <c r="C1543" t="s">
        <v>2099</v>
      </c>
      <c r="D1543" t="s">
        <v>410</v>
      </c>
      <c r="E1543" t="s">
        <v>629</v>
      </c>
      <c r="F1543" t="s">
        <v>652</v>
      </c>
      <c r="G1543" t="s">
        <v>1736</v>
      </c>
      <c r="U1543">
        <v>6</v>
      </c>
      <c r="V1543">
        <v>12</v>
      </c>
      <c r="W1543">
        <v>12</v>
      </c>
      <c r="X1543">
        <v>12</v>
      </c>
      <c r="Y1543">
        <v>12</v>
      </c>
      <c r="Z1543">
        <v>6</v>
      </c>
      <c r="AA1543">
        <v>6</v>
      </c>
      <c r="AB1543">
        <v>6</v>
      </c>
      <c r="CH1543" t="str">
        <f t="shared" si="24"/>
        <v>D-0591</v>
      </c>
      <c r="CI1543" s="1" t="s">
        <v>102</v>
      </c>
    </row>
    <row r="1544" spans="1:87">
      <c r="A1544" t="s">
        <v>2129</v>
      </c>
      <c r="B1544">
        <v>120</v>
      </c>
      <c r="C1544" t="s">
        <v>2099</v>
      </c>
      <c r="D1544" t="s">
        <v>410</v>
      </c>
      <c r="E1544" t="s">
        <v>629</v>
      </c>
      <c r="F1544" t="s">
        <v>652</v>
      </c>
      <c r="G1544" t="s">
        <v>1736</v>
      </c>
      <c r="S1544">
        <v>12</v>
      </c>
      <c r="U1544">
        <v>24</v>
      </c>
      <c r="W1544">
        <v>24</v>
      </c>
      <c r="Y1544">
        <v>24</v>
      </c>
      <c r="AA1544">
        <v>24</v>
      </c>
      <c r="AC1544">
        <v>12</v>
      </c>
      <c r="CH1544" t="str">
        <f t="shared" si="24"/>
        <v>D-0591</v>
      </c>
      <c r="CI1544" s="1" t="s">
        <v>102</v>
      </c>
    </row>
    <row r="1545" spans="1:87">
      <c r="A1545" t="s">
        <v>2131</v>
      </c>
      <c r="B1545">
        <v>240</v>
      </c>
      <c r="C1545" t="s">
        <v>2099</v>
      </c>
      <c r="D1545" t="s">
        <v>410</v>
      </c>
      <c r="E1545" t="s">
        <v>629</v>
      </c>
      <c r="F1545" t="s">
        <v>652</v>
      </c>
      <c r="G1545" t="s">
        <v>1736</v>
      </c>
      <c r="O1545">
        <v>20</v>
      </c>
      <c r="Q1545">
        <v>20</v>
      </c>
      <c r="S1545">
        <v>40</v>
      </c>
      <c r="U1545">
        <v>40</v>
      </c>
      <c r="W1545">
        <v>40</v>
      </c>
      <c r="Y1545">
        <v>40</v>
      </c>
      <c r="AA1545">
        <v>20</v>
      </c>
      <c r="AC1545">
        <v>20</v>
      </c>
      <c r="CH1545" t="str">
        <f t="shared" si="24"/>
        <v>D-0591</v>
      </c>
      <c r="CI1545" s="1" t="s">
        <v>102</v>
      </c>
    </row>
    <row r="1546" spans="1:87">
      <c r="A1546" t="s">
        <v>2135</v>
      </c>
      <c r="B1546">
        <v>35</v>
      </c>
      <c r="C1546" t="s">
        <v>2099</v>
      </c>
      <c r="D1546" t="s">
        <v>410</v>
      </c>
      <c r="E1546" t="s">
        <v>629</v>
      </c>
      <c r="F1546" t="s">
        <v>652</v>
      </c>
      <c r="G1546" t="s">
        <v>1736</v>
      </c>
      <c r="U1546">
        <v>3</v>
      </c>
      <c r="V1546">
        <v>6</v>
      </c>
      <c r="X1546">
        <v>6</v>
      </c>
      <c r="Y1546">
        <v>3</v>
      </c>
      <c r="Z1546">
        <v>6</v>
      </c>
      <c r="AA1546">
        <v>6</v>
      </c>
      <c r="AC1546">
        <v>3</v>
      </c>
      <c r="AD1546">
        <v>2</v>
      </c>
      <c r="CH1546" t="str">
        <f t="shared" si="24"/>
        <v>D-0591</v>
      </c>
      <c r="CI1546" s="1" t="s">
        <v>102</v>
      </c>
    </row>
    <row r="1547" spans="1:87">
      <c r="A1547" t="s">
        <v>2137</v>
      </c>
      <c r="B1547">
        <v>300</v>
      </c>
      <c r="C1547" t="s">
        <v>2099</v>
      </c>
      <c r="D1547" t="s">
        <v>410</v>
      </c>
      <c r="E1547" t="s">
        <v>629</v>
      </c>
      <c r="F1547" t="s">
        <v>652</v>
      </c>
      <c r="G1547" t="s">
        <v>1736</v>
      </c>
      <c r="U1547">
        <v>26</v>
      </c>
      <c r="W1547">
        <v>33</v>
      </c>
      <c r="Y1547">
        <v>47</v>
      </c>
      <c r="AA1547">
        <v>75</v>
      </c>
      <c r="AC1547">
        <v>72</v>
      </c>
      <c r="AE1547">
        <v>47</v>
      </c>
      <c r="CH1547" t="str">
        <f t="shared" si="24"/>
        <v>D-0591</v>
      </c>
      <c r="CI1547" s="1" t="s">
        <v>102</v>
      </c>
    </row>
    <row r="1548" spans="1:87">
      <c r="A1548" t="s">
        <v>2138</v>
      </c>
      <c r="B1548">
        <v>200</v>
      </c>
      <c r="C1548" t="s">
        <v>2099</v>
      </c>
      <c r="D1548" t="s">
        <v>410</v>
      </c>
      <c r="E1548" t="s">
        <v>629</v>
      </c>
      <c r="F1548" t="s">
        <v>652</v>
      </c>
      <c r="G1548" t="s">
        <v>1736</v>
      </c>
      <c r="U1548">
        <v>18</v>
      </c>
      <c r="W1548">
        <v>22</v>
      </c>
      <c r="Y1548">
        <v>31</v>
      </c>
      <c r="AA1548">
        <v>50</v>
      </c>
      <c r="AC1548">
        <v>48</v>
      </c>
      <c r="AE1548">
        <v>31</v>
      </c>
      <c r="CH1548" t="str">
        <f t="shared" si="24"/>
        <v>D-0591</v>
      </c>
      <c r="CI1548" s="1" t="s">
        <v>102</v>
      </c>
    </row>
    <row r="1549" spans="1:87">
      <c r="A1549" t="s">
        <v>2139</v>
      </c>
      <c r="B1549">
        <v>144</v>
      </c>
      <c r="C1549" t="s">
        <v>2099</v>
      </c>
      <c r="D1549" t="s">
        <v>410</v>
      </c>
      <c r="E1549" t="s">
        <v>629</v>
      </c>
      <c r="F1549" t="s">
        <v>652</v>
      </c>
      <c r="G1549" t="s">
        <v>1736</v>
      </c>
      <c r="S1549">
        <v>16</v>
      </c>
      <c r="U1549">
        <v>16</v>
      </c>
      <c r="V1549">
        <v>32</v>
      </c>
      <c r="X1549">
        <v>32</v>
      </c>
      <c r="Z1549">
        <v>32</v>
      </c>
      <c r="AA1549">
        <v>16</v>
      </c>
      <c r="CH1549" t="str">
        <f t="shared" si="24"/>
        <v>D-0591</v>
      </c>
      <c r="CI1549" s="1" t="s">
        <v>102</v>
      </c>
    </row>
    <row r="1550" spans="1:87">
      <c r="A1550" t="s">
        <v>2140</v>
      </c>
      <c r="B1550">
        <v>135</v>
      </c>
      <c r="C1550" t="s">
        <v>2099</v>
      </c>
      <c r="D1550" t="s">
        <v>410</v>
      </c>
      <c r="E1550" t="s">
        <v>629</v>
      </c>
      <c r="F1550" t="s">
        <v>652</v>
      </c>
      <c r="G1550" t="s">
        <v>1736</v>
      </c>
      <c r="S1550">
        <v>15</v>
      </c>
      <c r="U1550">
        <v>15</v>
      </c>
      <c r="V1550">
        <v>30</v>
      </c>
      <c r="X1550">
        <v>30</v>
      </c>
      <c r="Z1550">
        <v>30</v>
      </c>
      <c r="AA1550">
        <v>15</v>
      </c>
      <c r="CH1550" t="str">
        <f t="shared" si="24"/>
        <v>D-0591</v>
      </c>
      <c r="CI1550" s="1" t="s">
        <v>102</v>
      </c>
    </row>
    <row r="1551" spans="1:87">
      <c r="A1551" t="s">
        <v>2142</v>
      </c>
      <c r="B1551">
        <v>1404</v>
      </c>
      <c r="C1551" t="s">
        <v>2099</v>
      </c>
      <c r="D1551" t="s">
        <v>410</v>
      </c>
      <c r="E1551" t="s">
        <v>629</v>
      </c>
      <c r="F1551" t="s">
        <v>652</v>
      </c>
      <c r="G1551" t="s">
        <v>1736</v>
      </c>
      <c r="U1551">
        <v>156</v>
      </c>
      <c r="V1551">
        <v>156</v>
      </c>
      <c r="X1551">
        <v>468</v>
      </c>
      <c r="Z1551">
        <v>312</v>
      </c>
      <c r="AA1551">
        <v>156</v>
      </c>
      <c r="AC1551">
        <v>156</v>
      </c>
      <c r="CH1551" t="str">
        <f t="shared" si="24"/>
        <v>D-0591</v>
      </c>
      <c r="CI1551" s="1" t="s">
        <v>102</v>
      </c>
    </row>
    <row r="1552" spans="1:87">
      <c r="A1552" t="s">
        <v>2143</v>
      </c>
      <c r="B1552">
        <v>228</v>
      </c>
      <c r="C1552" t="s">
        <v>2099</v>
      </c>
      <c r="D1552" t="s">
        <v>410</v>
      </c>
      <c r="E1552" t="s">
        <v>629</v>
      </c>
      <c r="F1552" t="s">
        <v>652</v>
      </c>
      <c r="G1552" t="s">
        <v>1736</v>
      </c>
      <c r="U1552">
        <v>36</v>
      </c>
      <c r="V1552">
        <v>36</v>
      </c>
      <c r="X1552">
        <v>72</v>
      </c>
      <c r="Z1552">
        <v>36</v>
      </c>
      <c r="AA1552">
        <v>24</v>
      </c>
      <c r="AC1552">
        <v>24</v>
      </c>
      <c r="CH1552" t="str">
        <f t="shared" si="24"/>
        <v>D-0591</v>
      </c>
      <c r="CI1552" s="1" t="s">
        <v>102</v>
      </c>
    </row>
    <row r="1553" spans="1:87">
      <c r="A1553" t="s">
        <v>2151</v>
      </c>
      <c r="B1553">
        <v>348</v>
      </c>
      <c r="C1553" t="s">
        <v>2099</v>
      </c>
      <c r="D1553" t="s">
        <v>410</v>
      </c>
      <c r="E1553" t="s">
        <v>629</v>
      </c>
      <c r="F1553" t="s">
        <v>652</v>
      </c>
      <c r="G1553" t="s">
        <v>1736</v>
      </c>
      <c r="M1553">
        <v>12</v>
      </c>
      <c r="N1553">
        <v>12</v>
      </c>
      <c r="O1553">
        <v>12</v>
      </c>
      <c r="P1553">
        <v>24</v>
      </c>
      <c r="Q1553">
        <v>12</v>
      </c>
      <c r="R1553">
        <v>24</v>
      </c>
      <c r="S1553">
        <v>24</v>
      </c>
      <c r="T1553">
        <v>12</v>
      </c>
      <c r="U1553">
        <v>36</v>
      </c>
      <c r="V1553">
        <v>48</v>
      </c>
      <c r="W1553">
        <v>12</v>
      </c>
      <c r="X1553">
        <v>48</v>
      </c>
      <c r="Y1553">
        <v>12</v>
      </c>
      <c r="Z1553">
        <v>36</v>
      </c>
      <c r="AA1553">
        <v>12</v>
      </c>
      <c r="AC1553">
        <v>12</v>
      </c>
      <c r="CH1553" t="str">
        <f t="shared" si="24"/>
        <v>D-0591</v>
      </c>
      <c r="CI1553" s="1" t="s">
        <v>102</v>
      </c>
    </row>
    <row r="1554" spans="1:87">
      <c r="A1554" t="s">
        <v>2152</v>
      </c>
      <c r="B1554">
        <v>408</v>
      </c>
      <c r="C1554" t="s">
        <v>2099</v>
      </c>
      <c r="D1554" t="s">
        <v>410</v>
      </c>
      <c r="E1554" t="s">
        <v>629</v>
      </c>
      <c r="F1554" t="s">
        <v>652</v>
      </c>
      <c r="G1554" t="s">
        <v>1736</v>
      </c>
      <c r="M1554">
        <v>12</v>
      </c>
      <c r="N1554">
        <v>12</v>
      </c>
      <c r="O1554">
        <v>12</v>
      </c>
      <c r="P1554">
        <v>24</v>
      </c>
      <c r="Q1554">
        <v>12</v>
      </c>
      <c r="R1554">
        <v>24</v>
      </c>
      <c r="S1554">
        <v>24</v>
      </c>
      <c r="T1554">
        <v>12</v>
      </c>
      <c r="U1554">
        <v>48</v>
      </c>
      <c r="V1554">
        <v>60</v>
      </c>
      <c r="W1554">
        <v>24</v>
      </c>
      <c r="X1554">
        <v>60</v>
      </c>
      <c r="Y1554">
        <v>12</v>
      </c>
      <c r="Z1554">
        <v>36</v>
      </c>
      <c r="AA1554">
        <v>24</v>
      </c>
      <c r="AC1554">
        <v>12</v>
      </c>
      <c r="CH1554" t="str">
        <f t="shared" si="24"/>
        <v>D-0591</v>
      </c>
      <c r="CI1554" s="1" t="s">
        <v>102</v>
      </c>
    </row>
    <row r="1555" spans="1:87">
      <c r="A1555" t="s">
        <v>2153</v>
      </c>
      <c r="B1555">
        <v>2172</v>
      </c>
      <c r="C1555" t="s">
        <v>1555</v>
      </c>
      <c r="D1555" t="s">
        <v>261</v>
      </c>
      <c r="E1555" t="s">
        <v>629</v>
      </c>
      <c r="F1555" t="s">
        <v>652</v>
      </c>
      <c r="G1555" t="s">
        <v>1556</v>
      </c>
      <c r="L1555">
        <v>132</v>
      </c>
      <c r="M1555">
        <v>264</v>
      </c>
      <c r="N1555">
        <v>180</v>
      </c>
      <c r="O1555">
        <v>228</v>
      </c>
      <c r="P1555">
        <v>264</v>
      </c>
      <c r="Q1555">
        <v>276</v>
      </c>
      <c r="R1555">
        <v>204</v>
      </c>
      <c r="S1555">
        <v>60</v>
      </c>
      <c r="T1555">
        <v>120</v>
      </c>
      <c r="U1555">
        <v>60</v>
      </c>
      <c r="V1555">
        <v>60</v>
      </c>
      <c r="W1555">
        <v>96</v>
      </c>
      <c r="X1555">
        <v>84</v>
      </c>
      <c r="Y1555">
        <v>60</v>
      </c>
      <c r="Z1555">
        <v>36</v>
      </c>
      <c r="AA1555">
        <v>24</v>
      </c>
      <c r="AB1555">
        <v>24</v>
      </c>
      <c r="CH1555" t="str">
        <f t="shared" si="24"/>
        <v>D-0310</v>
      </c>
      <c r="CI1555" s="1" t="s">
        <v>102</v>
      </c>
    </row>
    <row r="1556" spans="1:87">
      <c r="A1556" t="s">
        <v>2192</v>
      </c>
      <c r="B1556">
        <v>32</v>
      </c>
      <c r="C1556" t="s">
        <v>1642</v>
      </c>
      <c r="D1556" t="s">
        <v>533</v>
      </c>
      <c r="E1556" t="s">
        <v>629</v>
      </c>
      <c r="F1556" t="s">
        <v>1643</v>
      </c>
      <c r="P1556">
        <v>16</v>
      </c>
      <c r="R1556">
        <v>16</v>
      </c>
      <c r="CH1556" t="str">
        <f t="shared" si="24"/>
        <v>D-0041</v>
      </c>
      <c r="CI1556" s="1" t="s">
        <v>102</v>
      </c>
    </row>
    <row r="1557" spans="1:87">
      <c r="A1557" t="s">
        <v>2217</v>
      </c>
      <c r="B1557">
        <v>16</v>
      </c>
      <c r="C1557" t="s">
        <v>2082</v>
      </c>
      <c r="D1557" t="s">
        <v>261</v>
      </c>
      <c r="E1557" t="s">
        <v>629</v>
      </c>
      <c r="F1557" t="s">
        <v>652</v>
      </c>
      <c r="G1557" t="s">
        <v>2083</v>
      </c>
      <c r="V1557">
        <v>8</v>
      </c>
      <c r="X1557">
        <v>8</v>
      </c>
      <c r="CH1557" t="str">
        <f t="shared" si="24"/>
        <v>D-0310</v>
      </c>
      <c r="CI1557" s="1" t="s">
        <v>102</v>
      </c>
    </row>
    <row r="1558" spans="1:87">
      <c r="A1558" t="s">
        <v>2306</v>
      </c>
      <c r="B1558">
        <v>30</v>
      </c>
      <c r="C1558" t="s">
        <v>2289</v>
      </c>
      <c r="D1558" t="s">
        <v>261</v>
      </c>
      <c r="E1558" t="s">
        <v>629</v>
      </c>
      <c r="F1558" t="s">
        <v>652</v>
      </c>
      <c r="G1558" t="s">
        <v>1736</v>
      </c>
      <c r="V1558">
        <v>15</v>
      </c>
      <c r="X1558">
        <v>15</v>
      </c>
      <c r="CH1558" t="str">
        <f t="shared" si="24"/>
        <v>D-0310</v>
      </c>
      <c r="CI1558" s="1" t="s">
        <v>102</v>
      </c>
    </row>
    <row r="1559" spans="1:87">
      <c r="A1559" t="s">
        <v>2228</v>
      </c>
      <c r="B1559">
        <v>16</v>
      </c>
      <c r="C1559" t="s">
        <v>1746</v>
      </c>
      <c r="D1559" t="s">
        <v>410</v>
      </c>
      <c r="E1559" t="s">
        <v>629</v>
      </c>
      <c r="F1559" t="s">
        <v>652</v>
      </c>
      <c r="G1559" t="s">
        <v>1742</v>
      </c>
      <c r="V1559">
        <v>8</v>
      </c>
      <c r="X1559">
        <v>8</v>
      </c>
      <c r="CH1559" t="str">
        <f t="shared" si="24"/>
        <v>D-0591</v>
      </c>
      <c r="CI1559" s="1" t="s">
        <v>102</v>
      </c>
    </row>
    <row r="1560" spans="1:87">
      <c r="A1560" t="s">
        <v>2242</v>
      </c>
      <c r="B1560">
        <v>10</v>
      </c>
      <c r="C1560" t="s">
        <v>1555</v>
      </c>
      <c r="D1560" t="s">
        <v>261</v>
      </c>
      <c r="E1560" t="s">
        <v>629</v>
      </c>
      <c r="F1560" t="s">
        <v>652</v>
      </c>
      <c r="G1560" t="s">
        <v>1556</v>
      </c>
      <c r="V1560">
        <v>5</v>
      </c>
      <c r="X1560">
        <v>5</v>
      </c>
      <c r="CH1560" t="str">
        <f t="shared" si="24"/>
        <v>D-0310</v>
      </c>
      <c r="CI1560" s="1" t="s">
        <v>102</v>
      </c>
    </row>
    <row r="1561" spans="1:87">
      <c r="A1561" t="s">
        <v>2263</v>
      </c>
      <c r="B1561">
        <v>84</v>
      </c>
      <c r="C1561" t="s">
        <v>2099</v>
      </c>
      <c r="D1561" t="s">
        <v>410</v>
      </c>
      <c r="E1561" t="s">
        <v>629</v>
      </c>
      <c r="F1561" t="s">
        <v>652</v>
      </c>
      <c r="G1561" t="s">
        <v>1736</v>
      </c>
      <c r="U1561">
        <v>12</v>
      </c>
      <c r="V1561">
        <v>12</v>
      </c>
      <c r="W1561">
        <v>12</v>
      </c>
      <c r="X1561">
        <v>12</v>
      </c>
      <c r="Y1561">
        <v>12</v>
      </c>
      <c r="Z1561">
        <v>12</v>
      </c>
      <c r="AA1561">
        <v>12</v>
      </c>
      <c r="CH1561" t="str">
        <f t="shared" si="24"/>
        <v>D-0591</v>
      </c>
      <c r="CI1561" s="1" t="s">
        <v>102</v>
      </c>
    </row>
    <row r="1562" spans="1:87">
      <c r="A1562" t="s">
        <v>2264</v>
      </c>
      <c r="B1562">
        <v>192</v>
      </c>
      <c r="C1562" t="s">
        <v>2099</v>
      </c>
      <c r="D1562" t="s">
        <v>410</v>
      </c>
      <c r="E1562" t="s">
        <v>629</v>
      </c>
      <c r="F1562" t="s">
        <v>652</v>
      </c>
      <c r="G1562" t="s">
        <v>1736</v>
      </c>
      <c r="U1562">
        <v>16</v>
      </c>
      <c r="V1562">
        <v>32</v>
      </c>
      <c r="W1562">
        <v>32</v>
      </c>
      <c r="X1562">
        <v>32</v>
      </c>
      <c r="Y1562">
        <v>32</v>
      </c>
      <c r="Z1562">
        <v>16</v>
      </c>
      <c r="AA1562">
        <v>16</v>
      </c>
      <c r="AB1562">
        <v>16</v>
      </c>
      <c r="CH1562" t="str">
        <f t="shared" si="24"/>
        <v>D-0591</v>
      </c>
      <c r="CI1562" s="1" t="s">
        <v>102</v>
      </c>
    </row>
    <row r="1563" spans="1:87">
      <c r="A1563" t="s">
        <v>2265</v>
      </c>
      <c r="B1563">
        <v>192</v>
      </c>
      <c r="C1563" t="s">
        <v>2099</v>
      </c>
      <c r="D1563" t="s">
        <v>410</v>
      </c>
      <c r="E1563" t="s">
        <v>629</v>
      </c>
      <c r="F1563" t="s">
        <v>652</v>
      </c>
      <c r="G1563" t="s">
        <v>1736</v>
      </c>
      <c r="U1563">
        <v>16</v>
      </c>
      <c r="V1563">
        <v>32</v>
      </c>
      <c r="W1563">
        <v>32</v>
      </c>
      <c r="X1563">
        <v>32</v>
      </c>
      <c r="Y1563">
        <v>32</v>
      </c>
      <c r="Z1563">
        <v>16</v>
      </c>
      <c r="AA1563">
        <v>16</v>
      </c>
      <c r="AB1563">
        <v>16</v>
      </c>
      <c r="CH1563" t="str">
        <f t="shared" si="24"/>
        <v>D-0591</v>
      </c>
      <c r="CI1563" s="1" t="s">
        <v>102</v>
      </c>
    </row>
    <row r="1564" spans="1:87">
      <c r="A1564" t="s">
        <v>2266</v>
      </c>
      <c r="B1564">
        <v>168</v>
      </c>
      <c r="C1564" t="s">
        <v>2099</v>
      </c>
      <c r="D1564" t="s">
        <v>410</v>
      </c>
      <c r="E1564" t="s">
        <v>629</v>
      </c>
      <c r="F1564" t="s">
        <v>652</v>
      </c>
      <c r="G1564" t="s">
        <v>1736</v>
      </c>
      <c r="S1564">
        <v>12</v>
      </c>
      <c r="U1564">
        <v>24</v>
      </c>
      <c r="W1564">
        <v>36</v>
      </c>
      <c r="Y1564">
        <v>48</v>
      </c>
      <c r="AA1564">
        <v>24</v>
      </c>
      <c r="AC1564">
        <v>24</v>
      </c>
      <c r="CH1564" t="str">
        <f t="shared" si="24"/>
        <v>D-0591</v>
      </c>
      <c r="CI1564" s="1" t="s">
        <v>102</v>
      </c>
    </row>
    <row r="1565" spans="1:87">
      <c r="A1565" t="s">
        <v>2267</v>
      </c>
      <c r="B1565">
        <v>232</v>
      </c>
      <c r="C1565" t="s">
        <v>2099</v>
      </c>
      <c r="D1565" t="s">
        <v>410</v>
      </c>
      <c r="E1565" t="s">
        <v>629</v>
      </c>
      <c r="F1565" t="s">
        <v>652</v>
      </c>
      <c r="G1565" t="s">
        <v>1736</v>
      </c>
      <c r="Q1565">
        <v>12</v>
      </c>
      <c r="S1565">
        <v>24</v>
      </c>
      <c r="U1565">
        <v>41</v>
      </c>
      <c r="W1565">
        <v>54</v>
      </c>
      <c r="Y1565">
        <v>54</v>
      </c>
      <c r="AA1565">
        <v>30</v>
      </c>
      <c r="AC1565">
        <v>17</v>
      </c>
      <c r="CH1565" t="str">
        <f t="shared" si="24"/>
        <v>D-0591</v>
      </c>
      <c r="CI1565" s="1" t="s">
        <v>102</v>
      </c>
    </row>
    <row r="1566" spans="1:87">
      <c r="A1566" t="s">
        <v>2268</v>
      </c>
      <c r="B1566">
        <v>361</v>
      </c>
      <c r="C1566" t="s">
        <v>2099</v>
      </c>
      <c r="D1566" t="s">
        <v>410</v>
      </c>
      <c r="E1566" t="s">
        <v>629</v>
      </c>
      <c r="F1566" t="s">
        <v>652</v>
      </c>
      <c r="G1566" t="s">
        <v>1736</v>
      </c>
      <c r="Q1566">
        <v>12</v>
      </c>
      <c r="S1566">
        <v>24</v>
      </c>
      <c r="U1566">
        <v>58</v>
      </c>
      <c r="W1566">
        <v>94</v>
      </c>
      <c r="Y1566">
        <v>86</v>
      </c>
      <c r="AA1566">
        <v>53</v>
      </c>
      <c r="AC1566">
        <v>34</v>
      </c>
      <c r="CH1566" t="str">
        <f t="shared" si="24"/>
        <v>D-0591</v>
      </c>
      <c r="CI1566" s="1" t="s">
        <v>102</v>
      </c>
    </row>
    <row r="1567" spans="1:87">
      <c r="A1567" t="s">
        <v>2278</v>
      </c>
      <c r="B1567">
        <v>132</v>
      </c>
      <c r="C1567" t="s">
        <v>2099</v>
      </c>
      <c r="D1567" t="s">
        <v>410</v>
      </c>
      <c r="E1567" t="s">
        <v>629</v>
      </c>
      <c r="F1567" t="s">
        <v>652</v>
      </c>
      <c r="G1567" t="s">
        <v>1736</v>
      </c>
      <c r="V1567">
        <v>12</v>
      </c>
      <c r="W1567">
        <v>12</v>
      </c>
      <c r="X1567">
        <v>12</v>
      </c>
      <c r="Y1567">
        <v>12</v>
      </c>
      <c r="Z1567">
        <v>12</v>
      </c>
      <c r="AA1567">
        <v>12</v>
      </c>
      <c r="AB1567">
        <v>12</v>
      </c>
      <c r="AC1567">
        <v>12</v>
      </c>
      <c r="AD1567">
        <v>12</v>
      </c>
      <c r="AE1567">
        <v>12</v>
      </c>
      <c r="AG1567">
        <v>12</v>
      </c>
      <c r="CH1567" t="str">
        <f t="shared" si="24"/>
        <v>D-0591</v>
      </c>
      <c r="CI1567" s="1" t="s">
        <v>102</v>
      </c>
    </row>
    <row r="1568" spans="1:87">
      <c r="A1568" t="s">
        <v>2362</v>
      </c>
      <c r="B1568">
        <v>5523</v>
      </c>
      <c r="C1568" t="s">
        <v>2363</v>
      </c>
      <c r="D1568" t="s">
        <v>188</v>
      </c>
      <c r="E1568" t="s">
        <v>629</v>
      </c>
      <c r="F1568" t="s">
        <v>723</v>
      </c>
      <c r="G1568" t="s">
        <v>2364</v>
      </c>
      <c r="T1568">
        <v>225</v>
      </c>
      <c r="U1568">
        <v>415</v>
      </c>
      <c r="V1568">
        <v>665</v>
      </c>
      <c r="W1568">
        <v>975</v>
      </c>
      <c r="X1568">
        <v>923</v>
      </c>
      <c r="Y1568">
        <v>820</v>
      </c>
      <c r="Z1568">
        <v>620</v>
      </c>
      <c r="AA1568">
        <v>340</v>
      </c>
      <c r="AB1568">
        <v>340</v>
      </c>
      <c r="AC1568">
        <v>80</v>
      </c>
      <c r="AD1568">
        <v>65</v>
      </c>
      <c r="AE1568">
        <v>15</v>
      </c>
      <c r="AF1568">
        <v>35</v>
      </c>
      <c r="AH1568">
        <v>5</v>
      </c>
      <c r="CH1568" t="str">
        <f t="shared" si="24"/>
        <v>D-0179</v>
      </c>
      <c r="CI1568" s="1" t="s">
        <v>102</v>
      </c>
    </row>
    <row r="1569" spans="1:87">
      <c r="A1569" t="s">
        <v>2365</v>
      </c>
      <c r="B1569">
        <v>1383</v>
      </c>
      <c r="C1569" t="s">
        <v>2366</v>
      </c>
      <c r="D1569" t="s">
        <v>186</v>
      </c>
      <c r="E1569" t="s">
        <v>642</v>
      </c>
      <c r="F1569" t="s">
        <v>723</v>
      </c>
      <c r="G1569" t="s">
        <v>2364</v>
      </c>
      <c r="P1569">
        <v>20</v>
      </c>
      <c r="Q1569">
        <v>55</v>
      </c>
      <c r="R1569">
        <v>125</v>
      </c>
      <c r="S1569">
        <v>235</v>
      </c>
      <c r="T1569">
        <v>295</v>
      </c>
      <c r="U1569">
        <v>315</v>
      </c>
      <c r="V1569">
        <v>170</v>
      </c>
      <c r="W1569">
        <v>105</v>
      </c>
      <c r="X1569">
        <v>28</v>
      </c>
      <c r="Y1569">
        <v>25</v>
      </c>
      <c r="Z1569">
        <v>10</v>
      </c>
      <c r="CH1569" t="str">
        <f t="shared" si="24"/>
        <v>D-0178</v>
      </c>
      <c r="CI1569" s="1" t="s">
        <v>102</v>
      </c>
    </row>
    <row r="1570" spans="1:87">
      <c r="A1570" t="s">
        <v>2367</v>
      </c>
      <c r="B1570">
        <v>2228</v>
      </c>
      <c r="C1570" t="s">
        <v>722</v>
      </c>
      <c r="D1570" t="s">
        <v>188</v>
      </c>
      <c r="E1570" t="s">
        <v>629</v>
      </c>
      <c r="F1570" t="s">
        <v>723</v>
      </c>
      <c r="G1570" t="s">
        <v>724</v>
      </c>
      <c r="T1570">
        <v>80</v>
      </c>
      <c r="U1570">
        <v>60</v>
      </c>
      <c r="V1570">
        <v>205</v>
      </c>
      <c r="W1570">
        <v>340</v>
      </c>
      <c r="X1570">
        <v>248</v>
      </c>
      <c r="Y1570">
        <v>250</v>
      </c>
      <c r="Z1570">
        <v>270</v>
      </c>
      <c r="AA1570">
        <v>205</v>
      </c>
      <c r="AB1570">
        <v>235</v>
      </c>
      <c r="AC1570">
        <v>140</v>
      </c>
      <c r="AD1570">
        <v>85</v>
      </c>
      <c r="AE1570">
        <v>70</v>
      </c>
      <c r="AF1570">
        <v>20</v>
      </c>
      <c r="AH1570">
        <v>20</v>
      </c>
      <c r="CH1570" t="str">
        <f t="shared" si="24"/>
        <v>D-0179</v>
      </c>
      <c r="CI1570" s="1" t="s">
        <v>102</v>
      </c>
    </row>
    <row r="1571" spans="1:87">
      <c r="A1571" t="s">
        <v>2368</v>
      </c>
      <c r="B1571">
        <v>3963</v>
      </c>
      <c r="C1571" t="s">
        <v>1157</v>
      </c>
      <c r="D1571" t="s">
        <v>186</v>
      </c>
      <c r="E1571" t="s">
        <v>642</v>
      </c>
      <c r="F1571" t="s">
        <v>723</v>
      </c>
      <c r="G1571" t="s">
        <v>724</v>
      </c>
      <c r="P1571">
        <v>100</v>
      </c>
      <c r="Q1571">
        <v>230</v>
      </c>
      <c r="R1571">
        <v>405</v>
      </c>
      <c r="S1571">
        <v>355</v>
      </c>
      <c r="T1571">
        <v>645</v>
      </c>
      <c r="U1571">
        <v>570</v>
      </c>
      <c r="V1571">
        <v>690</v>
      </c>
      <c r="W1571">
        <v>570</v>
      </c>
      <c r="X1571">
        <v>188</v>
      </c>
      <c r="Y1571">
        <v>95</v>
      </c>
      <c r="Z1571">
        <v>90</v>
      </c>
      <c r="AA1571">
        <v>15</v>
      </c>
      <c r="AB1571">
        <v>10</v>
      </c>
      <c r="CH1571" t="str">
        <f t="shared" si="24"/>
        <v>D-0178</v>
      </c>
      <c r="CI1571" s="1" t="s">
        <v>102</v>
      </c>
    </row>
    <row r="1572" spans="1:87">
      <c r="A1572" t="s">
        <v>2369</v>
      </c>
      <c r="B1572">
        <v>7003</v>
      </c>
      <c r="C1572" t="s">
        <v>1053</v>
      </c>
      <c r="D1572" t="s">
        <v>188</v>
      </c>
      <c r="E1572" t="s">
        <v>629</v>
      </c>
      <c r="F1572" t="s">
        <v>723</v>
      </c>
      <c r="G1572" t="s">
        <v>1054</v>
      </c>
      <c r="T1572">
        <v>270</v>
      </c>
      <c r="U1572">
        <v>430</v>
      </c>
      <c r="V1572">
        <v>920</v>
      </c>
      <c r="W1572">
        <v>1150</v>
      </c>
      <c r="X1572">
        <v>1143</v>
      </c>
      <c r="Y1572">
        <v>1150</v>
      </c>
      <c r="Z1572">
        <v>820</v>
      </c>
      <c r="AA1572">
        <v>470</v>
      </c>
      <c r="AB1572">
        <v>365</v>
      </c>
      <c r="AC1572">
        <v>125</v>
      </c>
      <c r="AD1572">
        <v>85</v>
      </c>
      <c r="AE1572">
        <v>20</v>
      </c>
      <c r="AF1572">
        <v>35</v>
      </c>
      <c r="AH1572">
        <v>20</v>
      </c>
      <c r="CH1572" t="str">
        <f t="shared" si="24"/>
        <v>D-0179</v>
      </c>
      <c r="CI1572" s="1" t="s">
        <v>102</v>
      </c>
    </row>
    <row r="1573" spans="1:87">
      <c r="A1573" t="s">
        <v>2370</v>
      </c>
      <c r="B1573">
        <v>4838</v>
      </c>
      <c r="C1573" t="s">
        <v>979</v>
      </c>
      <c r="D1573" t="s">
        <v>186</v>
      </c>
      <c r="E1573" t="s">
        <v>642</v>
      </c>
      <c r="F1573" t="s">
        <v>723</v>
      </c>
      <c r="G1573" t="s">
        <v>980</v>
      </c>
      <c r="P1573">
        <v>110</v>
      </c>
      <c r="Q1573">
        <v>210</v>
      </c>
      <c r="R1573">
        <v>570</v>
      </c>
      <c r="S1573">
        <v>740</v>
      </c>
      <c r="T1573">
        <v>1020</v>
      </c>
      <c r="U1573">
        <v>840</v>
      </c>
      <c r="V1573">
        <v>770</v>
      </c>
      <c r="W1573">
        <v>400</v>
      </c>
      <c r="X1573">
        <v>113</v>
      </c>
      <c r="Y1573">
        <v>35</v>
      </c>
      <c r="Z1573">
        <v>20</v>
      </c>
      <c r="AA1573">
        <v>10</v>
      </c>
      <c r="CH1573" t="str">
        <f t="shared" si="24"/>
        <v>D-0178</v>
      </c>
      <c r="CI1573" s="1" t="s">
        <v>102</v>
      </c>
    </row>
    <row r="1574" spans="1:87">
      <c r="A1574" t="s">
        <v>2372</v>
      </c>
      <c r="B1574">
        <v>132</v>
      </c>
      <c r="C1574" t="s">
        <v>2099</v>
      </c>
      <c r="D1574" t="s">
        <v>410</v>
      </c>
      <c r="E1574" t="s">
        <v>629</v>
      </c>
      <c r="F1574" t="s">
        <v>652</v>
      </c>
      <c r="G1574" t="s">
        <v>1736</v>
      </c>
      <c r="Q1574">
        <v>12</v>
      </c>
      <c r="S1574">
        <v>12</v>
      </c>
      <c r="U1574">
        <v>12</v>
      </c>
      <c r="W1574">
        <v>12</v>
      </c>
      <c r="X1574">
        <v>12</v>
      </c>
      <c r="Y1574">
        <v>12</v>
      </c>
      <c r="Z1574">
        <v>12</v>
      </c>
      <c r="AA1574">
        <v>12</v>
      </c>
      <c r="AB1574">
        <v>12</v>
      </c>
      <c r="AC1574">
        <v>12</v>
      </c>
      <c r="AE1574">
        <v>12</v>
      </c>
      <c r="CH1574" t="str">
        <f t="shared" si="24"/>
        <v>D-0591</v>
      </c>
      <c r="CI1574" s="1" t="s">
        <v>102</v>
      </c>
    </row>
    <row r="1575" spans="1:87">
      <c r="A1575" t="s">
        <v>2373</v>
      </c>
      <c r="B1575">
        <v>192</v>
      </c>
      <c r="C1575" t="s">
        <v>2099</v>
      </c>
      <c r="D1575" t="s">
        <v>410</v>
      </c>
      <c r="E1575" t="s">
        <v>629</v>
      </c>
      <c r="F1575" t="s">
        <v>652</v>
      </c>
      <c r="G1575" t="s">
        <v>1736</v>
      </c>
      <c r="P1575">
        <v>12</v>
      </c>
      <c r="Q1575">
        <v>12</v>
      </c>
      <c r="R1575">
        <v>12</v>
      </c>
      <c r="S1575">
        <v>12</v>
      </c>
      <c r="T1575">
        <v>12</v>
      </c>
      <c r="U1575">
        <v>12</v>
      </c>
      <c r="V1575">
        <v>12</v>
      </c>
      <c r="W1575">
        <v>12</v>
      </c>
      <c r="X1575">
        <v>12</v>
      </c>
      <c r="Y1575">
        <v>12</v>
      </c>
      <c r="Z1575">
        <v>12</v>
      </c>
      <c r="AA1575">
        <v>12</v>
      </c>
      <c r="AB1575">
        <v>12</v>
      </c>
      <c r="AC1575">
        <v>12</v>
      </c>
      <c r="AE1575">
        <v>12</v>
      </c>
      <c r="AG1575">
        <v>12</v>
      </c>
      <c r="CH1575" t="str">
        <f t="shared" si="24"/>
        <v>D-0591</v>
      </c>
      <c r="CI1575" s="1" t="s">
        <v>102</v>
      </c>
    </row>
    <row r="1576" spans="1:87">
      <c r="A1576" t="s">
        <v>2374</v>
      </c>
      <c r="B1576">
        <v>132</v>
      </c>
      <c r="C1576" t="s">
        <v>2099</v>
      </c>
      <c r="D1576" t="s">
        <v>410</v>
      </c>
      <c r="E1576" t="s">
        <v>629</v>
      </c>
      <c r="F1576" t="s">
        <v>652</v>
      </c>
      <c r="G1576" t="s">
        <v>1736</v>
      </c>
      <c r="V1576">
        <v>12</v>
      </c>
      <c r="W1576">
        <v>12</v>
      </c>
      <c r="X1576">
        <v>12</v>
      </c>
      <c r="Y1576">
        <v>12</v>
      </c>
      <c r="Z1576">
        <v>24</v>
      </c>
      <c r="AA1576">
        <v>24</v>
      </c>
      <c r="AB1576">
        <v>12</v>
      </c>
      <c r="AC1576">
        <v>12</v>
      </c>
      <c r="AD1576">
        <v>12</v>
      </c>
      <c r="CH1576" t="str">
        <f t="shared" si="24"/>
        <v>D-0591</v>
      </c>
      <c r="CI1576" s="1" t="s">
        <v>102</v>
      </c>
    </row>
    <row r="1577" spans="1:87">
      <c r="A1577" t="s">
        <v>2375</v>
      </c>
      <c r="B1577">
        <v>132</v>
      </c>
      <c r="C1577" t="s">
        <v>2099</v>
      </c>
      <c r="D1577" t="s">
        <v>410</v>
      </c>
      <c r="E1577" t="s">
        <v>629</v>
      </c>
      <c r="F1577" t="s">
        <v>652</v>
      </c>
      <c r="G1577" t="s">
        <v>1736</v>
      </c>
      <c r="V1577">
        <v>12</v>
      </c>
      <c r="W1577">
        <v>12</v>
      </c>
      <c r="X1577">
        <v>12</v>
      </c>
      <c r="Y1577">
        <v>12</v>
      </c>
      <c r="Z1577">
        <v>24</v>
      </c>
      <c r="AA1577">
        <v>24</v>
      </c>
      <c r="AB1577">
        <v>12</v>
      </c>
      <c r="AC1577">
        <v>12</v>
      </c>
      <c r="AD1577">
        <v>12</v>
      </c>
      <c r="CH1577" t="str">
        <f t="shared" si="24"/>
        <v>D-0591</v>
      </c>
      <c r="CI1577" s="1" t="s">
        <v>102</v>
      </c>
    </row>
    <row r="1578" spans="1:87">
      <c r="A1578" t="s">
        <v>2376</v>
      </c>
      <c r="B1578">
        <v>240</v>
      </c>
      <c r="C1578" t="s">
        <v>2099</v>
      </c>
      <c r="D1578" t="s">
        <v>410</v>
      </c>
      <c r="E1578" t="s">
        <v>629</v>
      </c>
      <c r="F1578" t="s">
        <v>652</v>
      </c>
      <c r="G1578" t="s">
        <v>1736</v>
      </c>
      <c r="T1578">
        <v>20</v>
      </c>
      <c r="U1578">
        <v>40</v>
      </c>
      <c r="V1578">
        <v>40</v>
      </c>
      <c r="W1578">
        <v>40</v>
      </c>
      <c r="X1578">
        <v>40</v>
      </c>
      <c r="Y1578">
        <v>20</v>
      </c>
      <c r="Z1578">
        <v>20</v>
      </c>
      <c r="AA1578">
        <v>20</v>
      </c>
      <c r="CH1578" t="str">
        <f t="shared" si="24"/>
        <v>D-0591</v>
      </c>
      <c r="CI1578" s="1" t="s">
        <v>102</v>
      </c>
    </row>
    <row r="1579" spans="1:87">
      <c r="A1579" t="s">
        <v>2377</v>
      </c>
      <c r="B1579">
        <v>240</v>
      </c>
      <c r="C1579" t="s">
        <v>2099</v>
      </c>
      <c r="D1579" t="s">
        <v>410</v>
      </c>
      <c r="E1579" t="s">
        <v>629</v>
      </c>
      <c r="F1579" t="s">
        <v>652</v>
      </c>
      <c r="G1579" t="s">
        <v>1736</v>
      </c>
      <c r="T1579">
        <v>20</v>
      </c>
      <c r="U1579">
        <v>40</v>
      </c>
      <c r="V1579">
        <v>40</v>
      </c>
      <c r="W1579">
        <v>40</v>
      </c>
      <c r="X1579">
        <v>40</v>
      </c>
      <c r="Y1579">
        <v>20</v>
      </c>
      <c r="Z1579">
        <v>20</v>
      </c>
      <c r="AA1579">
        <v>20</v>
      </c>
      <c r="CH1579" t="str">
        <f t="shared" si="24"/>
        <v>D-0591</v>
      </c>
      <c r="CI1579" s="1" t="s">
        <v>102</v>
      </c>
    </row>
    <row r="1580" spans="1:87">
      <c r="A1580" t="s">
        <v>5151</v>
      </c>
      <c r="B1580">
        <v>220</v>
      </c>
      <c r="C1580" t="s">
        <v>5152</v>
      </c>
      <c r="D1580" t="s">
        <v>5153</v>
      </c>
      <c r="E1580" t="s">
        <v>642</v>
      </c>
      <c r="F1580" t="s">
        <v>5146</v>
      </c>
      <c r="G1580" t="s">
        <v>2702</v>
      </c>
      <c r="P1580">
        <v>2</v>
      </c>
      <c r="Q1580">
        <v>2</v>
      </c>
      <c r="R1580">
        <v>12</v>
      </c>
      <c r="S1580">
        <v>12</v>
      </c>
      <c r="T1580">
        <v>24</v>
      </c>
      <c r="U1580">
        <v>30</v>
      </c>
      <c r="V1580">
        <v>38</v>
      </c>
      <c r="W1580">
        <v>28</v>
      </c>
      <c r="X1580">
        <v>29</v>
      </c>
      <c r="Y1580">
        <v>16</v>
      </c>
      <c r="Z1580">
        <v>16</v>
      </c>
      <c r="AA1580">
        <v>4</v>
      </c>
      <c r="AB1580">
        <v>5</v>
      </c>
      <c r="AC1580">
        <v>1</v>
      </c>
      <c r="AD1580">
        <v>1</v>
      </c>
      <c r="CH1580" t="str">
        <f t="shared" si="24"/>
        <v>D-0514</v>
      </c>
      <c r="CI1580" s="1" t="s">
        <v>102</v>
      </c>
    </row>
    <row r="1581" spans="1:87">
      <c r="A1581" t="s">
        <v>5154</v>
      </c>
      <c r="B1581">
        <v>3</v>
      </c>
      <c r="C1581" t="s">
        <v>5152</v>
      </c>
      <c r="D1581" t="s">
        <v>5153</v>
      </c>
      <c r="E1581" t="s">
        <v>642</v>
      </c>
      <c r="F1581" t="s">
        <v>5146</v>
      </c>
      <c r="G1581" t="s">
        <v>2702</v>
      </c>
      <c r="T1581">
        <v>3</v>
      </c>
      <c r="CH1581" t="str">
        <f t="shared" si="24"/>
        <v>D-0514</v>
      </c>
      <c r="CI1581" s="1" t="s">
        <v>102</v>
      </c>
    </row>
    <row r="1582" spans="1:87">
      <c r="A1582" t="s">
        <v>2385</v>
      </c>
      <c r="B1582">
        <v>1318</v>
      </c>
      <c r="C1582" t="s">
        <v>1044</v>
      </c>
      <c r="D1582" t="s">
        <v>352</v>
      </c>
      <c r="E1582" t="s">
        <v>642</v>
      </c>
      <c r="F1582" t="s">
        <v>645</v>
      </c>
      <c r="G1582" t="s">
        <v>729</v>
      </c>
      <c r="Q1582">
        <v>74</v>
      </c>
      <c r="R1582">
        <v>140</v>
      </c>
      <c r="S1582">
        <v>264</v>
      </c>
      <c r="T1582">
        <v>206</v>
      </c>
      <c r="U1582">
        <v>224</v>
      </c>
      <c r="V1582">
        <v>144</v>
      </c>
      <c r="W1582">
        <v>91</v>
      </c>
      <c r="X1582">
        <v>24</v>
      </c>
      <c r="Y1582">
        <v>52</v>
      </c>
      <c r="Z1582">
        <v>36</v>
      </c>
      <c r="AA1582">
        <v>33</v>
      </c>
      <c r="AB1582">
        <v>11</v>
      </c>
      <c r="AC1582">
        <v>10</v>
      </c>
      <c r="AD1582">
        <v>9</v>
      </c>
      <c r="CH1582" t="str">
        <f t="shared" si="24"/>
        <v>D-0515</v>
      </c>
      <c r="CI1582" s="1" t="s">
        <v>102</v>
      </c>
    </row>
    <row r="1583" spans="1:87">
      <c r="A1583" t="s">
        <v>2391</v>
      </c>
      <c r="B1583">
        <v>410</v>
      </c>
      <c r="C1583" t="s">
        <v>2392</v>
      </c>
      <c r="D1583" t="s">
        <v>148</v>
      </c>
      <c r="E1583" t="s">
        <v>629</v>
      </c>
      <c r="F1583" t="s">
        <v>744</v>
      </c>
      <c r="G1583" t="s">
        <v>745</v>
      </c>
      <c r="T1583">
        <v>30</v>
      </c>
      <c r="U1583">
        <v>40</v>
      </c>
      <c r="V1583">
        <v>80</v>
      </c>
      <c r="W1583">
        <v>74</v>
      </c>
      <c r="X1583">
        <v>60</v>
      </c>
      <c r="Y1583">
        <v>50</v>
      </c>
      <c r="Z1583">
        <v>26</v>
      </c>
      <c r="AA1583">
        <v>20</v>
      </c>
      <c r="AB1583">
        <v>10</v>
      </c>
      <c r="AC1583">
        <v>10</v>
      </c>
      <c r="AD1583">
        <v>10</v>
      </c>
      <c r="CH1583" t="str">
        <f t="shared" si="24"/>
        <v>D-0091</v>
      </c>
      <c r="CI1583" s="1" t="s">
        <v>102</v>
      </c>
    </row>
    <row r="1584" spans="1:87">
      <c r="A1584" t="s">
        <v>2393</v>
      </c>
      <c r="B1584">
        <v>401</v>
      </c>
      <c r="C1584" t="s">
        <v>2392</v>
      </c>
      <c r="D1584" t="s">
        <v>148</v>
      </c>
      <c r="E1584" t="s">
        <v>629</v>
      </c>
      <c r="F1584" t="s">
        <v>744</v>
      </c>
      <c r="G1584" t="s">
        <v>745</v>
      </c>
      <c r="T1584">
        <v>30</v>
      </c>
      <c r="U1584">
        <v>40</v>
      </c>
      <c r="V1584">
        <v>70</v>
      </c>
      <c r="W1584">
        <v>73</v>
      </c>
      <c r="X1584">
        <v>60</v>
      </c>
      <c r="Y1584">
        <v>50</v>
      </c>
      <c r="Z1584">
        <v>28</v>
      </c>
      <c r="AA1584">
        <v>20</v>
      </c>
      <c r="AB1584">
        <v>10</v>
      </c>
      <c r="AC1584">
        <v>10</v>
      </c>
      <c r="AD1584">
        <v>10</v>
      </c>
      <c r="CH1584" t="str">
        <f t="shared" si="24"/>
        <v>D-0091</v>
      </c>
      <c r="CI1584" s="1" t="s">
        <v>102</v>
      </c>
    </row>
    <row r="1585" spans="1:87">
      <c r="A1585" t="s">
        <v>2394</v>
      </c>
      <c r="B1585">
        <v>401</v>
      </c>
      <c r="C1585" t="s">
        <v>2392</v>
      </c>
      <c r="D1585" t="s">
        <v>148</v>
      </c>
      <c r="E1585" t="s">
        <v>629</v>
      </c>
      <c r="F1585" t="s">
        <v>744</v>
      </c>
      <c r="G1585" t="s">
        <v>745</v>
      </c>
      <c r="T1585">
        <v>30</v>
      </c>
      <c r="U1585">
        <v>40</v>
      </c>
      <c r="V1585">
        <v>70</v>
      </c>
      <c r="W1585">
        <v>73</v>
      </c>
      <c r="X1585">
        <v>60</v>
      </c>
      <c r="Y1585">
        <v>50</v>
      </c>
      <c r="Z1585">
        <v>28</v>
      </c>
      <c r="AA1585">
        <v>20</v>
      </c>
      <c r="AB1585">
        <v>10</v>
      </c>
      <c r="AC1585">
        <v>10</v>
      </c>
      <c r="AD1585">
        <v>10</v>
      </c>
      <c r="CH1585" t="str">
        <f t="shared" si="24"/>
        <v>D-0091</v>
      </c>
      <c r="CI1585" s="1" t="s">
        <v>102</v>
      </c>
    </row>
    <row r="1586" spans="1:87">
      <c r="A1586" t="s">
        <v>2395</v>
      </c>
      <c r="B1586">
        <v>605</v>
      </c>
      <c r="C1586" t="s">
        <v>1009</v>
      </c>
      <c r="D1586" t="s">
        <v>148</v>
      </c>
      <c r="E1586" t="s">
        <v>629</v>
      </c>
      <c r="F1586" t="s">
        <v>744</v>
      </c>
      <c r="G1586" t="s">
        <v>1010</v>
      </c>
      <c r="S1586">
        <v>20</v>
      </c>
      <c r="T1586">
        <v>40</v>
      </c>
      <c r="U1586">
        <v>40</v>
      </c>
      <c r="V1586">
        <v>60</v>
      </c>
      <c r="W1586">
        <v>85</v>
      </c>
      <c r="X1586">
        <v>80</v>
      </c>
      <c r="Y1586">
        <v>120</v>
      </c>
      <c r="Z1586">
        <v>80</v>
      </c>
      <c r="AA1586">
        <v>20</v>
      </c>
      <c r="AB1586">
        <v>20</v>
      </c>
      <c r="AC1586">
        <v>20</v>
      </c>
      <c r="AD1586">
        <v>20</v>
      </c>
      <c r="CH1586" t="str">
        <f t="shared" si="24"/>
        <v>D-0091</v>
      </c>
      <c r="CI1586" s="1" t="s">
        <v>102</v>
      </c>
    </row>
    <row r="1587" spans="1:87">
      <c r="A1587" t="s">
        <v>2396</v>
      </c>
      <c r="B1587">
        <v>399</v>
      </c>
      <c r="C1587" t="s">
        <v>2392</v>
      </c>
      <c r="D1587" t="s">
        <v>148</v>
      </c>
      <c r="E1587" t="s">
        <v>629</v>
      </c>
      <c r="F1587" t="s">
        <v>744</v>
      </c>
      <c r="G1587" t="s">
        <v>745</v>
      </c>
      <c r="T1587">
        <v>30</v>
      </c>
      <c r="U1587">
        <v>40</v>
      </c>
      <c r="V1587">
        <v>70</v>
      </c>
      <c r="W1587">
        <v>73</v>
      </c>
      <c r="X1587">
        <v>60</v>
      </c>
      <c r="Y1587">
        <v>50</v>
      </c>
      <c r="Z1587">
        <v>26</v>
      </c>
      <c r="AA1587">
        <v>20</v>
      </c>
      <c r="AB1587">
        <v>10</v>
      </c>
      <c r="AC1587">
        <v>10</v>
      </c>
      <c r="AD1587">
        <v>10</v>
      </c>
      <c r="CH1587" t="str">
        <f t="shared" si="24"/>
        <v>D-0091</v>
      </c>
      <c r="CI1587" s="1" t="s">
        <v>102</v>
      </c>
    </row>
    <row r="1588" spans="1:87">
      <c r="A1588" t="s">
        <v>2397</v>
      </c>
      <c r="B1588">
        <v>410</v>
      </c>
      <c r="C1588" t="s">
        <v>2392</v>
      </c>
      <c r="D1588" t="s">
        <v>148</v>
      </c>
      <c r="E1588" t="s">
        <v>629</v>
      </c>
      <c r="F1588" t="s">
        <v>744</v>
      </c>
      <c r="G1588" t="s">
        <v>745</v>
      </c>
      <c r="T1588">
        <v>30</v>
      </c>
      <c r="U1588">
        <v>40</v>
      </c>
      <c r="V1588">
        <v>80</v>
      </c>
      <c r="W1588">
        <v>74</v>
      </c>
      <c r="X1588">
        <v>60</v>
      </c>
      <c r="Y1588">
        <v>50</v>
      </c>
      <c r="Z1588">
        <v>26</v>
      </c>
      <c r="AA1588">
        <v>20</v>
      </c>
      <c r="AB1588">
        <v>10</v>
      </c>
      <c r="AC1588">
        <v>10</v>
      </c>
      <c r="AD1588">
        <v>10</v>
      </c>
      <c r="CH1588" t="str">
        <f t="shared" si="24"/>
        <v>D-0091</v>
      </c>
      <c r="CI1588" s="1" t="s">
        <v>102</v>
      </c>
    </row>
    <row r="1589" spans="1:87">
      <c r="A1589" t="s">
        <v>2398</v>
      </c>
      <c r="B1589">
        <v>399</v>
      </c>
      <c r="C1589" t="s">
        <v>2392</v>
      </c>
      <c r="D1589" t="s">
        <v>148</v>
      </c>
      <c r="E1589" t="s">
        <v>629</v>
      </c>
      <c r="F1589" t="s">
        <v>744</v>
      </c>
      <c r="G1589" t="s">
        <v>745</v>
      </c>
      <c r="T1589">
        <v>30</v>
      </c>
      <c r="U1589">
        <v>40</v>
      </c>
      <c r="V1589">
        <v>70</v>
      </c>
      <c r="W1589">
        <v>73</v>
      </c>
      <c r="X1589">
        <v>60</v>
      </c>
      <c r="Y1589">
        <v>50</v>
      </c>
      <c r="Z1589">
        <v>26</v>
      </c>
      <c r="AA1589">
        <v>20</v>
      </c>
      <c r="AB1589">
        <v>10</v>
      </c>
      <c r="AC1589">
        <v>10</v>
      </c>
      <c r="AD1589">
        <v>10</v>
      </c>
      <c r="CH1589" t="str">
        <f t="shared" si="24"/>
        <v>D-0091</v>
      </c>
      <c r="CI1589" s="1" t="s">
        <v>102</v>
      </c>
    </row>
    <row r="1590" spans="1:87">
      <c r="A1590" t="s">
        <v>2399</v>
      </c>
      <c r="B1590">
        <v>601</v>
      </c>
      <c r="C1590" t="s">
        <v>984</v>
      </c>
      <c r="D1590" t="s">
        <v>323</v>
      </c>
      <c r="E1590" t="s">
        <v>676</v>
      </c>
      <c r="F1590" t="s">
        <v>677</v>
      </c>
      <c r="G1590" t="s">
        <v>985</v>
      </c>
      <c r="R1590">
        <v>23</v>
      </c>
      <c r="S1590">
        <v>39</v>
      </c>
      <c r="T1590">
        <v>21</v>
      </c>
      <c r="U1590">
        <v>53</v>
      </c>
      <c r="V1590">
        <v>71</v>
      </c>
      <c r="W1590">
        <v>56</v>
      </c>
      <c r="X1590">
        <v>98</v>
      </c>
      <c r="Y1590">
        <v>59</v>
      </c>
      <c r="Z1590">
        <v>57</v>
      </c>
      <c r="AA1590">
        <v>58</v>
      </c>
      <c r="AB1590">
        <v>39</v>
      </c>
      <c r="AC1590">
        <v>10</v>
      </c>
      <c r="AD1590">
        <v>10</v>
      </c>
      <c r="AF1590">
        <v>7</v>
      </c>
      <c r="CH1590" t="str">
        <f t="shared" si="24"/>
        <v>D-0477</v>
      </c>
      <c r="CI1590" s="1" t="s">
        <v>102</v>
      </c>
    </row>
    <row r="1591" spans="1:87">
      <c r="A1591" t="s">
        <v>2400</v>
      </c>
      <c r="B1591">
        <v>368</v>
      </c>
      <c r="C1591" t="s">
        <v>984</v>
      </c>
      <c r="D1591" t="s">
        <v>323</v>
      </c>
      <c r="E1591" t="s">
        <v>676</v>
      </c>
      <c r="F1591" t="s">
        <v>677</v>
      </c>
      <c r="G1591" t="s">
        <v>985</v>
      </c>
      <c r="R1591">
        <v>33</v>
      </c>
      <c r="S1591">
        <v>46</v>
      </c>
      <c r="T1591">
        <v>40</v>
      </c>
      <c r="U1591">
        <v>42</v>
      </c>
      <c r="V1591">
        <v>45</v>
      </c>
      <c r="W1591">
        <v>40</v>
      </c>
      <c r="X1591">
        <v>31</v>
      </c>
      <c r="Y1591">
        <v>19</v>
      </c>
      <c r="Z1591">
        <v>25</v>
      </c>
      <c r="AA1591">
        <v>14</v>
      </c>
      <c r="AB1591">
        <v>11</v>
      </c>
      <c r="AC1591">
        <v>11</v>
      </c>
      <c r="AD1591">
        <v>8</v>
      </c>
      <c r="AF1591">
        <v>3</v>
      </c>
      <c r="CH1591" t="str">
        <f t="shared" si="24"/>
        <v>D-0477</v>
      </c>
      <c r="CI1591" s="1" t="s">
        <v>102</v>
      </c>
    </row>
    <row r="1592" spans="1:87">
      <c r="A1592" t="s">
        <v>2401</v>
      </c>
      <c r="B1592">
        <v>125</v>
      </c>
      <c r="C1592" t="s">
        <v>984</v>
      </c>
      <c r="D1592" t="s">
        <v>323</v>
      </c>
      <c r="E1592" t="s">
        <v>676</v>
      </c>
      <c r="F1592" t="s">
        <v>677</v>
      </c>
      <c r="G1592" t="s">
        <v>985</v>
      </c>
      <c r="S1592">
        <v>10</v>
      </c>
      <c r="T1592">
        <v>10</v>
      </c>
      <c r="U1592">
        <v>20</v>
      </c>
      <c r="V1592">
        <v>25</v>
      </c>
      <c r="W1592">
        <v>20</v>
      </c>
      <c r="X1592">
        <v>20</v>
      </c>
      <c r="Y1592">
        <v>10</v>
      </c>
      <c r="Z1592">
        <v>10</v>
      </c>
      <c r="CH1592" t="str">
        <f t="shared" si="24"/>
        <v>D-0477</v>
      </c>
      <c r="CI1592" s="1" t="s">
        <v>102</v>
      </c>
    </row>
    <row r="1593" spans="1:87">
      <c r="A1593" t="s">
        <v>2402</v>
      </c>
      <c r="B1593">
        <v>305</v>
      </c>
      <c r="C1593" t="s">
        <v>984</v>
      </c>
      <c r="D1593" t="s">
        <v>323</v>
      </c>
      <c r="E1593" t="s">
        <v>676</v>
      </c>
      <c r="F1593" t="s">
        <v>677</v>
      </c>
      <c r="G1593" t="s">
        <v>985</v>
      </c>
      <c r="S1593">
        <v>25</v>
      </c>
      <c r="T1593">
        <v>25</v>
      </c>
      <c r="U1593">
        <v>50</v>
      </c>
      <c r="V1593">
        <v>55</v>
      </c>
      <c r="W1593">
        <v>50</v>
      </c>
      <c r="X1593">
        <v>50</v>
      </c>
      <c r="Y1593">
        <v>25</v>
      </c>
      <c r="Z1593">
        <v>25</v>
      </c>
      <c r="CH1593" t="str">
        <f t="shared" si="24"/>
        <v>D-0477</v>
      </c>
      <c r="CI1593" s="1" t="s">
        <v>102</v>
      </c>
    </row>
    <row r="1594" spans="1:87">
      <c r="A1594" t="s">
        <v>2403</v>
      </c>
      <c r="B1594">
        <v>123</v>
      </c>
      <c r="C1594" t="s">
        <v>986</v>
      </c>
      <c r="D1594" t="s">
        <v>323</v>
      </c>
      <c r="E1594" t="s">
        <v>676</v>
      </c>
      <c r="F1594" t="s">
        <v>677</v>
      </c>
      <c r="G1594" t="s">
        <v>985</v>
      </c>
      <c r="R1594">
        <v>3</v>
      </c>
      <c r="S1594">
        <v>6</v>
      </c>
      <c r="U1594">
        <v>16</v>
      </c>
      <c r="V1594">
        <v>36</v>
      </c>
      <c r="X1594">
        <v>28</v>
      </c>
      <c r="Y1594">
        <v>20</v>
      </c>
      <c r="AA1594">
        <v>8</v>
      </c>
      <c r="AB1594">
        <v>5</v>
      </c>
      <c r="AD1594">
        <v>1</v>
      </c>
      <c r="CH1594" t="str">
        <f t="shared" si="24"/>
        <v>D-0477</v>
      </c>
      <c r="CI1594" s="1" t="s">
        <v>102</v>
      </c>
    </row>
    <row r="1595" spans="1:87">
      <c r="A1595" t="s">
        <v>2404</v>
      </c>
      <c r="B1595">
        <v>105</v>
      </c>
      <c r="C1595" t="s">
        <v>986</v>
      </c>
      <c r="D1595" t="s">
        <v>323</v>
      </c>
      <c r="E1595" t="s">
        <v>676</v>
      </c>
      <c r="F1595" t="s">
        <v>677</v>
      </c>
      <c r="G1595" t="s">
        <v>985</v>
      </c>
      <c r="R1595">
        <v>4</v>
      </c>
      <c r="S1595">
        <v>7</v>
      </c>
      <c r="U1595">
        <v>12</v>
      </c>
      <c r="V1595">
        <v>30</v>
      </c>
      <c r="X1595">
        <v>20</v>
      </c>
      <c r="Y1595">
        <v>17</v>
      </c>
      <c r="AA1595">
        <v>9</v>
      </c>
      <c r="AB1595">
        <v>5</v>
      </c>
      <c r="AD1595">
        <v>1</v>
      </c>
      <c r="CH1595" t="str">
        <f t="shared" si="24"/>
        <v>D-0477</v>
      </c>
      <c r="CI1595" s="1" t="s">
        <v>102</v>
      </c>
    </row>
    <row r="1596" spans="1:87">
      <c r="A1596" t="s">
        <v>2406</v>
      </c>
      <c r="B1596">
        <v>20003</v>
      </c>
      <c r="C1596" t="s">
        <v>1184</v>
      </c>
      <c r="D1596" t="s">
        <v>444</v>
      </c>
      <c r="E1596" t="s">
        <v>642</v>
      </c>
      <c r="F1596" t="s">
        <v>636</v>
      </c>
      <c r="G1596" t="s">
        <v>1185</v>
      </c>
      <c r="P1596">
        <v>479</v>
      </c>
      <c r="Q1596">
        <v>1284</v>
      </c>
      <c r="R1596">
        <v>2294</v>
      </c>
      <c r="S1596">
        <v>3419</v>
      </c>
      <c r="T1596">
        <v>3644</v>
      </c>
      <c r="U1596">
        <v>3031</v>
      </c>
      <c r="V1596">
        <v>2615</v>
      </c>
      <c r="W1596">
        <v>1535</v>
      </c>
      <c r="X1596">
        <v>786</v>
      </c>
      <c r="Y1596">
        <v>451</v>
      </c>
      <c r="Z1596">
        <v>465</v>
      </c>
      <c r="CH1596" t="str">
        <f t="shared" si="24"/>
        <v>D-0686</v>
      </c>
      <c r="CI1596" s="1" t="s">
        <v>102</v>
      </c>
    </row>
    <row r="1597" spans="1:87">
      <c r="A1597" t="s">
        <v>2437</v>
      </c>
      <c r="B1597">
        <v>1299</v>
      </c>
      <c r="C1597" t="s">
        <v>978</v>
      </c>
      <c r="D1597" t="s">
        <v>238</v>
      </c>
      <c r="E1597" t="s">
        <v>642</v>
      </c>
      <c r="F1597" t="s">
        <v>632</v>
      </c>
      <c r="G1597" t="s">
        <v>2283</v>
      </c>
      <c r="Q1597">
        <v>12</v>
      </c>
      <c r="S1597">
        <v>216</v>
      </c>
      <c r="U1597">
        <v>405</v>
      </c>
      <c r="W1597">
        <v>402</v>
      </c>
      <c r="Y1597">
        <v>246</v>
      </c>
      <c r="AA1597">
        <v>18</v>
      </c>
      <c r="CH1597" t="str">
        <f t="shared" si="24"/>
        <v>D-0267</v>
      </c>
      <c r="CI1597" s="1" t="s">
        <v>102</v>
      </c>
    </row>
    <row r="1598" spans="1:87">
      <c r="A1598" t="s">
        <v>2438</v>
      </c>
      <c r="B1598">
        <v>447</v>
      </c>
      <c r="C1598" t="s">
        <v>978</v>
      </c>
      <c r="D1598" t="s">
        <v>238</v>
      </c>
      <c r="E1598" t="s">
        <v>642</v>
      </c>
      <c r="F1598" t="s">
        <v>632</v>
      </c>
      <c r="G1598" t="s">
        <v>2283</v>
      </c>
      <c r="Q1598">
        <v>12</v>
      </c>
      <c r="S1598">
        <v>60</v>
      </c>
      <c r="U1598">
        <v>135</v>
      </c>
      <c r="W1598">
        <v>132</v>
      </c>
      <c r="Y1598">
        <v>90</v>
      </c>
      <c r="AA1598">
        <v>18</v>
      </c>
      <c r="CH1598" t="str">
        <f t="shared" si="24"/>
        <v>D-0267</v>
      </c>
      <c r="CI1598" s="1" t="s">
        <v>102</v>
      </c>
    </row>
    <row r="1599" spans="1:87">
      <c r="A1599" t="s">
        <v>2439</v>
      </c>
      <c r="B1599">
        <v>837</v>
      </c>
      <c r="C1599" t="s">
        <v>978</v>
      </c>
      <c r="D1599" t="s">
        <v>238</v>
      </c>
      <c r="E1599" t="s">
        <v>642</v>
      </c>
      <c r="F1599" t="s">
        <v>632</v>
      </c>
      <c r="G1599" t="s">
        <v>2283</v>
      </c>
      <c r="Q1599">
        <v>6</v>
      </c>
      <c r="R1599">
        <v>30</v>
      </c>
      <c r="S1599">
        <v>30</v>
      </c>
      <c r="T1599">
        <v>75</v>
      </c>
      <c r="U1599">
        <v>84</v>
      </c>
      <c r="V1599">
        <v>144</v>
      </c>
      <c r="W1599">
        <v>120</v>
      </c>
      <c r="X1599">
        <v>132</v>
      </c>
      <c r="Y1599">
        <v>84</v>
      </c>
      <c r="Z1599">
        <v>60</v>
      </c>
      <c r="AA1599">
        <v>12</v>
      </c>
      <c r="AB1599">
        <v>48</v>
      </c>
      <c r="AC1599">
        <v>12</v>
      </c>
      <c r="CH1599" t="str">
        <f t="shared" si="24"/>
        <v>D-0267</v>
      </c>
      <c r="CI1599" s="1" t="s">
        <v>102</v>
      </c>
    </row>
    <row r="1600" spans="1:87">
      <c r="A1600" t="s">
        <v>2440</v>
      </c>
      <c r="B1600">
        <v>1599</v>
      </c>
      <c r="C1600" t="s">
        <v>978</v>
      </c>
      <c r="D1600" t="s">
        <v>238</v>
      </c>
      <c r="E1600" t="s">
        <v>642</v>
      </c>
      <c r="F1600" t="s">
        <v>632</v>
      </c>
      <c r="G1600" t="s">
        <v>2283</v>
      </c>
      <c r="Q1600">
        <v>192</v>
      </c>
      <c r="R1600">
        <v>288</v>
      </c>
      <c r="S1600">
        <v>432</v>
      </c>
      <c r="T1600">
        <v>369</v>
      </c>
      <c r="U1600">
        <v>192</v>
      </c>
      <c r="V1600">
        <v>78</v>
      </c>
      <c r="W1600">
        <v>48</v>
      </c>
      <c r="CH1600" t="str">
        <f t="shared" si="24"/>
        <v>D-0267</v>
      </c>
      <c r="CI1600" s="1" t="s">
        <v>102</v>
      </c>
    </row>
    <row r="1601" spans="1:87">
      <c r="A1601" t="s">
        <v>2441</v>
      </c>
      <c r="B1601">
        <v>1863</v>
      </c>
      <c r="C1601" t="s">
        <v>978</v>
      </c>
      <c r="D1601" t="s">
        <v>238</v>
      </c>
      <c r="E1601" t="s">
        <v>642</v>
      </c>
      <c r="F1601" t="s">
        <v>632</v>
      </c>
      <c r="G1601" t="s">
        <v>2283</v>
      </c>
      <c r="R1601">
        <v>192</v>
      </c>
      <c r="S1601">
        <v>264</v>
      </c>
      <c r="T1601">
        <v>471</v>
      </c>
      <c r="U1601">
        <v>420</v>
      </c>
      <c r="V1601">
        <v>360</v>
      </c>
      <c r="W1601">
        <v>156</v>
      </c>
      <c r="CH1601" t="str">
        <f t="shared" si="24"/>
        <v>D-0267</v>
      </c>
      <c r="CI1601" s="1" t="s">
        <v>102</v>
      </c>
    </row>
    <row r="1602" spans="1:87">
      <c r="A1602" t="s">
        <v>2442</v>
      </c>
      <c r="B1602">
        <v>258</v>
      </c>
      <c r="C1602" t="s">
        <v>978</v>
      </c>
      <c r="D1602" t="s">
        <v>238</v>
      </c>
      <c r="E1602" t="s">
        <v>642</v>
      </c>
      <c r="F1602" t="s">
        <v>632</v>
      </c>
      <c r="G1602" t="s">
        <v>2283</v>
      </c>
      <c r="P1602">
        <v>6</v>
      </c>
      <c r="R1602">
        <v>18</v>
      </c>
      <c r="S1602">
        <v>24</v>
      </c>
      <c r="T1602">
        <v>42</v>
      </c>
      <c r="U1602">
        <v>42</v>
      </c>
      <c r="V1602">
        <v>48</v>
      </c>
      <c r="W1602">
        <v>30</v>
      </c>
      <c r="X1602">
        <v>18</v>
      </c>
      <c r="Y1602">
        <v>18</v>
      </c>
      <c r="Z1602">
        <v>6</v>
      </c>
      <c r="AA1602">
        <v>6</v>
      </c>
      <c r="CH1602" t="str">
        <f t="shared" ref="CH1602:CH1665" si="25">TRIM(IFERROR(IFERROR(MID($D1602,FIND("(D-",$D1602)+1,6),LEFT($D1602,FIND("(",$D1602)-1)),$D1602))</f>
        <v>D-0267</v>
      </c>
      <c r="CI1602" s="1" t="s">
        <v>102</v>
      </c>
    </row>
    <row r="1603" spans="1:87">
      <c r="A1603" t="s">
        <v>2443</v>
      </c>
      <c r="B1603">
        <v>228</v>
      </c>
      <c r="C1603" t="s">
        <v>978</v>
      </c>
      <c r="D1603" t="s">
        <v>238</v>
      </c>
      <c r="E1603" t="s">
        <v>642</v>
      </c>
      <c r="F1603" t="s">
        <v>632</v>
      </c>
      <c r="G1603" t="s">
        <v>2283</v>
      </c>
      <c r="Q1603">
        <v>6</v>
      </c>
      <c r="R1603">
        <v>18</v>
      </c>
      <c r="S1603">
        <v>24</v>
      </c>
      <c r="T1603">
        <v>42</v>
      </c>
      <c r="U1603">
        <v>36</v>
      </c>
      <c r="V1603">
        <v>42</v>
      </c>
      <c r="W1603">
        <v>30</v>
      </c>
      <c r="X1603">
        <v>18</v>
      </c>
      <c r="Y1603">
        <v>12</v>
      </c>
      <c r="CH1603" t="str">
        <f t="shared" si="25"/>
        <v>D-0267</v>
      </c>
      <c r="CI1603" s="1" t="s">
        <v>102</v>
      </c>
    </row>
    <row r="1604" spans="1:87">
      <c r="A1604" t="s">
        <v>2444</v>
      </c>
      <c r="B1604">
        <v>168</v>
      </c>
      <c r="C1604" t="s">
        <v>978</v>
      </c>
      <c r="D1604" t="s">
        <v>238</v>
      </c>
      <c r="E1604" t="s">
        <v>642</v>
      </c>
      <c r="F1604" t="s">
        <v>632</v>
      </c>
      <c r="G1604" t="s">
        <v>2283</v>
      </c>
      <c r="P1604">
        <v>6</v>
      </c>
      <c r="Q1604">
        <v>6</v>
      </c>
      <c r="R1604">
        <v>18</v>
      </c>
      <c r="S1604">
        <v>18</v>
      </c>
      <c r="T1604">
        <v>24</v>
      </c>
      <c r="U1604">
        <v>30</v>
      </c>
      <c r="V1604">
        <v>24</v>
      </c>
      <c r="W1604">
        <v>18</v>
      </c>
      <c r="X1604">
        <v>12</v>
      </c>
      <c r="Y1604">
        <v>6</v>
      </c>
      <c r="Z1604">
        <v>6</v>
      </c>
      <c r="CH1604" t="str">
        <f t="shared" si="25"/>
        <v>D-0267</v>
      </c>
      <c r="CI1604" s="1" t="s">
        <v>102</v>
      </c>
    </row>
    <row r="1605" spans="1:87">
      <c r="A1605" t="s">
        <v>2445</v>
      </c>
      <c r="B1605">
        <v>138</v>
      </c>
      <c r="C1605" t="s">
        <v>978</v>
      </c>
      <c r="D1605" t="s">
        <v>238</v>
      </c>
      <c r="E1605" t="s">
        <v>642</v>
      </c>
      <c r="F1605" t="s">
        <v>632</v>
      </c>
      <c r="G1605" t="s">
        <v>2283</v>
      </c>
      <c r="Q1605">
        <v>6</v>
      </c>
      <c r="R1605">
        <v>6</v>
      </c>
      <c r="S1605">
        <v>12</v>
      </c>
      <c r="T1605">
        <v>18</v>
      </c>
      <c r="U1605">
        <v>24</v>
      </c>
      <c r="V1605">
        <v>30</v>
      </c>
      <c r="W1605">
        <v>18</v>
      </c>
      <c r="X1605">
        <v>12</v>
      </c>
      <c r="Y1605">
        <v>6</v>
      </c>
      <c r="Z1605">
        <v>6</v>
      </c>
      <c r="CH1605" t="str">
        <f t="shared" si="25"/>
        <v>D-0267</v>
      </c>
      <c r="CI1605" s="1" t="s">
        <v>102</v>
      </c>
    </row>
    <row r="1606" spans="1:87">
      <c r="A1606" t="s">
        <v>2446</v>
      </c>
      <c r="B1606">
        <v>1603</v>
      </c>
      <c r="C1606" t="s">
        <v>978</v>
      </c>
      <c r="D1606" t="s">
        <v>238</v>
      </c>
      <c r="E1606" t="s">
        <v>642</v>
      </c>
      <c r="F1606" t="s">
        <v>632</v>
      </c>
      <c r="G1606" t="s">
        <v>2283</v>
      </c>
      <c r="Q1606">
        <v>76</v>
      </c>
      <c r="R1606">
        <v>214</v>
      </c>
      <c r="T1606">
        <v>369</v>
      </c>
      <c r="U1606">
        <v>394</v>
      </c>
      <c r="W1606">
        <v>291</v>
      </c>
      <c r="X1606">
        <v>145</v>
      </c>
      <c r="Z1606">
        <v>99</v>
      </c>
      <c r="AA1606">
        <v>14</v>
      </c>
      <c r="AD1606">
        <v>1</v>
      </c>
      <c r="CH1606" t="str">
        <f t="shared" si="25"/>
        <v>D-0267</v>
      </c>
      <c r="CI1606" s="1" t="s">
        <v>102</v>
      </c>
    </row>
    <row r="1607" spans="1:87">
      <c r="A1607" t="s">
        <v>2447</v>
      </c>
      <c r="B1607">
        <v>891</v>
      </c>
      <c r="C1607" t="s">
        <v>978</v>
      </c>
      <c r="D1607" t="s">
        <v>238</v>
      </c>
      <c r="E1607" t="s">
        <v>642</v>
      </c>
      <c r="F1607" t="s">
        <v>632</v>
      </c>
      <c r="G1607" t="s">
        <v>2283</v>
      </c>
      <c r="S1607">
        <v>150</v>
      </c>
      <c r="U1607">
        <v>261</v>
      </c>
      <c r="V1607">
        <v>72</v>
      </c>
      <c r="W1607">
        <v>174</v>
      </c>
      <c r="X1607">
        <v>48</v>
      </c>
      <c r="Y1607">
        <v>90</v>
      </c>
      <c r="Z1607">
        <v>96</v>
      </c>
      <c r="CH1607" t="str">
        <f t="shared" si="25"/>
        <v>D-0267</v>
      </c>
      <c r="CI1607" s="1" t="s">
        <v>102</v>
      </c>
    </row>
    <row r="1608" spans="1:87">
      <c r="A1608" t="s">
        <v>2448</v>
      </c>
      <c r="B1608">
        <v>645</v>
      </c>
      <c r="C1608" t="s">
        <v>978</v>
      </c>
      <c r="D1608" t="s">
        <v>238</v>
      </c>
      <c r="E1608" t="s">
        <v>642</v>
      </c>
      <c r="F1608" t="s">
        <v>632</v>
      </c>
      <c r="G1608" t="s">
        <v>2283</v>
      </c>
      <c r="Q1608">
        <v>11</v>
      </c>
      <c r="R1608">
        <v>58</v>
      </c>
      <c r="S1608">
        <v>118</v>
      </c>
      <c r="T1608">
        <v>141</v>
      </c>
      <c r="U1608">
        <v>117</v>
      </c>
      <c r="V1608">
        <v>121</v>
      </c>
      <c r="W1608">
        <v>71</v>
      </c>
      <c r="X1608">
        <v>6</v>
      </c>
      <c r="Y1608">
        <v>2</v>
      </c>
      <c r="CH1608" t="str">
        <f t="shared" si="25"/>
        <v>D-0267</v>
      </c>
      <c r="CI1608" s="1" t="s">
        <v>102</v>
      </c>
    </row>
    <row r="1609" spans="1:87">
      <c r="A1609" t="s">
        <v>2485</v>
      </c>
      <c r="B1609">
        <v>8100</v>
      </c>
      <c r="C1609" t="s">
        <v>1060</v>
      </c>
      <c r="D1609" t="s">
        <v>137</v>
      </c>
      <c r="E1609" t="s">
        <v>629</v>
      </c>
      <c r="F1609" t="s">
        <v>645</v>
      </c>
      <c r="G1609" t="s">
        <v>1061</v>
      </c>
      <c r="O1609">
        <v>684</v>
      </c>
      <c r="P1609">
        <v>702</v>
      </c>
      <c r="Q1609">
        <v>727</v>
      </c>
      <c r="R1609">
        <v>733</v>
      </c>
      <c r="S1609">
        <v>805</v>
      </c>
      <c r="T1609">
        <v>769</v>
      </c>
      <c r="U1609">
        <v>751</v>
      </c>
      <c r="V1609">
        <v>721</v>
      </c>
      <c r="W1609">
        <v>1128</v>
      </c>
      <c r="Y1609">
        <v>804</v>
      </c>
      <c r="Z1609">
        <v>192</v>
      </c>
      <c r="AA1609">
        <v>84</v>
      </c>
      <c r="CH1609" t="str">
        <f t="shared" si="25"/>
        <v>D-0042</v>
      </c>
      <c r="CI1609" s="1" t="s">
        <v>102</v>
      </c>
    </row>
    <row r="1610" spans="1:87">
      <c r="A1610" t="s">
        <v>2486</v>
      </c>
      <c r="B1610">
        <v>15556</v>
      </c>
      <c r="C1610" t="s">
        <v>2487</v>
      </c>
      <c r="D1610" t="s">
        <v>137</v>
      </c>
      <c r="E1610" t="s">
        <v>642</v>
      </c>
      <c r="F1610" t="s">
        <v>632</v>
      </c>
      <c r="G1610" t="s">
        <v>2488</v>
      </c>
      <c r="P1610">
        <v>777</v>
      </c>
      <c r="Q1610">
        <v>1608</v>
      </c>
      <c r="R1610">
        <v>2403</v>
      </c>
      <c r="S1610">
        <v>3313</v>
      </c>
      <c r="T1610">
        <v>2921</v>
      </c>
      <c r="U1610">
        <v>2003</v>
      </c>
      <c r="V1610">
        <v>1563</v>
      </c>
      <c r="W1610">
        <v>641</v>
      </c>
      <c r="X1610">
        <v>113</v>
      </c>
      <c r="Y1610">
        <v>107</v>
      </c>
      <c r="Z1610">
        <v>107</v>
      </c>
      <c r="CH1610" t="str">
        <f t="shared" si="25"/>
        <v>D-0042</v>
      </c>
      <c r="CI1610" s="1" t="s">
        <v>102</v>
      </c>
    </row>
    <row r="1611" spans="1:87">
      <c r="A1611" t="s">
        <v>2489</v>
      </c>
      <c r="B1611">
        <v>29</v>
      </c>
      <c r="C1611" t="s">
        <v>2490</v>
      </c>
      <c r="D1611" t="s">
        <v>352</v>
      </c>
      <c r="E1611" t="s">
        <v>642</v>
      </c>
      <c r="F1611" t="s">
        <v>645</v>
      </c>
      <c r="G1611" t="s">
        <v>2491</v>
      </c>
      <c r="T1611">
        <v>2</v>
      </c>
      <c r="U1611">
        <v>2</v>
      </c>
      <c r="V1611">
        <v>2</v>
      </c>
      <c r="W1611">
        <v>3</v>
      </c>
      <c r="X1611">
        <v>3</v>
      </c>
      <c r="Y1611">
        <v>3</v>
      </c>
      <c r="Z1611">
        <v>3</v>
      </c>
      <c r="AA1611">
        <v>3</v>
      </c>
      <c r="AB1611">
        <v>3</v>
      </c>
      <c r="AC1611">
        <v>3</v>
      </c>
      <c r="AD1611">
        <v>2</v>
      </c>
      <c r="CH1611" t="str">
        <f t="shared" si="25"/>
        <v>D-0515</v>
      </c>
      <c r="CI1611" s="1" t="s">
        <v>102</v>
      </c>
    </row>
    <row r="1612" spans="1:87">
      <c r="A1612" t="s">
        <v>2492</v>
      </c>
      <c r="B1612">
        <v>2208</v>
      </c>
      <c r="C1612" t="s">
        <v>996</v>
      </c>
      <c r="D1612" t="s">
        <v>199</v>
      </c>
      <c r="E1612" t="s">
        <v>629</v>
      </c>
      <c r="F1612" t="s">
        <v>725</v>
      </c>
      <c r="G1612" t="s">
        <v>2493</v>
      </c>
      <c r="T1612">
        <v>97</v>
      </c>
      <c r="U1612">
        <v>10</v>
      </c>
      <c r="V1612">
        <v>187</v>
      </c>
      <c r="W1612">
        <v>90</v>
      </c>
      <c r="X1612">
        <v>368</v>
      </c>
      <c r="Y1612">
        <v>114</v>
      </c>
      <c r="Z1612">
        <v>401</v>
      </c>
      <c r="AA1612">
        <v>155</v>
      </c>
      <c r="AB1612">
        <v>311</v>
      </c>
      <c r="AC1612">
        <v>100</v>
      </c>
      <c r="AD1612">
        <v>208</v>
      </c>
      <c r="AE1612">
        <v>4</v>
      </c>
      <c r="AF1612">
        <v>103</v>
      </c>
      <c r="AH1612">
        <v>60</v>
      </c>
      <c r="CH1612" t="str">
        <f t="shared" si="25"/>
        <v>D-0203</v>
      </c>
      <c r="CI1612" s="1" t="s">
        <v>102</v>
      </c>
    </row>
    <row r="1613" spans="1:87">
      <c r="A1613" t="s">
        <v>2494</v>
      </c>
      <c r="B1613">
        <v>173</v>
      </c>
      <c r="C1613" t="s">
        <v>1447</v>
      </c>
      <c r="D1613" t="s">
        <v>249</v>
      </c>
      <c r="E1613" t="s">
        <v>629</v>
      </c>
      <c r="F1613" t="s">
        <v>657</v>
      </c>
      <c r="G1613" t="s">
        <v>1448</v>
      </c>
      <c r="R1613">
        <v>73</v>
      </c>
      <c r="S1613">
        <v>52</v>
      </c>
      <c r="U1613">
        <v>3</v>
      </c>
      <c r="AA1613">
        <v>24</v>
      </c>
      <c r="AE1613">
        <v>6</v>
      </c>
      <c r="AJ1613">
        <v>15</v>
      </c>
      <c r="CH1613" t="str">
        <f t="shared" si="25"/>
        <v>D-0271</v>
      </c>
      <c r="CI1613" s="1" t="s">
        <v>102</v>
      </c>
    </row>
    <row r="1614" spans="1:87">
      <c r="A1614" t="s">
        <v>2495</v>
      </c>
      <c r="B1614">
        <v>4677</v>
      </c>
      <c r="C1614" t="s">
        <v>1112</v>
      </c>
      <c r="D1614" t="s">
        <v>199</v>
      </c>
      <c r="E1614" t="s">
        <v>629</v>
      </c>
      <c r="F1614" t="s">
        <v>725</v>
      </c>
      <c r="G1614" t="s">
        <v>2493</v>
      </c>
      <c r="O1614">
        <v>4</v>
      </c>
      <c r="P1614">
        <v>10</v>
      </c>
      <c r="Q1614">
        <v>10</v>
      </c>
      <c r="R1614">
        <v>70</v>
      </c>
      <c r="S1614">
        <v>114</v>
      </c>
      <c r="T1614">
        <v>173</v>
      </c>
      <c r="U1614">
        <v>152</v>
      </c>
      <c r="V1614">
        <v>380</v>
      </c>
      <c r="W1614">
        <v>374</v>
      </c>
      <c r="X1614">
        <v>416</v>
      </c>
      <c r="Y1614">
        <v>526</v>
      </c>
      <c r="Z1614">
        <v>500</v>
      </c>
      <c r="AA1614">
        <v>280</v>
      </c>
      <c r="AB1614">
        <v>418</v>
      </c>
      <c r="AC1614">
        <v>306</v>
      </c>
      <c r="AD1614">
        <v>356</v>
      </c>
      <c r="AE1614">
        <v>194</v>
      </c>
      <c r="AF1614">
        <v>212</v>
      </c>
      <c r="AH1614">
        <v>114</v>
      </c>
      <c r="AJ1614">
        <v>68</v>
      </c>
      <c r="CH1614" t="str">
        <f t="shared" si="25"/>
        <v>D-0203</v>
      </c>
      <c r="CI1614" s="1" t="s">
        <v>102</v>
      </c>
    </row>
    <row r="1615" spans="1:87">
      <c r="A1615" t="s">
        <v>2496</v>
      </c>
      <c r="B1615">
        <v>5040</v>
      </c>
      <c r="C1615" t="s">
        <v>961</v>
      </c>
      <c r="D1615" t="s">
        <v>352</v>
      </c>
      <c r="E1615" t="s">
        <v>642</v>
      </c>
      <c r="F1615" t="s">
        <v>645</v>
      </c>
      <c r="G1615" t="s">
        <v>2285</v>
      </c>
      <c r="P1615">
        <v>34</v>
      </c>
      <c r="Q1615">
        <v>210</v>
      </c>
      <c r="R1615">
        <v>552</v>
      </c>
      <c r="S1615">
        <v>866</v>
      </c>
      <c r="T1615">
        <v>1054</v>
      </c>
      <c r="U1615">
        <v>942</v>
      </c>
      <c r="V1615">
        <v>677</v>
      </c>
      <c r="W1615">
        <v>427</v>
      </c>
      <c r="X1615">
        <v>131</v>
      </c>
      <c r="Y1615">
        <v>99</v>
      </c>
      <c r="Z1615">
        <v>16</v>
      </c>
      <c r="AA1615">
        <v>25</v>
      </c>
      <c r="AB1615">
        <v>7</v>
      </c>
      <c r="CH1615" t="str">
        <f t="shared" si="25"/>
        <v>D-0515</v>
      </c>
      <c r="CI1615" s="1" t="s">
        <v>102</v>
      </c>
    </row>
    <row r="1616" spans="1:87">
      <c r="A1616" t="s">
        <v>2500</v>
      </c>
      <c r="B1616">
        <v>4744</v>
      </c>
      <c r="C1616" t="s">
        <v>1379</v>
      </c>
      <c r="D1616" t="s">
        <v>195</v>
      </c>
      <c r="E1616" t="s">
        <v>629</v>
      </c>
      <c r="F1616" t="s">
        <v>630</v>
      </c>
      <c r="G1616" t="s">
        <v>1213</v>
      </c>
      <c r="R1616">
        <v>22</v>
      </c>
      <c r="S1616">
        <v>44</v>
      </c>
      <c r="T1616">
        <v>110</v>
      </c>
      <c r="U1616">
        <v>128</v>
      </c>
      <c r="V1616">
        <v>296</v>
      </c>
      <c r="W1616">
        <v>412</v>
      </c>
      <c r="X1616">
        <v>504</v>
      </c>
      <c r="Y1616">
        <v>589</v>
      </c>
      <c r="Z1616">
        <v>610</v>
      </c>
      <c r="AA1616">
        <v>431</v>
      </c>
      <c r="AB1616">
        <v>471</v>
      </c>
      <c r="AC1616">
        <v>332</v>
      </c>
      <c r="AD1616">
        <v>350</v>
      </c>
      <c r="AE1616">
        <v>165</v>
      </c>
      <c r="AF1616">
        <v>157</v>
      </c>
      <c r="AH1616">
        <v>90</v>
      </c>
      <c r="AJ1616">
        <v>33</v>
      </c>
      <c r="CH1616" t="str">
        <f t="shared" si="25"/>
        <v>D-0189</v>
      </c>
      <c r="CI1616" s="1" t="s">
        <v>102</v>
      </c>
    </row>
    <row r="1617" spans="1:87">
      <c r="A1617" t="s">
        <v>2502</v>
      </c>
      <c r="B1617">
        <v>5629</v>
      </c>
      <c r="C1617" t="s">
        <v>1189</v>
      </c>
      <c r="D1617" t="s">
        <v>128</v>
      </c>
      <c r="E1617" t="s">
        <v>642</v>
      </c>
      <c r="F1617" t="s">
        <v>632</v>
      </c>
      <c r="G1617" t="s">
        <v>1190</v>
      </c>
      <c r="R1617">
        <v>190</v>
      </c>
      <c r="S1617">
        <v>421</v>
      </c>
      <c r="T1617">
        <v>347</v>
      </c>
      <c r="U1617">
        <v>694</v>
      </c>
      <c r="V1617">
        <v>908</v>
      </c>
      <c r="W1617">
        <v>600</v>
      </c>
      <c r="X1617">
        <v>1014</v>
      </c>
      <c r="Y1617">
        <v>346</v>
      </c>
      <c r="Z1617">
        <v>778</v>
      </c>
      <c r="AA1617">
        <v>319</v>
      </c>
      <c r="AB1617">
        <v>12</v>
      </c>
      <c r="CH1617" t="str">
        <f t="shared" si="25"/>
        <v>D-0023</v>
      </c>
      <c r="CI1617" s="1" t="s">
        <v>102</v>
      </c>
    </row>
    <row r="1618" spans="1:87">
      <c r="A1618" t="s">
        <v>2503</v>
      </c>
      <c r="B1618">
        <v>1339</v>
      </c>
      <c r="C1618" t="s">
        <v>1210</v>
      </c>
      <c r="D1618" t="s">
        <v>195</v>
      </c>
      <c r="E1618" t="s">
        <v>629</v>
      </c>
      <c r="F1618" t="s">
        <v>630</v>
      </c>
      <c r="G1618" t="s">
        <v>1211</v>
      </c>
      <c r="W1618">
        <v>85</v>
      </c>
      <c r="X1618">
        <v>178</v>
      </c>
      <c r="Y1618">
        <v>420</v>
      </c>
      <c r="Z1618">
        <v>375</v>
      </c>
      <c r="AB1618">
        <v>92</v>
      </c>
      <c r="AE1618">
        <v>189</v>
      </c>
      <c r="CH1618" t="str">
        <f t="shared" si="25"/>
        <v>D-0189</v>
      </c>
      <c r="CI1618" s="1" t="s">
        <v>102</v>
      </c>
    </row>
    <row r="1619" spans="1:87">
      <c r="A1619" t="s">
        <v>2505</v>
      </c>
      <c r="B1619">
        <v>8827</v>
      </c>
      <c r="C1619" t="s">
        <v>1110</v>
      </c>
      <c r="D1619" t="s">
        <v>249</v>
      </c>
      <c r="E1619" t="s">
        <v>629</v>
      </c>
      <c r="F1619" t="s">
        <v>657</v>
      </c>
      <c r="G1619" t="s">
        <v>1111</v>
      </c>
      <c r="R1619">
        <v>132</v>
      </c>
      <c r="T1619">
        <v>382</v>
      </c>
      <c r="U1619">
        <v>197</v>
      </c>
      <c r="V1619">
        <v>1143</v>
      </c>
      <c r="W1619">
        <v>388</v>
      </c>
      <c r="X1619">
        <v>1408</v>
      </c>
      <c r="Y1619">
        <v>437</v>
      </c>
      <c r="Z1619">
        <v>1549</v>
      </c>
      <c r="AA1619">
        <v>354</v>
      </c>
      <c r="AB1619">
        <v>1255</v>
      </c>
      <c r="AC1619">
        <v>252</v>
      </c>
      <c r="AD1619">
        <v>815</v>
      </c>
      <c r="AE1619">
        <v>48</v>
      </c>
      <c r="AF1619">
        <v>385</v>
      </c>
      <c r="AH1619">
        <v>76</v>
      </c>
      <c r="AJ1619">
        <v>6</v>
      </c>
      <c r="CH1619" t="str">
        <f t="shared" si="25"/>
        <v>D-0271</v>
      </c>
      <c r="CI1619" s="1" t="s">
        <v>102</v>
      </c>
    </row>
    <row r="1620" spans="1:87">
      <c r="A1620" t="s">
        <v>2507</v>
      </c>
      <c r="B1620">
        <v>1604</v>
      </c>
      <c r="C1620" t="s">
        <v>1215</v>
      </c>
      <c r="D1620" t="s">
        <v>195</v>
      </c>
      <c r="E1620" t="s">
        <v>629</v>
      </c>
      <c r="F1620" t="s">
        <v>630</v>
      </c>
      <c r="G1620" t="s">
        <v>2508</v>
      </c>
      <c r="R1620">
        <v>16</v>
      </c>
      <c r="S1620">
        <v>21</v>
      </c>
      <c r="T1620">
        <v>29</v>
      </c>
      <c r="U1620">
        <v>33</v>
      </c>
      <c r="V1620">
        <v>59</v>
      </c>
      <c r="W1620">
        <v>87</v>
      </c>
      <c r="X1620">
        <v>137</v>
      </c>
      <c r="Y1620">
        <v>176</v>
      </c>
      <c r="Z1620">
        <v>200</v>
      </c>
      <c r="AA1620">
        <v>212</v>
      </c>
      <c r="AB1620">
        <v>191</v>
      </c>
      <c r="AC1620">
        <v>130</v>
      </c>
      <c r="AD1620">
        <v>131</v>
      </c>
      <c r="AE1620">
        <v>50</v>
      </c>
      <c r="AF1620">
        <v>75</v>
      </c>
      <c r="AH1620">
        <v>37</v>
      </c>
      <c r="AJ1620">
        <v>20</v>
      </c>
      <c r="CH1620" t="str">
        <f t="shared" si="25"/>
        <v>D-0189</v>
      </c>
      <c r="CI1620" s="1" t="s">
        <v>102</v>
      </c>
    </row>
    <row r="1621" spans="1:87">
      <c r="A1621" t="s">
        <v>2509</v>
      </c>
      <c r="B1621">
        <v>682</v>
      </c>
      <c r="C1621" t="s">
        <v>1273</v>
      </c>
      <c r="D1621" t="s">
        <v>352</v>
      </c>
      <c r="E1621" t="s">
        <v>642</v>
      </c>
      <c r="F1621" t="s">
        <v>645</v>
      </c>
      <c r="G1621" t="s">
        <v>1274</v>
      </c>
      <c r="P1621">
        <v>4</v>
      </c>
      <c r="Q1621">
        <v>72</v>
      </c>
      <c r="U1621">
        <v>171</v>
      </c>
      <c r="W1621">
        <v>268</v>
      </c>
      <c r="Y1621">
        <v>98</v>
      </c>
      <c r="AA1621">
        <v>56</v>
      </c>
      <c r="AC1621">
        <v>4</v>
      </c>
      <c r="AD1621">
        <v>9</v>
      </c>
      <c r="CH1621" t="str">
        <f t="shared" si="25"/>
        <v>D-0515</v>
      </c>
      <c r="CI1621" s="1" t="s">
        <v>102</v>
      </c>
    </row>
    <row r="1622" spans="1:87">
      <c r="A1622" t="s">
        <v>2513</v>
      </c>
      <c r="B1622">
        <v>12392</v>
      </c>
      <c r="C1622" t="s">
        <v>1176</v>
      </c>
      <c r="D1622" t="s">
        <v>249</v>
      </c>
      <c r="E1622" t="s">
        <v>629</v>
      </c>
      <c r="F1622" t="s">
        <v>657</v>
      </c>
      <c r="G1622" t="s">
        <v>1177</v>
      </c>
      <c r="R1622">
        <v>71</v>
      </c>
      <c r="S1622">
        <v>113</v>
      </c>
      <c r="T1622">
        <v>209</v>
      </c>
      <c r="U1622">
        <v>370</v>
      </c>
      <c r="V1622">
        <v>709</v>
      </c>
      <c r="W1622">
        <v>802</v>
      </c>
      <c r="X1622">
        <v>1266</v>
      </c>
      <c r="Y1622">
        <v>1193</v>
      </c>
      <c r="Z1622">
        <v>1515</v>
      </c>
      <c r="AA1622">
        <v>1414</v>
      </c>
      <c r="AB1622">
        <v>1489</v>
      </c>
      <c r="AC1622">
        <v>715</v>
      </c>
      <c r="AD1622">
        <v>1157</v>
      </c>
      <c r="AE1622">
        <v>197</v>
      </c>
      <c r="AF1622">
        <v>767</v>
      </c>
      <c r="AH1622">
        <v>269</v>
      </c>
      <c r="AJ1622">
        <v>136</v>
      </c>
      <c r="CH1622" t="str">
        <f t="shared" si="25"/>
        <v>D-0271</v>
      </c>
      <c r="CI1622" s="1" t="s">
        <v>102</v>
      </c>
    </row>
    <row r="1623" spans="1:87">
      <c r="A1623" t="s">
        <v>2523</v>
      </c>
      <c r="B1623">
        <v>24</v>
      </c>
      <c r="C1623" t="s">
        <v>1024</v>
      </c>
      <c r="D1623" t="s">
        <v>291</v>
      </c>
      <c r="E1623" t="s">
        <v>642</v>
      </c>
      <c r="F1623" t="s">
        <v>661</v>
      </c>
      <c r="G1623" t="s">
        <v>1025</v>
      </c>
      <c r="AA1623">
        <v>24</v>
      </c>
      <c r="CH1623" t="str">
        <f t="shared" si="25"/>
        <v>D-0419</v>
      </c>
      <c r="CI1623" s="1" t="s">
        <v>102</v>
      </c>
    </row>
    <row r="1624" spans="1:87">
      <c r="A1624" t="s">
        <v>2539</v>
      </c>
      <c r="B1624">
        <v>464</v>
      </c>
      <c r="C1624" t="s">
        <v>1026</v>
      </c>
      <c r="D1624" t="s">
        <v>291</v>
      </c>
      <c r="E1624" t="s">
        <v>642</v>
      </c>
      <c r="F1624" t="s">
        <v>661</v>
      </c>
      <c r="G1624" t="s">
        <v>1027</v>
      </c>
      <c r="W1624">
        <v>464</v>
      </c>
      <c r="CH1624" t="str">
        <f t="shared" si="25"/>
        <v>D-0419</v>
      </c>
      <c r="CI1624" s="1" t="s">
        <v>102</v>
      </c>
    </row>
    <row r="1625" spans="1:87">
      <c r="A1625" t="s">
        <v>2540</v>
      </c>
      <c r="B1625">
        <v>625</v>
      </c>
      <c r="C1625" t="s">
        <v>1026</v>
      </c>
      <c r="D1625" t="s">
        <v>291</v>
      </c>
      <c r="E1625" t="s">
        <v>642</v>
      </c>
      <c r="F1625" t="s">
        <v>661</v>
      </c>
      <c r="G1625" t="s">
        <v>1027</v>
      </c>
      <c r="V1625">
        <v>625</v>
      </c>
      <c r="CH1625" t="str">
        <f t="shared" si="25"/>
        <v>D-0419</v>
      </c>
      <c r="CI1625" s="1" t="s">
        <v>102</v>
      </c>
    </row>
    <row r="1626" spans="1:87">
      <c r="A1626" t="s">
        <v>2541</v>
      </c>
      <c r="B1626">
        <v>610</v>
      </c>
      <c r="C1626" t="s">
        <v>1026</v>
      </c>
      <c r="D1626" t="s">
        <v>291</v>
      </c>
      <c r="E1626" t="s">
        <v>642</v>
      </c>
      <c r="F1626" t="s">
        <v>661</v>
      </c>
      <c r="G1626" t="s">
        <v>1027</v>
      </c>
      <c r="U1626">
        <v>610</v>
      </c>
      <c r="CH1626" t="str">
        <f t="shared" si="25"/>
        <v>D-0419</v>
      </c>
      <c r="CI1626" s="1" t="s">
        <v>102</v>
      </c>
    </row>
    <row r="1627" spans="1:87">
      <c r="A1627" t="s">
        <v>2542</v>
      </c>
      <c r="B1627">
        <v>596</v>
      </c>
      <c r="C1627" t="s">
        <v>1026</v>
      </c>
      <c r="D1627" t="s">
        <v>291</v>
      </c>
      <c r="E1627" t="s">
        <v>642</v>
      </c>
      <c r="F1627" t="s">
        <v>661</v>
      </c>
      <c r="G1627" t="s">
        <v>1027</v>
      </c>
      <c r="T1627">
        <v>596</v>
      </c>
      <c r="CH1627" t="str">
        <f t="shared" si="25"/>
        <v>D-0419</v>
      </c>
      <c r="CI1627" s="1" t="s">
        <v>102</v>
      </c>
    </row>
    <row r="1628" spans="1:87">
      <c r="A1628" t="s">
        <v>2543</v>
      </c>
      <c r="B1628">
        <v>375</v>
      </c>
      <c r="C1628" t="s">
        <v>1026</v>
      </c>
      <c r="D1628" t="s">
        <v>291</v>
      </c>
      <c r="E1628" t="s">
        <v>642</v>
      </c>
      <c r="F1628" t="s">
        <v>661</v>
      </c>
      <c r="G1628" t="s">
        <v>1027</v>
      </c>
      <c r="S1628">
        <v>375</v>
      </c>
      <c r="CH1628" t="str">
        <f t="shared" si="25"/>
        <v>D-0419</v>
      </c>
      <c r="CI1628" s="1" t="s">
        <v>102</v>
      </c>
    </row>
    <row r="1629" spans="1:87">
      <c r="A1629" t="s">
        <v>2544</v>
      </c>
      <c r="B1629">
        <v>385</v>
      </c>
      <c r="C1629" t="s">
        <v>1026</v>
      </c>
      <c r="D1629" t="s">
        <v>291</v>
      </c>
      <c r="E1629" t="s">
        <v>642</v>
      </c>
      <c r="F1629" t="s">
        <v>661</v>
      </c>
      <c r="G1629" t="s">
        <v>1027</v>
      </c>
      <c r="R1629">
        <v>385</v>
      </c>
      <c r="CH1629" t="str">
        <f t="shared" si="25"/>
        <v>D-0419</v>
      </c>
      <c r="CI1629" s="1" t="s">
        <v>102</v>
      </c>
    </row>
    <row r="1630" spans="1:87">
      <c r="A1630" t="s">
        <v>2545</v>
      </c>
      <c r="B1630">
        <v>219</v>
      </c>
      <c r="C1630" t="s">
        <v>1026</v>
      </c>
      <c r="D1630" t="s">
        <v>291</v>
      </c>
      <c r="E1630" t="s">
        <v>642</v>
      </c>
      <c r="F1630" t="s">
        <v>661</v>
      </c>
      <c r="G1630" t="s">
        <v>1027</v>
      </c>
      <c r="Q1630">
        <v>219</v>
      </c>
      <c r="CH1630" t="str">
        <f t="shared" si="25"/>
        <v>D-0419</v>
      </c>
      <c r="CI1630" s="1" t="s">
        <v>102</v>
      </c>
    </row>
    <row r="1631" spans="1:87">
      <c r="A1631" t="s">
        <v>2546</v>
      </c>
      <c r="B1631">
        <v>35</v>
      </c>
      <c r="C1631" t="s">
        <v>1123</v>
      </c>
      <c r="D1631" t="s">
        <v>291</v>
      </c>
      <c r="E1631" t="s">
        <v>642</v>
      </c>
      <c r="F1631" t="s">
        <v>661</v>
      </c>
      <c r="G1631" t="s">
        <v>950</v>
      </c>
      <c r="AB1631">
        <v>35</v>
      </c>
      <c r="CH1631" t="str">
        <f t="shared" si="25"/>
        <v>D-0419</v>
      </c>
      <c r="CI1631" s="1" t="s">
        <v>102</v>
      </c>
    </row>
    <row r="1632" spans="1:87">
      <c r="A1632" t="s">
        <v>2548</v>
      </c>
      <c r="B1632">
        <v>95</v>
      </c>
      <c r="C1632" t="s">
        <v>1123</v>
      </c>
      <c r="D1632" t="s">
        <v>291</v>
      </c>
      <c r="E1632" t="s">
        <v>642</v>
      </c>
      <c r="F1632" t="s">
        <v>661</v>
      </c>
      <c r="G1632" t="s">
        <v>950</v>
      </c>
      <c r="Y1632">
        <v>95</v>
      </c>
      <c r="CH1632" t="str">
        <f t="shared" si="25"/>
        <v>D-0419</v>
      </c>
      <c r="CI1632" s="1" t="s">
        <v>102</v>
      </c>
    </row>
    <row r="1633" spans="1:87">
      <c r="A1633" t="s">
        <v>2550</v>
      </c>
      <c r="B1633">
        <v>181</v>
      </c>
      <c r="C1633" t="s">
        <v>1123</v>
      </c>
      <c r="D1633" t="s">
        <v>291</v>
      </c>
      <c r="E1633" t="s">
        <v>642</v>
      </c>
      <c r="F1633" t="s">
        <v>661</v>
      </c>
      <c r="G1633" t="s">
        <v>950</v>
      </c>
      <c r="W1633">
        <v>181</v>
      </c>
      <c r="CH1633" t="str">
        <f t="shared" si="25"/>
        <v>D-0419</v>
      </c>
      <c r="CI1633" s="1" t="s">
        <v>102</v>
      </c>
    </row>
    <row r="1634" spans="1:87">
      <c r="A1634" t="s">
        <v>2551</v>
      </c>
      <c r="B1634">
        <v>232</v>
      </c>
      <c r="C1634" t="s">
        <v>1123</v>
      </c>
      <c r="D1634" t="s">
        <v>291</v>
      </c>
      <c r="E1634" t="s">
        <v>642</v>
      </c>
      <c r="F1634" t="s">
        <v>661</v>
      </c>
      <c r="G1634" t="s">
        <v>950</v>
      </c>
      <c r="V1634">
        <v>232</v>
      </c>
      <c r="CH1634" t="str">
        <f t="shared" si="25"/>
        <v>D-0419</v>
      </c>
      <c r="CI1634" s="1" t="s">
        <v>102</v>
      </c>
    </row>
    <row r="1635" spans="1:87">
      <c r="A1635" t="s">
        <v>2552</v>
      </c>
      <c r="B1635">
        <v>232</v>
      </c>
      <c r="C1635" t="s">
        <v>1123</v>
      </c>
      <c r="D1635" t="s">
        <v>291</v>
      </c>
      <c r="E1635" t="s">
        <v>642</v>
      </c>
      <c r="F1635" t="s">
        <v>661</v>
      </c>
      <c r="G1635" t="s">
        <v>950</v>
      </c>
      <c r="U1635">
        <v>232</v>
      </c>
      <c r="CH1635" t="str">
        <f t="shared" si="25"/>
        <v>D-0419</v>
      </c>
      <c r="CI1635" s="1" t="s">
        <v>102</v>
      </c>
    </row>
    <row r="1636" spans="1:87">
      <c r="A1636" t="s">
        <v>2553</v>
      </c>
      <c r="B1636">
        <v>239</v>
      </c>
      <c r="C1636" t="s">
        <v>1123</v>
      </c>
      <c r="D1636" t="s">
        <v>291</v>
      </c>
      <c r="E1636" t="s">
        <v>642</v>
      </c>
      <c r="F1636" t="s">
        <v>661</v>
      </c>
      <c r="G1636" t="s">
        <v>950</v>
      </c>
      <c r="T1636">
        <v>239</v>
      </c>
      <c r="CH1636" t="str">
        <f t="shared" si="25"/>
        <v>D-0419</v>
      </c>
      <c r="CI1636" s="1" t="s">
        <v>102</v>
      </c>
    </row>
    <row r="1637" spans="1:87">
      <c r="A1637" t="s">
        <v>2554</v>
      </c>
      <c r="B1637">
        <v>179</v>
      </c>
      <c r="C1637" t="s">
        <v>1123</v>
      </c>
      <c r="D1637" t="s">
        <v>291</v>
      </c>
      <c r="E1637" t="s">
        <v>642</v>
      </c>
      <c r="F1637" t="s">
        <v>661</v>
      </c>
      <c r="G1637" t="s">
        <v>950</v>
      </c>
      <c r="S1637">
        <v>179</v>
      </c>
      <c r="CH1637" t="str">
        <f t="shared" si="25"/>
        <v>D-0419</v>
      </c>
      <c r="CI1637" s="1" t="s">
        <v>102</v>
      </c>
    </row>
    <row r="1638" spans="1:87">
      <c r="A1638" t="s">
        <v>2555</v>
      </c>
      <c r="B1638">
        <v>129</v>
      </c>
      <c r="C1638" t="s">
        <v>1123</v>
      </c>
      <c r="D1638" t="s">
        <v>291</v>
      </c>
      <c r="E1638" t="s">
        <v>642</v>
      </c>
      <c r="F1638" t="s">
        <v>661</v>
      </c>
      <c r="G1638" t="s">
        <v>950</v>
      </c>
      <c r="R1638">
        <v>129</v>
      </c>
      <c r="CH1638" t="str">
        <f t="shared" si="25"/>
        <v>D-0419</v>
      </c>
      <c r="CI1638" s="1" t="s">
        <v>102</v>
      </c>
    </row>
    <row r="1639" spans="1:87">
      <c r="A1639" t="s">
        <v>2563</v>
      </c>
      <c r="B1639">
        <v>1826</v>
      </c>
      <c r="C1639" t="s">
        <v>2559</v>
      </c>
      <c r="D1639" t="s">
        <v>213</v>
      </c>
      <c r="E1639" t="s">
        <v>629</v>
      </c>
      <c r="F1639" t="s">
        <v>643</v>
      </c>
      <c r="G1639" t="s">
        <v>1207</v>
      </c>
      <c r="R1639">
        <v>12</v>
      </c>
      <c r="T1639">
        <v>116</v>
      </c>
      <c r="V1639">
        <v>294</v>
      </c>
      <c r="X1639">
        <v>498</v>
      </c>
      <c r="Z1639">
        <v>450</v>
      </c>
      <c r="AB1639">
        <v>294</v>
      </c>
      <c r="AD1639">
        <v>138</v>
      </c>
      <c r="AF1639">
        <v>24</v>
      </c>
      <c r="CH1639" t="str">
        <f t="shared" si="25"/>
        <v>D-0257</v>
      </c>
      <c r="CI1639" s="1" t="s">
        <v>102</v>
      </c>
    </row>
    <row r="1640" spans="1:87">
      <c r="A1640" t="s">
        <v>2570</v>
      </c>
      <c r="B1640">
        <v>1106</v>
      </c>
      <c r="C1640" t="s">
        <v>2571</v>
      </c>
      <c r="D1640" t="s">
        <v>213</v>
      </c>
      <c r="E1640" t="s">
        <v>642</v>
      </c>
      <c r="F1640" t="s">
        <v>643</v>
      </c>
      <c r="G1640" t="s">
        <v>2572</v>
      </c>
      <c r="P1640">
        <v>30</v>
      </c>
      <c r="Q1640">
        <v>42</v>
      </c>
      <c r="R1640">
        <v>126</v>
      </c>
      <c r="S1640">
        <v>108</v>
      </c>
      <c r="T1640">
        <v>218</v>
      </c>
      <c r="U1640">
        <v>162</v>
      </c>
      <c r="V1640">
        <v>180</v>
      </c>
      <c r="W1640">
        <v>96</v>
      </c>
      <c r="X1640">
        <v>84</v>
      </c>
      <c r="Y1640">
        <v>30</v>
      </c>
      <c r="Z1640">
        <v>30</v>
      </c>
      <c r="CH1640" t="str">
        <f t="shared" si="25"/>
        <v>D-0257</v>
      </c>
      <c r="CI1640" s="1" t="s">
        <v>102</v>
      </c>
    </row>
    <row r="1641" spans="1:87">
      <c r="A1641" t="s">
        <v>2573</v>
      </c>
      <c r="B1641">
        <v>6980</v>
      </c>
      <c r="C1641" t="s">
        <v>2571</v>
      </c>
      <c r="D1641" t="s">
        <v>213</v>
      </c>
      <c r="E1641" t="s">
        <v>642</v>
      </c>
      <c r="F1641" t="s">
        <v>643</v>
      </c>
      <c r="G1641" t="s">
        <v>2572</v>
      </c>
      <c r="P1641">
        <v>83</v>
      </c>
      <c r="Q1641">
        <v>115</v>
      </c>
      <c r="R1641">
        <v>424</v>
      </c>
      <c r="S1641">
        <v>503</v>
      </c>
      <c r="T1641">
        <v>864</v>
      </c>
      <c r="U1641">
        <v>868</v>
      </c>
      <c r="V1641">
        <v>1083</v>
      </c>
      <c r="W1641">
        <v>868</v>
      </c>
      <c r="X1641">
        <v>813</v>
      </c>
      <c r="Y1641">
        <v>481</v>
      </c>
      <c r="Z1641">
        <v>475</v>
      </c>
      <c r="AA1641">
        <v>111</v>
      </c>
      <c r="AB1641">
        <v>170</v>
      </c>
      <c r="AC1641">
        <v>58</v>
      </c>
      <c r="AD1641">
        <v>64</v>
      </c>
      <c r="CH1641" t="str">
        <f t="shared" si="25"/>
        <v>D-0257</v>
      </c>
      <c r="CI1641" s="1" t="s">
        <v>102</v>
      </c>
    </row>
    <row r="1642" spans="1:87">
      <c r="A1642" t="s">
        <v>2574</v>
      </c>
      <c r="B1642">
        <v>224</v>
      </c>
      <c r="C1642" t="s">
        <v>2571</v>
      </c>
      <c r="D1642" t="s">
        <v>213</v>
      </c>
      <c r="E1642" t="s">
        <v>642</v>
      </c>
      <c r="F1642" t="s">
        <v>643</v>
      </c>
      <c r="G1642" t="s">
        <v>2572</v>
      </c>
      <c r="P1642">
        <v>3</v>
      </c>
      <c r="Q1642">
        <v>4</v>
      </c>
      <c r="R1642">
        <v>14</v>
      </c>
      <c r="S1642">
        <v>16</v>
      </c>
      <c r="T1642">
        <v>29</v>
      </c>
      <c r="U1642">
        <v>27</v>
      </c>
      <c r="V1642">
        <v>34</v>
      </c>
      <c r="W1642">
        <v>27</v>
      </c>
      <c r="X1642">
        <v>26</v>
      </c>
      <c r="Y1642">
        <v>15</v>
      </c>
      <c r="Z1642">
        <v>15</v>
      </c>
      <c r="AA1642">
        <v>4</v>
      </c>
      <c r="AB1642">
        <v>6</v>
      </c>
      <c r="AC1642">
        <v>2</v>
      </c>
      <c r="AD1642">
        <v>2</v>
      </c>
      <c r="CH1642" t="str">
        <f t="shared" si="25"/>
        <v>D-0257</v>
      </c>
      <c r="CI1642" s="1" t="s">
        <v>102</v>
      </c>
    </row>
    <row r="1643" spans="1:87">
      <c r="A1643" t="s">
        <v>2580</v>
      </c>
      <c r="B1643">
        <v>7085</v>
      </c>
      <c r="C1643" t="s">
        <v>1109</v>
      </c>
      <c r="D1643" t="s">
        <v>223</v>
      </c>
      <c r="E1643" t="s">
        <v>629</v>
      </c>
      <c r="F1643" t="s">
        <v>693</v>
      </c>
      <c r="G1643" t="s">
        <v>2469</v>
      </c>
      <c r="R1643">
        <v>48</v>
      </c>
      <c r="S1643">
        <v>18</v>
      </c>
      <c r="T1643">
        <v>373</v>
      </c>
      <c r="U1643">
        <v>312</v>
      </c>
      <c r="V1643">
        <v>840</v>
      </c>
      <c r="W1643">
        <v>591</v>
      </c>
      <c r="X1643">
        <v>1363</v>
      </c>
      <c r="Y1643">
        <v>803</v>
      </c>
      <c r="Z1643">
        <v>1344</v>
      </c>
      <c r="AA1643">
        <v>186</v>
      </c>
      <c r="AB1643">
        <v>747</v>
      </c>
      <c r="AC1643">
        <v>72</v>
      </c>
      <c r="AD1643">
        <v>305</v>
      </c>
      <c r="AE1643">
        <v>24</v>
      </c>
      <c r="AF1643">
        <v>47</v>
      </c>
      <c r="AH1643">
        <v>6</v>
      </c>
      <c r="AJ1643">
        <v>6</v>
      </c>
      <c r="CH1643" t="str">
        <f t="shared" si="25"/>
        <v>D-0263</v>
      </c>
      <c r="CI1643" s="1" t="s">
        <v>102</v>
      </c>
    </row>
    <row r="1644" spans="1:87">
      <c r="A1644" t="s">
        <v>2605</v>
      </c>
      <c r="B1644">
        <v>6971</v>
      </c>
      <c r="C1644" t="s">
        <v>2600</v>
      </c>
      <c r="D1644" t="s">
        <v>213</v>
      </c>
      <c r="E1644" t="s">
        <v>629</v>
      </c>
      <c r="F1644" t="s">
        <v>643</v>
      </c>
      <c r="G1644" t="s">
        <v>2283</v>
      </c>
      <c r="T1644">
        <v>206</v>
      </c>
      <c r="U1644">
        <v>243</v>
      </c>
      <c r="V1644">
        <v>515</v>
      </c>
      <c r="W1644">
        <v>498</v>
      </c>
      <c r="X1644">
        <v>826</v>
      </c>
      <c r="Y1644">
        <v>742</v>
      </c>
      <c r="Z1644">
        <v>925</v>
      </c>
      <c r="AA1644">
        <v>699</v>
      </c>
      <c r="AB1644">
        <v>728</v>
      </c>
      <c r="AC1644">
        <v>429</v>
      </c>
      <c r="AD1644">
        <v>586</v>
      </c>
      <c r="AF1644">
        <v>366</v>
      </c>
      <c r="AH1644">
        <v>145</v>
      </c>
      <c r="AJ1644">
        <v>63</v>
      </c>
      <c r="CH1644" t="str">
        <f t="shared" si="25"/>
        <v>D-0257</v>
      </c>
      <c r="CI1644" s="1" t="s">
        <v>102</v>
      </c>
    </row>
    <row r="1645" spans="1:87">
      <c r="A1645" t="s">
        <v>2606</v>
      </c>
      <c r="B1645">
        <v>1647</v>
      </c>
      <c r="C1645" t="s">
        <v>2600</v>
      </c>
      <c r="D1645" t="s">
        <v>213</v>
      </c>
      <c r="E1645" t="s">
        <v>629</v>
      </c>
      <c r="F1645" t="s">
        <v>643</v>
      </c>
      <c r="G1645" t="s">
        <v>2283</v>
      </c>
      <c r="T1645">
        <v>51</v>
      </c>
      <c r="U1645">
        <v>58</v>
      </c>
      <c r="V1645">
        <v>122</v>
      </c>
      <c r="W1645">
        <v>118</v>
      </c>
      <c r="X1645">
        <v>194</v>
      </c>
      <c r="Y1645">
        <v>175</v>
      </c>
      <c r="Z1645">
        <v>218</v>
      </c>
      <c r="AA1645">
        <v>165</v>
      </c>
      <c r="AB1645">
        <v>171</v>
      </c>
      <c r="AC1645">
        <v>101</v>
      </c>
      <c r="AD1645">
        <v>138</v>
      </c>
      <c r="AF1645">
        <v>86</v>
      </c>
      <c r="AH1645">
        <v>35</v>
      </c>
      <c r="AJ1645">
        <v>15</v>
      </c>
      <c r="CH1645" t="str">
        <f t="shared" si="25"/>
        <v>D-0257</v>
      </c>
      <c r="CI1645" s="1" t="s">
        <v>102</v>
      </c>
    </row>
    <row r="1646" spans="1:87">
      <c r="A1646" t="s">
        <v>2607</v>
      </c>
      <c r="B1646">
        <v>173</v>
      </c>
      <c r="C1646" t="s">
        <v>1089</v>
      </c>
      <c r="D1646" t="s">
        <v>457</v>
      </c>
      <c r="E1646" t="s">
        <v>629</v>
      </c>
      <c r="F1646" t="s">
        <v>672</v>
      </c>
      <c r="G1646" t="s">
        <v>686</v>
      </c>
      <c r="N1646">
        <v>12</v>
      </c>
      <c r="O1646">
        <v>24</v>
      </c>
      <c r="P1646">
        <v>12</v>
      </c>
      <c r="Q1646">
        <v>48</v>
      </c>
      <c r="R1646">
        <v>24</v>
      </c>
      <c r="S1646">
        <v>17</v>
      </c>
      <c r="T1646">
        <v>24</v>
      </c>
      <c r="U1646">
        <v>6</v>
      </c>
      <c r="V1646">
        <v>6</v>
      </c>
      <c r="CH1646" t="str">
        <f t="shared" si="25"/>
        <v>JV1-0695-3</v>
      </c>
      <c r="CI1646" s="1" t="s">
        <v>102</v>
      </c>
    </row>
    <row r="1647" spans="1:87">
      <c r="A1647" t="s">
        <v>2608</v>
      </c>
      <c r="B1647">
        <v>551</v>
      </c>
      <c r="C1647" t="s">
        <v>2609</v>
      </c>
      <c r="D1647" t="s">
        <v>457</v>
      </c>
      <c r="E1647" t="s">
        <v>629</v>
      </c>
      <c r="F1647" t="s">
        <v>672</v>
      </c>
      <c r="G1647" t="s">
        <v>680</v>
      </c>
      <c r="O1647">
        <v>18</v>
      </c>
      <c r="P1647">
        <v>30</v>
      </c>
      <c r="Q1647">
        <v>42</v>
      </c>
      <c r="R1647">
        <v>42</v>
      </c>
      <c r="S1647">
        <v>42</v>
      </c>
      <c r="T1647">
        <v>30</v>
      </c>
      <c r="U1647">
        <v>30</v>
      </c>
      <c r="V1647">
        <v>42</v>
      </c>
      <c r="W1647">
        <v>42</v>
      </c>
      <c r="X1647">
        <v>35</v>
      </c>
      <c r="Y1647">
        <v>72</v>
      </c>
      <c r="Z1647">
        <v>42</v>
      </c>
      <c r="AA1647">
        <v>18</v>
      </c>
      <c r="AB1647">
        <v>30</v>
      </c>
      <c r="AC1647">
        <v>18</v>
      </c>
      <c r="AD1647">
        <v>18</v>
      </c>
      <c r="CH1647" t="str">
        <f t="shared" si="25"/>
        <v>JV1-0695-3</v>
      </c>
      <c r="CI1647" s="1" t="s">
        <v>102</v>
      </c>
    </row>
    <row r="1648" spans="1:87">
      <c r="A1648" t="s">
        <v>2612</v>
      </c>
      <c r="B1648">
        <v>888</v>
      </c>
      <c r="C1648" t="s">
        <v>1089</v>
      </c>
      <c r="D1648" t="s">
        <v>457</v>
      </c>
      <c r="E1648" t="s">
        <v>629</v>
      </c>
      <c r="F1648" t="s">
        <v>672</v>
      </c>
      <c r="G1648" t="s">
        <v>686</v>
      </c>
      <c r="N1648">
        <v>24</v>
      </c>
      <c r="O1648">
        <v>42</v>
      </c>
      <c r="P1648">
        <v>60</v>
      </c>
      <c r="Q1648">
        <v>84</v>
      </c>
      <c r="R1648">
        <v>120</v>
      </c>
      <c r="S1648">
        <v>144</v>
      </c>
      <c r="T1648">
        <v>108</v>
      </c>
      <c r="U1648">
        <v>90</v>
      </c>
      <c r="V1648">
        <v>60</v>
      </c>
      <c r="W1648">
        <v>48</v>
      </c>
      <c r="X1648">
        <v>42</v>
      </c>
      <c r="Y1648">
        <v>42</v>
      </c>
      <c r="Z1648">
        <v>24</v>
      </c>
      <c r="CH1648" t="str">
        <f t="shared" si="25"/>
        <v>JV1-0695-3</v>
      </c>
      <c r="CI1648" s="1" t="s">
        <v>102</v>
      </c>
    </row>
    <row r="1649" spans="1:87">
      <c r="A1649" t="s">
        <v>2614</v>
      </c>
      <c r="B1649">
        <v>2304</v>
      </c>
      <c r="C1649" t="s">
        <v>1089</v>
      </c>
      <c r="D1649" t="s">
        <v>457</v>
      </c>
      <c r="E1649" t="s">
        <v>629</v>
      </c>
      <c r="F1649" t="s">
        <v>672</v>
      </c>
      <c r="G1649" t="s">
        <v>686</v>
      </c>
      <c r="N1649">
        <v>72</v>
      </c>
      <c r="O1649">
        <v>114</v>
      </c>
      <c r="P1649">
        <v>162</v>
      </c>
      <c r="Q1649">
        <v>222</v>
      </c>
      <c r="R1649">
        <v>294</v>
      </c>
      <c r="S1649">
        <v>372</v>
      </c>
      <c r="T1649">
        <v>282</v>
      </c>
      <c r="U1649">
        <v>234</v>
      </c>
      <c r="V1649">
        <v>162</v>
      </c>
      <c r="W1649">
        <v>114</v>
      </c>
      <c r="X1649">
        <v>102</v>
      </c>
      <c r="Y1649">
        <v>114</v>
      </c>
      <c r="Z1649">
        <v>60</v>
      </c>
      <c r="CH1649" t="str">
        <f t="shared" si="25"/>
        <v>JV1-0695-3</v>
      </c>
      <c r="CI1649" s="1" t="s">
        <v>102</v>
      </c>
    </row>
    <row r="1650" spans="1:87">
      <c r="A1650" t="s">
        <v>2618</v>
      </c>
      <c r="B1650">
        <v>1014</v>
      </c>
      <c r="C1650" t="s">
        <v>687</v>
      </c>
      <c r="D1650" t="s">
        <v>457</v>
      </c>
      <c r="E1650" t="s">
        <v>629</v>
      </c>
      <c r="F1650" t="s">
        <v>672</v>
      </c>
      <c r="G1650" t="s">
        <v>688</v>
      </c>
      <c r="N1650">
        <v>36</v>
      </c>
      <c r="O1650">
        <v>102</v>
      </c>
      <c r="P1650">
        <v>48</v>
      </c>
      <c r="Q1650">
        <v>240</v>
      </c>
      <c r="R1650">
        <v>84</v>
      </c>
      <c r="S1650">
        <v>294</v>
      </c>
      <c r="T1650">
        <v>60</v>
      </c>
      <c r="U1650">
        <v>114</v>
      </c>
      <c r="V1650">
        <v>36</v>
      </c>
      <c r="CH1650" t="str">
        <f t="shared" si="25"/>
        <v>JV1-0695-3</v>
      </c>
      <c r="CI1650" s="1" t="s">
        <v>102</v>
      </c>
    </row>
    <row r="1651" spans="1:87">
      <c r="A1651" t="s">
        <v>2622</v>
      </c>
      <c r="B1651">
        <v>1134</v>
      </c>
      <c r="C1651" t="s">
        <v>2609</v>
      </c>
      <c r="D1651" t="s">
        <v>457</v>
      </c>
      <c r="E1651" t="s">
        <v>629</v>
      </c>
      <c r="F1651" t="s">
        <v>672</v>
      </c>
      <c r="G1651" t="s">
        <v>680</v>
      </c>
      <c r="N1651">
        <v>24</v>
      </c>
      <c r="O1651">
        <v>36</v>
      </c>
      <c r="P1651">
        <v>48</v>
      </c>
      <c r="Q1651">
        <v>78</v>
      </c>
      <c r="R1651">
        <v>72</v>
      </c>
      <c r="S1651">
        <v>78</v>
      </c>
      <c r="T1651">
        <v>66</v>
      </c>
      <c r="U1651">
        <v>66</v>
      </c>
      <c r="V1651">
        <v>78</v>
      </c>
      <c r="W1651">
        <v>90</v>
      </c>
      <c r="X1651">
        <v>72</v>
      </c>
      <c r="Y1651">
        <v>126</v>
      </c>
      <c r="Z1651">
        <v>90</v>
      </c>
      <c r="AA1651">
        <v>48</v>
      </c>
      <c r="AB1651">
        <v>54</v>
      </c>
      <c r="AC1651">
        <v>36</v>
      </c>
      <c r="AD1651">
        <v>36</v>
      </c>
      <c r="AF1651">
        <v>24</v>
      </c>
      <c r="AH1651">
        <v>6</v>
      </c>
      <c r="AJ1651">
        <v>6</v>
      </c>
      <c r="CH1651" t="str">
        <f t="shared" si="25"/>
        <v>JV1-0695-3</v>
      </c>
      <c r="CI1651" s="1" t="s">
        <v>102</v>
      </c>
    </row>
    <row r="1652" spans="1:87">
      <c r="A1652" t="s">
        <v>2623</v>
      </c>
      <c r="B1652">
        <v>1134</v>
      </c>
      <c r="C1652" t="s">
        <v>2609</v>
      </c>
      <c r="D1652" t="s">
        <v>457</v>
      </c>
      <c r="E1652" t="s">
        <v>629</v>
      </c>
      <c r="F1652" t="s">
        <v>672</v>
      </c>
      <c r="G1652" t="s">
        <v>680</v>
      </c>
      <c r="N1652">
        <v>24</v>
      </c>
      <c r="O1652">
        <v>36</v>
      </c>
      <c r="P1652">
        <v>48</v>
      </c>
      <c r="Q1652">
        <v>72</v>
      </c>
      <c r="R1652">
        <v>78</v>
      </c>
      <c r="S1652">
        <v>78</v>
      </c>
      <c r="T1652">
        <v>66</v>
      </c>
      <c r="U1652">
        <v>66</v>
      </c>
      <c r="V1652">
        <v>78</v>
      </c>
      <c r="W1652">
        <v>90</v>
      </c>
      <c r="X1652">
        <v>72</v>
      </c>
      <c r="Y1652">
        <v>126</v>
      </c>
      <c r="Z1652">
        <v>90</v>
      </c>
      <c r="AA1652">
        <v>48</v>
      </c>
      <c r="AB1652">
        <v>54</v>
      </c>
      <c r="AC1652">
        <v>36</v>
      </c>
      <c r="AD1652">
        <v>36</v>
      </c>
      <c r="AF1652">
        <v>24</v>
      </c>
      <c r="AH1652">
        <v>6</v>
      </c>
      <c r="AJ1652">
        <v>6</v>
      </c>
      <c r="CH1652" t="str">
        <f t="shared" si="25"/>
        <v>JV1-0695-3</v>
      </c>
      <c r="CI1652" s="1" t="s">
        <v>102</v>
      </c>
    </row>
    <row r="1653" spans="1:87">
      <c r="A1653" t="s">
        <v>2630</v>
      </c>
      <c r="B1653">
        <v>509</v>
      </c>
      <c r="C1653" t="s">
        <v>685</v>
      </c>
      <c r="D1653" t="s">
        <v>457</v>
      </c>
      <c r="E1653" t="s">
        <v>629</v>
      </c>
      <c r="F1653" t="s">
        <v>672</v>
      </c>
      <c r="G1653" t="s">
        <v>686</v>
      </c>
      <c r="O1653">
        <v>24</v>
      </c>
      <c r="P1653">
        <v>48</v>
      </c>
      <c r="Q1653">
        <v>72</v>
      </c>
      <c r="R1653">
        <v>60</v>
      </c>
      <c r="T1653">
        <v>48</v>
      </c>
      <c r="U1653">
        <v>48</v>
      </c>
      <c r="W1653">
        <v>60</v>
      </c>
      <c r="Y1653">
        <v>65</v>
      </c>
      <c r="Z1653">
        <v>48</v>
      </c>
      <c r="AB1653">
        <v>24</v>
      </c>
      <c r="AD1653">
        <v>12</v>
      </c>
      <c r="CH1653" t="str">
        <f t="shared" si="25"/>
        <v>JV1-0695-3</v>
      </c>
      <c r="CI1653" s="1" t="s">
        <v>102</v>
      </c>
    </row>
    <row r="1654" spans="1:87">
      <c r="A1654" t="s">
        <v>2631</v>
      </c>
      <c r="B1654">
        <v>533</v>
      </c>
      <c r="C1654" t="s">
        <v>685</v>
      </c>
      <c r="D1654" t="s">
        <v>457</v>
      </c>
      <c r="E1654" t="s">
        <v>629</v>
      </c>
      <c r="F1654" t="s">
        <v>672</v>
      </c>
      <c r="G1654" t="s">
        <v>686</v>
      </c>
      <c r="Q1654">
        <v>12</v>
      </c>
      <c r="R1654">
        <v>12</v>
      </c>
      <c r="T1654">
        <v>36</v>
      </c>
      <c r="U1654">
        <v>84</v>
      </c>
      <c r="W1654">
        <v>120</v>
      </c>
      <c r="Y1654">
        <v>125</v>
      </c>
      <c r="Z1654">
        <v>84</v>
      </c>
      <c r="AB1654">
        <v>48</v>
      </c>
      <c r="AD1654">
        <v>12</v>
      </c>
      <c r="CH1654" t="str">
        <f t="shared" si="25"/>
        <v>JV1-0695-3</v>
      </c>
      <c r="CI1654" s="1" t="s">
        <v>102</v>
      </c>
    </row>
    <row r="1655" spans="1:87">
      <c r="A1655" t="s">
        <v>2632</v>
      </c>
      <c r="B1655">
        <v>209</v>
      </c>
      <c r="C1655" t="s">
        <v>685</v>
      </c>
      <c r="D1655" t="s">
        <v>457</v>
      </c>
      <c r="E1655" t="s">
        <v>629</v>
      </c>
      <c r="F1655" t="s">
        <v>672</v>
      </c>
      <c r="G1655" t="s">
        <v>686</v>
      </c>
      <c r="Q1655">
        <v>12</v>
      </c>
      <c r="R1655">
        <v>12</v>
      </c>
      <c r="S1655">
        <v>18</v>
      </c>
      <c r="T1655">
        <v>18</v>
      </c>
      <c r="U1655">
        <v>18</v>
      </c>
      <c r="V1655">
        <v>24</v>
      </c>
      <c r="W1655">
        <v>24</v>
      </c>
      <c r="X1655">
        <v>23</v>
      </c>
      <c r="Y1655">
        <v>18</v>
      </c>
      <c r="Z1655">
        <v>18</v>
      </c>
      <c r="AA1655">
        <v>12</v>
      </c>
      <c r="AB1655">
        <v>12</v>
      </c>
      <c r="CH1655" t="str">
        <f t="shared" si="25"/>
        <v>JV1-0695-3</v>
      </c>
      <c r="CI1655" s="1" t="s">
        <v>102</v>
      </c>
    </row>
    <row r="1656" spans="1:87">
      <c r="A1656" t="s">
        <v>2633</v>
      </c>
      <c r="B1656">
        <v>341</v>
      </c>
      <c r="C1656" t="s">
        <v>685</v>
      </c>
      <c r="D1656" t="s">
        <v>457</v>
      </c>
      <c r="E1656" t="s">
        <v>629</v>
      </c>
      <c r="F1656" t="s">
        <v>672</v>
      </c>
      <c r="G1656" t="s">
        <v>686</v>
      </c>
      <c r="O1656">
        <v>24</v>
      </c>
      <c r="Q1656">
        <v>42</v>
      </c>
      <c r="S1656">
        <v>42</v>
      </c>
      <c r="T1656">
        <v>12</v>
      </c>
      <c r="U1656">
        <v>36</v>
      </c>
      <c r="V1656">
        <v>36</v>
      </c>
      <c r="W1656">
        <v>48</v>
      </c>
      <c r="Y1656">
        <v>53</v>
      </c>
      <c r="Z1656">
        <v>24</v>
      </c>
      <c r="AB1656">
        <v>24</v>
      </c>
      <c r="CH1656" t="str">
        <f t="shared" si="25"/>
        <v>JV1-0695-3</v>
      </c>
      <c r="CI1656" s="1" t="s">
        <v>102</v>
      </c>
    </row>
    <row r="1657" spans="1:87">
      <c r="A1657" t="s">
        <v>2635</v>
      </c>
      <c r="B1657">
        <v>726</v>
      </c>
      <c r="C1657" t="s">
        <v>1089</v>
      </c>
      <c r="D1657" t="s">
        <v>457</v>
      </c>
      <c r="E1657" t="s">
        <v>629</v>
      </c>
      <c r="F1657" t="s">
        <v>672</v>
      </c>
      <c r="G1657" t="s">
        <v>686</v>
      </c>
      <c r="N1657">
        <v>60</v>
      </c>
      <c r="O1657">
        <v>60</v>
      </c>
      <c r="P1657">
        <v>120</v>
      </c>
      <c r="Q1657">
        <v>120</v>
      </c>
      <c r="R1657">
        <v>120</v>
      </c>
      <c r="S1657">
        <v>126</v>
      </c>
      <c r="T1657">
        <v>60</v>
      </c>
      <c r="U1657">
        <v>60</v>
      </c>
      <c r="CH1657" t="str">
        <f t="shared" si="25"/>
        <v>JV1-0695-3</v>
      </c>
      <c r="CI1657" s="1" t="s">
        <v>102</v>
      </c>
    </row>
    <row r="1658" spans="1:87">
      <c r="A1658" t="s">
        <v>2636</v>
      </c>
      <c r="B1658">
        <v>2616</v>
      </c>
      <c r="C1658" t="s">
        <v>712</v>
      </c>
      <c r="D1658" t="s">
        <v>457</v>
      </c>
      <c r="E1658" t="s">
        <v>629</v>
      </c>
      <c r="F1658" t="s">
        <v>672</v>
      </c>
      <c r="G1658" t="s">
        <v>713</v>
      </c>
      <c r="N1658">
        <v>36</v>
      </c>
      <c r="O1658">
        <v>66</v>
      </c>
      <c r="P1658">
        <v>102</v>
      </c>
      <c r="Q1658">
        <v>138</v>
      </c>
      <c r="R1658">
        <v>186</v>
      </c>
      <c r="S1658">
        <v>198</v>
      </c>
      <c r="T1658">
        <v>186</v>
      </c>
      <c r="U1658">
        <v>138</v>
      </c>
      <c r="V1658">
        <v>174</v>
      </c>
      <c r="W1658">
        <v>138</v>
      </c>
      <c r="X1658">
        <v>192</v>
      </c>
      <c r="Y1658">
        <v>174</v>
      </c>
      <c r="Z1658">
        <v>186</v>
      </c>
      <c r="AA1658">
        <v>144</v>
      </c>
      <c r="AB1658">
        <v>210</v>
      </c>
      <c r="AC1658">
        <v>78</v>
      </c>
      <c r="AD1658">
        <v>150</v>
      </c>
      <c r="AF1658">
        <v>84</v>
      </c>
      <c r="AH1658">
        <v>30</v>
      </c>
      <c r="AJ1658">
        <v>6</v>
      </c>
      <c r="CH1658" t="str">
        <f t="shared" si="25"/>
        <v>JV1-0695-3</v>
      </c>
      <c r="CI1658" s="1" t="s">
        <v>102</v>
      </c>
    </row>
    <row r="1659" spans="1:87">
      <c r="A1659" t="s">
        <v>2645</v>
      </c>
      <c r="B1659">
        <v>606</v>
      </c>
      <c r="C1659" t="s">
        <v>700</v>
      </c>
      <c r="D1659" t="s">
        <v>457</v>
      </c>
      <c r="E1659" t="s">
        <v>629</v>
      </c>
      <c r="F1659" t="s">
        <v>672</v>
      </c>
      <c r="G1659" t="s">
        <v>680</v>
      </c>
      <c r="O1659">
        <v>48</v>
      </c>
      <c r="P1659">
        <v>48</v>
      </c>
      <c r="Q1659">
        <v>102</v>
      </c>
      <c r="R1659">
        <v>126</v>
      </c>
      <c r="S1659">
        <v>126</v>
      </c>
      <c r="T1659">
        <v>108</v>
      </c>
      <c r="U1659">
        <v>48</v>
      </c>
      <c r="CH1659" t="str">
        <f t="shared" si="25"/>
        <v>JV1-0695-3</v>
      </c>
      <c r="CI1659" s="1" t="s">
        <v>102</v>
      </c>
    </row>
    <row r="1660" spans="1:87">
      <c r="A1660" t="s">
        <v>2646</v>
      </c>
      <c r="B1660">
        <v>606</v>
      </c>
      <c r="C1660" t="s">
        <v>700</v>
      </c>
      <c r="D1660" t="s">
        <v>457</v>
      </c>
      <c r="E1660" t="s">
        <v>629</v>
      </c>
      <c r="F1660" t="s">
        <v>672</v>
      </c>
      <c r="G1660" t="s">
        <v>680</v>
      </c>
      <c r="O1660">
        <v>50</v>
      </c>
      <c r="P1660">
        <v>50</v>
      </c>
      <c r="Q1660">
        <v>100</v>
      </c>
      <c r="R1660">
        <v>100</v>
      </c>
      <c r="S1660">
        <v>106</v>
      </c>
      <c r="T1660">
        <v>100</v>
      </c>
      <c r="U1660">
        <v>100</v>
      </c>
      <c r="CH1660" t="str">
        <f t="shared" si="25"/>
        <v>JV1-0695-3</v>
      </c>
      <c r="CI1660" s="1" t="s">
        <v>102</v>
      </c>
    </row>
    <row r="1661" spans="1:87">
      <c r="A1661" t="s">
        <v>2647</v>
      </c>
      <c r="B1661">
        <v>756</v>
      </c>
      <c r="C1661" t="s">
        <v>689</v>
      </c>
      <c r="D1661" t="s">
        <v>457</v>
      </c>
      <c r="E1661" t="s">
        <v>629</v>
      </c>
      <c r="F1661" t="s">
        <v>672</v>
      </c>
      <c r="G1661" t="s">
        <v>686</v>
      </c>
      <c r="N1661">
        <v>12</v>
      </c>
      <c r="O1661">
        <v>54</v>
      </c>
      <c r="P1661">
        <v>72</v>
      </c>
      <c r="Q1661">
        <v>120</v>
      </c>
      <c r="R1661">
        <v>114</v>
      </c>
      <c r="S1661">
        <v>120</v>
      </c>
      <c r="T1661">
        <v>114</v>
      </c>
      <c r="U1661">
        <v>66</v>
      </c>
      <c r="V1661">
        <v>6</v>
      </c>
      <c r="W1661">
        <v>48</v>
      </c>
      <c r="X1661">
        <v>18</v>
      </c>
      <c r="Y1661">
        <v>12</v>
      </c>
      <c r="CH1661" t="str">
        <f t="shared" si="25"/>
        <v>JV1-0695-3</v>
      </c>
      <c r="CI1661" s="1" t="s">
        <v>102</v>
      </c>
    </row>
    <row r="1662" spans="1:87">
      <c r="A1662" t="s">
        <v>2648</v>
      </c>
      <c r="B1662">
        <v>756</v>
      </c>
      <c r="C1662" t="s">
        <v>689</v>
      </c>
      <c r="D1662" t="s">
        <v>457</v>
      </c>
      <c r="E1662" t="s">
        <v>629</v>
      </c>
      <c r="F1662" t="s">
        <v>672</v>
      </c>
      <c r="G1662" t="s">
        <v>686</v>
      </c>
      <c r="N1662">
        <v>12</v>
      </c>
      <c r="O1662">
        <v>54</v>
      </c>
      <c r="P1662">
        <v>72</v>
      </c>
      <c r="Q1662">
        <v>114</v>
      </c>
      <c r="R1662">
        <v>114</v>
      </c>
      <c r="S1662">
        <v>126</v>
      </c>
      <c r="T1662">
        <v>108</v>
      </c>
      <c r="U1662">
        <v>66</v>
      </c>
      <c r="V1662">
        <v>6</v>
      </c>
      <c r="W1662">
        <v>54</v>
      </c>
      <c r="X1662">
        <v>18</v>
      </c>
      <c r="Y1662">
        <v>12</v>
      </c>
      <c r="CH1662" t="str">
        <f t="shared" si="25"/>
        <v>JV1-0695-3</v>
      </c>
      <c r="CI1662" s="1" t="s">
        <v>102</v>
      </c>
    </row>
    <row r="1663" spans="1:87">
      <c r="A1663" t="s">
        <v>2650</v>
      </c>
      <c r="B1663">
        <v>966</v>
      </c>
      <c r="C1663" t="s">
        <v>712</v>
      </c>
      <c r="D1663" t="s">
        <v>457</v>
      </c>
      <c r="E1663" t="s">
        <v>629</v>
      </c>
      <c r="F1663" t="s">
        <v>672</v>
      </c>
      <c r="G1663" t="s">
        <v>713</v>
      </c>
      <c r="V1663">
        <v>132</v>
      </c>
      <c r="W1663">
        <v>108</v>
      </c>
      <c r="X1663">
        <v>114</v>
      </c>
      <c r="Y1663">
        <v>96</v>
      </c>
      <c r="Z1663">
        <v>84</v>
      </c>
      <c r="AA1663">
        <v>78</v>
      </c>
      <c r="AB1663">
        <v>84</v>
      </c>
      <c r="AC1663">
        <v>72</v>
      </c>
      <c r="AD1663">
        <v>96</v>
      </c>
      <c r="AF1663">
        <v>102</v>
      </c>
      <c r="CH1663" t="str">
        <f t="shared" si="25"/>
        <v>JV1-0695-3</v>
      </c>
      <c r="CI1663" s="1" t="s">
        <v>102</v>
      </c>
    </row>
    <row r="1664" spans="1:87">
      <c r="A1664" t="s">
        <v>2651</v>
      </c>
      <c r="B1664">
        <v>1314</v>
      </c>
      <c r="C1664" t="s">
        <v>712</v>
      </c>
      <c r="D1664" t="s">
        <v>457</v>
      </c>
      <c r="E1664" t="s">
        <v>629</v>
      </c>
      <c r="F1664" t="s">
        <v>672</v>
      </c>
      <c r="G1664" t="s">
        <v>713</v>
      </c>
      <c r="V1664">
        <v>174</v>
      </c>
      <c r="W1664">
        <v>138</v>
      </c>
      <c r="X1664">
        <v>174</v>
      </c>
      <c r="Y1664">
        <v>150</v>
      </c>
      <c r="Z1664">
        <v>96</v>
      </c>
      <c r="AA1664">
        <v>90</v>
      </c>
      <c r="AB1664">
        <v>150</v>
      </c>
      <c r="AC1664">
        <v>96</v>
      </c>
      <c r="AD1664">
        <v>114</v>
      </c>
      <c r="AF1664">
        <v>132</v>
      </c>
      <c r="CH1664" t="str">
        <f t="shared" si="25"/>
        <v>JV1-0695-3</v>
      </c>
      <c r="CI1664" s="1" t="s">
        <v>102</v>
      </c>
    </row>
    <row r="1665" spans="1:87">
      <c r="A1665" t="s">
        <v>2652</v>
      </c>
      <c r="B1665">
        <v>636</v>
      </c>
      <c r="C1665" t="s">
        <v>712</v>
      </c>
      <c r="D1665" t="s">
        <v>457</v>
      </c>
      <c r="E1665" t="s">
        <v>629</v>
      </c>
      <c r="F1665" t="s">
        <v>672</v>
      </c>
      <c r="G1665" t="s">
        <v>713</v>
      </c>
      <c r="N1665">
        <v>6</v>
      </c>
      <c r="O1665">
        <v>66</v>
      </c>
      <c r="P1665">
        <v>90</v>
      </c>
      <c r="Q1665">
        <v>90</v>
      </c>
      <c r="R1665">
        <v>48</v>
      </c>
      <c r="S1665">
        <v>72</v>
      </c>
      <c r="T1665">
        <v>78</v>
      </c>
      <c r="U1665">
        <v>90</v>
      </c>
      <c r="V1665">
        <v>48</v>
      </c>
      <c r="W1665">
        <v>30</v>
      </c>
      <c r="X1665">
        <v>12</v>
      </c>
      <c r="Y1665">
        <v>6</v>
      </c>
      <c r="CH1665" t="str">
        <f t="shared" si="25"/>
        <v>JV1-0695-3</v>
      </c>
      <c r="CI1665" s="1" t="s">
        <v>102</v>
      </c>
    </row>
    <row r="1666" spans="1:87">
      <c r="A1666" t="s">
        <v>2653</v>
      </c>
      <c r="B1666">
        <v>894</v>
      </c>
      <c r="C1666" t="s">
        <v>712</v>
      </c>
      <c r="D1666" t="s">
        <v>457</v>
      </c>
      <c r="E1666" t="s">
        <v>629</v>
      </c>
      <c r="F1666" t="s">
        <v>672</v>
      </c>
      <c r="G1666" t="s">
        <v>713</v>
      </c>
      <c r="Q1666">
        <v>148</v>
      </c>
      <c r="R1666">
        <v>296</v>
      </c>
      <c r="S1666">
        <v>302</v>
      </c>
      <c r="T1666">
        <v>148</v>
      </c>
      <c r="CH1666" t="str">
        <f t="shared" ref="CH1666:CH1729" si="26">TRIM(IFERROR(IFERROR(MID($D1666,FIND("(D-",$D1666)+1,6),LEFT($D1666,FIND("(",$D1666)-1)),$D1666))</f>
        <v>JV1-0695-3</v>
      </c>
      <c r="CI1666" s="1" t="s">
        <v>102</v>
      </c>
    </row>
    <row r="1667" spans="1:87">
      <c r="A1667" t="s">
        <v>2654</v>
      </c>
      <c r="B1667">
        <v>1938</v>
      </c>
      <c r="C1667" t="s">
        <v>712</v>
      </c>
      <c r="D1667" t="s">
        <v>457</v>
      </c>
      <c r="E1667" t="s">
        <v>629</v>
      </c>
      <c r="F1667" t="s">
        <v>672</v>
      </c>
      <c r="G1667" t="s">
        <v>713</v>
      </c>
      <c r="V1667">
        <v>234</v>
      </c>
      <c r="W1667">
        <v>198</v>
      </c>
      <c r="X1667">
        <v>240</v>
      </c>
      <c r="Y1667">
        <v>228</v>
      </c>
      <c r="Z1667">
        <v>138</v>
      </c>
      <c r="AA1667">
        <v>132</v>
      </c>
      <c r="AB1667">
        <v>210</v>
      </c>
      <c r="AC1667">
        <v>168</v>
      </c>
      <c r="AD1667">
        <v>186</v>
      </c>
      <c r="AF1667">
        <v>204</v>
      </c>
      <c r="CH1667" t="str">
        <f t="shared" si="26"/>
        <v>JV1-0695-3</v>
      </c>
      <c r="CI1667" s="1" t="s">
        <v>102</v>
      </c>
    </row>
    <row r="1668" spans="1:87">
      <c r="A1668" t="s">
        <v>2655</v>
      </c>
      <c r="B1668">
        <v>1752</v>
      </c>
      <c r="C1668" t="s">
        <v>689</v>
      </c>
      <c r="D1668" t="s">
        <v>457</v>
      </c>
      <c r="E1668" t="s">
        <v>629</v>
      </c>
      <c r="F1668" t="s">
        <v>672</v>
      </c>
      <c r="G1668" t="s">
        <v>686</v>
      </c>
      <c r="O1668">
        <v>192</v>
      </c>
      <c r="P1668">
        <v>156</v>
      </c>
      <c r="Q1668">
        <v>180</v>
      </c>
      <c r="R1668">
        <v>180</v>
      </c>
      <c r="S1668">
        <v>228</v>
      </c>
      <c r="T1668">
        <v>204</v>
      </c>
      <c r="U1668">
        <v>150</v>
      </c>
      <c r="V1668">
        <v>240</v>
      </c>
      <c r="W1668">
        <v>222</v>
      </c>
      <c r="CH1668" t="str">
        <f t="shared" si="26"/>
        <v>JV1-0695-3</v>
      </c>
      <c r="CI1668" s="1" t="s">
        <v>102</v>
      </c>
    </row>
    <row r="1669" spans="1:87">
      <c r="A1669" t="s">
        <v>2656</v>
      </c>
      <c r="B1669">
        <v>756</v>
      </c>
      <c r="C1669" t="s">
        <v>712</v>
      </c>
      <c r="D1669" t="s">
        <v>457</v>
      </c>
      <c r="E1669" t="s">
        <v>629</v>
      </c>
      <c r="F1669" t="s">
        <v>672</v>
      </c>
      <c r="G1669" t="s">
        <v>713</v>
      </c>
      <c r="AB1669">
        <v>258</v>
      </c>
      <c r="AC1669">
        <v>150</v>
      </c>
      <c r="AD1669">
        <v>186</v>
      </c>
      <c r="AF1669">
        <v>132</v>
      </c>
      <c r="AH1669">
        <v>30</v>
      </c>
      <c r="CH1669" t="str">
        <f t="shared" si="26"/>
        <v>JV1-0695-3</v>
      </c>
      <c r="CI1669" s="1" t="s">
        <v>102</v>
      </c>
    </row>
    <row r="1670" spans="1:87">
      <c r="A1670" t="s">
        <v>2657</v>
      </c>
      <c r="B1670">
        <v>2154</v>
      </c>
      <c r="C1670" t="s">
        <v>712</v>
      </c>
      <c r="D1670" t="s">
        <v>457</v>
      </c>
      <c r="E1670" t="s">
        <v>629</v>
      </c>
      <c r="F1670" t="s">
        <v>672</v>
      </c>
      <c r="G1670" t="s">
        <v>713</v>
      </c>
      <c r="V1670">
        <v>222</v>
      </c>
      <c r="W1670">
        <v>240</v>
      </c>
      <c r="X1670">
        <v>252</v>
      </c>
      <c r="Y1670">
        <v>252</v>
      </c>
      <c r="Z1670">
        <v>246</v>
      </c>
      <c r="AA1670">
        <v>234</v>
      </c>
      <c r="AB1670">
        <v>222</v>
      </c>
      <c r="AC1670">
        <v>150</v>
      </c>
      <c r="AD1670">
        <v>198</v>
      </c>
      <c r="AF1670">
        <v>138</v>
      </c>
      <c r="CH1670" t="str">
        <f t="shared" si="26"/>
        <v>JV1-0695-3</v>
      </c>
      <c r="CI1670" s="1" t="s">
        <v>102</v>
      </c>
    </row>
    <row r="1671" spans="1:87">
      <c r="A1671" t="s">
        <v>2658</v>
      </c>
      <c r="B1671">
        <v>545</v>
      </c>
      <c r="C1671" t="s">
        <v>712</v>
      </c>
      <c r="D1671" t="s">
        <v>457</v>
      </c>
      <c r="E1671" t="s">
        <v>629</v>
      </c>
      <c r="F1671" t="s">
        <v>672</v>
      </c>
      <c r="G1671" t="s">
        <v>713</v>
      </c>
      <c r="N1671">
        <v>18</v>
      </c>
      <c r="O1671">
        <v>48</v>
      </c>
      <c r="P1671">
        <v>54</v>
      </c>
      <c r="Q1671">
        <v>96</v>
      </c>
      <c r="R1671">
        <v>72</v>
      </c>
      <c r="S1671">
        <v>101</v>
      </c>
      <c r="T1671">
        <v>102</v>
      </c>
      <c r="U1671">
        <v>54</v>
      </c>
      <c r="CH1671" t="str">
        <f t="shared" si="26"/>
        <v>JV1-0695-3</v>
      </c>
      <c r="CI1671" s="1" t="s">
        <v>102</v>
      </c>
    </row>
    <row r="1672" spans="1:87">
      <c r="A1672" t="s">
        <v>2659</v>
      </c>
      <c r="B1672">
        <v>2490</v>
      </c>
      <c r="C1672" t="s">
        <v>712</v>
      </c>
      <c r="D1672" t="s">
        <v>457</v>
      </c>
      <c r="E1672" t="s">
        <v>629</v>
      </c>
      <c r="F1672" t="s">
        <v>672</v>
      </c>
      <c r="G1672" t="s">
        <v>713</v>
      </c>
      <c r="N1672">
        <v>36</v>
      </c>
      <c r="O1672">
        <v>204</v>
      </c>
      <c r="P1672">
        <v>294</v>
      </c>
      <c r="Q1672">
        <v>294</v>
      </c>
      <c r="R1672">
        <v>264</v>
      </c>
      <c r="S1672">
        <v>324</v>
      </c>
      <c r="T1672">
        <v>312</v>
      </c>
      <c r="U1672">
        <v>330</v>
      </c>
      <c r="V1672">
        <v>204</v>
      </c>
      <c r="W1672">
        <v>132</v>
      </c>
      <c r="X1672">
        <v>60</v>
      </c>
      <c r="Y1672">
        <v>24</v>
      </c>
      <c r="Z1672">
        <v>6</v>
      </c>
      <c r="AA1672">
        <v>6</v>
      </c>
      <c r="CH1672" t="str">
        <f t="shared" si="26"/>
        <v>JV1-0695-3</v>
      </c>
      <c r="CI1672" s="1" t="s">
        <v>102</v>
      </c>
    </row>
    <row r="1673" spans="1:87">
      <c r="A1673" t="s">
        <v>2660</v>
      </c>
      <c r="B1673">
        <v>1356</v>
      </c>
      <c r="C1673" t="s">
        <v>689</v>
      </c>
      <c r="D1673" t="s">
        <v>457</v>
      </c>
      <c r="E1673" t="s">
        <v>629</v>
      </c>
      <c r="F1673" t="s">
        <v>672</v>
      </c>
      <c r="G1673" t="s">
        <v>686</v>
      </c>
      <c r="O1673">
        <v>150</v>
      </c>
      <c r="P1673">
        <v>150</v>
      </c>
      <c r="Q1673">
        <v>150</v>
      </c>
      <c r="R1673">
        <v>150</v>
      </c>
      <c r="S1673">
        <v>156</v>
      </c>
      <c r="T1673">
        <v>150</v>
      </c>
      <c r="U1673">
        <v>150</v>
      </c>
      <c r="V1673">
        <v>150</v>
      </c>
      <c r="W1673">
        <v>150</v>
      </c>
      <c r="CH1673" t="str">
        <f t="shared" si="26"/>
        <v>JV1-0695-3</v>
      </c>
      <c r="CI1673" s="1" t="s">
        <v>102</v>
      </c>
    </row>
    <row r="1674" spans="1:87">
      <c r="A1674" t="s">
        <v>2661</v>
      </c>
      <c r="B1674">
        <v>2574</v>
      </c>
      <c r="C1674" t="s">
        <v>712</v>
      </c>
      <c r="D1674" t="s">
        <v>457</v>
      </c>
      <c r="E1674" t="s">
        <v>629</v>
      </c>
      <c r="F1674" t="s">
        <v>672</v>
      </c>
      <c r="G1674" t="s">
        <v>713</v>
      </c>
      <c r="V1674">
        <v>300</v>
      </c>
      <c r="W1674">
        <v>282</v>
      </c>
      <c r="X1674">
        <v>294</v>
      </c>
      <c r="Y1674">
        <v>276</v>
      </c>
      <c r="Z1674">
        <v>264</v>
      </c>
      <c r="AA1674">
        <v>258</v>
      </c>
      <c r="AB1674">
        <v>252</v>
      </c>
      <c r="AC1674">
        <v>198</v>
      </c>
      <c r="AD1674">
        <v>240</v>
      </c>
      <c r="AF1674">
        <v>210</v>
      </c>
      <c r="CH1674" t="str">
        <f t="shared" si="26"/>
        <v>JV1-0695-3</v>
      </c>
      <c r="CI1674" s="1" t="s">
        <v>102</v>
      </c>
    </row>
    <row r="1675" spans="1:87">
      <c r="A1675" t="s">
        <v>2662</v>
      </c>
      <c r="B1675">
        <v>3402</v>
      </c>
      <c r="C1675" t="s">
        <v>689</v>
      </c>
      <c r="D1675" t="s">
        <v>457</v>
      </c>
      <c r="E1675" t="s">
        <v>629</v>
      </c>
      <c r="F1675" t="s">
        <v>672</v>
      </c>
      <c r="G1675" t="s">
        <v>686</v>
      </c>
      <c r="O1675">
        <v>312</v>
      </c>
      <c r="P1675">
        <v>312</v>
      </c>
      <c r="Q1675">
        <v>378</v>
      </c>
      <c r="R1675">
        <v>444</v>
      </c>
      <c r="S1675">
        <v>462</v>
      </c>
      <c r="T1675">
        <v>432</v>
      </c>
      <c r="U1675">
        <v>372</v>
      </c>
      <c r="V1675">
        <v>354</v>
      </c>
      <c r="W1675">
        <v>336</v>
      </c>
      <c r="CH1675" t="str">
        <f t="shared" si="26"/>
        <v>JV1-0695-3</v>
      </c>
      <c r="CI1675" s="1" t="s">
        <v>102</v>
      </c>
    </row>
    <row r="1676" spans="1:87">
      <c r="A1676" t="s">
        <v>2663</v>
      </c>
      <c r="B1676">
        <v>1014</v>
      </c>
      <c r="C1676" t="s">
        <v>689</v>
      </c>
      <c r="D1676" t="s">
        <v>457</v>
      </c>
      <c r="E1676" t="s">
        <v>629</v>
      </c>
      <c r="F1676" t="s">
        <v>672</v>
      </c>
      <c r="G1676" t="s">
        <v>686</v>
      </c>
      <c r="O1676">
        <v>84</v>
      </c>
      <c r="P1676">
        <v>84</v>
      </c>
      <c r="Q1676">
        <v>84</v>
      </c>
      <c r="R1676">
        <v>168</v>
      </c>
      <c r="S1676">
        <v>174</v>
      </c>
      <c r="T1676">
        <v>168</v>
      </c>
      <c r="U1676">
        <v>84</v>
      </c>
      <c r="V1676">
        <v>84</v>
      </c>
      <c r="W1676">
        <v>84</v>
      </c>
      <c r="CH1676" t="str">
        <f t="shared" si="26"/>
        <v>JV1-0695-3</v>
      </c>
      <c r="CI1676" s="1" t="s">
        <v>102</v>
      </c>
    </row>
    <row r="1677" spans="1:87">
      <c r="A1677" t="s">
        <v>2664</v>
      </c>
      <c r="B1677">
        <v>996</v>
      </c>
      <c r="C1677" t="s">
        <v>689</v>
      </c>
      <c r="D1677" t="s">
        <v>457</v>
      </c>
      <c r="E1677" t="s">
        <v>629</v>
      </c>
      <c r="F1677" t="s">
        <v>672</v>
      </c>
      <c r="G1677" t="s">
        <v>686</v>
      </c>
      <c r="O1677">
        <v>110</v>
      </c>
      <c r="P1677">
        <v>110</v>
      </c>
      <c r="Q1677">
        <v>110</v>
      </c>
      <c r="R1677">
        <v>110</v>
      </c>
      <c r="S1677">
        <v>116</v>
      </c>
      <c r="T1677">
        <v>110</v>
      </c>
      <c r="U1677">
        <v>110</v>
      </c>
      <c r="V1677">
        <v>110</v>
      </c>
      <c r="W1677">
        <v>110</v>
      </c>
      <c r="CH1677" t="str">
        <f t="shared" si="26"/>
        <v>JV1-0695-3</v>
      </c>
      <c r="CI1677" s="1" t="s">
        <v>102</v>
      </c>
    </row>
    <row r="1678" spans="1:87">
      <c r="A1678" t="s">
        <v>2665</v>
      </c>
      <c r="B1678">
        <v>2922</v>
      </c>
      <c r="C1678" t="s">
        <v>689</v>
      </c>
      <c r="D1678" t="s">
        <v>457</v>
      </c>
      <c r="E1678" t="s">
        <v>629</v>
      </c>
      <c r="F1678" t="s">
        <v>672</v>
      </c>
      <c r="G1678" t="s">
        <v>686</v>
      </c>
      <c r="O1678">
        <v>222</v>
      </c>
      <c r="P1678">
        <v>288</v>
      </c>
      <c r="Q1678">
        <v>300</v>
      </c>
      <c r="R1678">
        <v>438</v>
      </c>
      <c r="S1678">
        <v>426</v>
      </c>
      <c r="T1678">
        <v>396</v>
      </c>
      <c r="U1678">
        <v>306</v>
      </c>
      <c r="V1678">
        <v>288</v>
      </c>
      <c r="W1678">
        <v>258</v>
      </c>
      <c r="CH1678" t="str">
        <f t="shared" si="26"/>
        <v>JV1-0695-3</v>
      </c>
      <c r="CI1678" s="1" t="s">
        <v>102</v>
      </c>
    </row>
    <row r="1679" spans="1:87">
      <c r="A1679" t="s">
        <v>2666</v>
      </c>
      <c r="B1679">
        <v>942</v>
      </c>
      <c r="C1679" t="s">
        <v>689</v>
      </c>
      <c r="D1679" t="s">
        <v>457</v>
      </c>
      <c r="E1679" t="s">
        <v>629</v>
      </c>
      <c r="F1679" t="s">
        <v>672</v>
      </c>
      <c r="G1679" t="s">
        <v>686</v>
      </c>
      <c r="P1679">
        <v>156</v>
      </c>
      <c r="Q1679">
        <v>156</v>
      </c>
      <c r="R1679">
        <v>156</v>
      </c>
      <c r="S1679">
        <v>162</v>
      </c>
      <c r="T1679">
        <v>156</v>
      </c>
      <c r="U1679">
        <v>156</v>
      </c>
      <c r="CH1679" t="str">
        <f t="shared" si="26"/>
        <v>JV1-0695-3</v>
      </c>
      <c r="CI1679" s="1" t="s">
        <v>102</v>
      </c>
    </row>
    <row r="1680" spans="1:87">
      <c r="A1680" t="s">
        <v>2667</v>
      </c>
      <c r="B1680">
        <v>1194</v>
      </c>
      <c r="C1680" t="s">
        <v>689</v>
      </c>
      <c r="D1680" t="s">
        <v>457</v>
      </c>
      <c r="E1680" t="s">
        <v>629</v>
      </c>
      <c r="F1680" t="s">
        <v>672</v>
      </c>
      <c r="G1680" t="s">
        <v>686</v>
      </c>
      <c r="O1680">
        <v>90</v>
      </c>
      <c r="P1680">
        <v>90</v>
      </c>
      <c r="Q1680">
        <v>192</v>
      </c>
      <c r="R1680">
        <v>162</v>
      </c>
      <c r="S1680">
        <v>228</v>
      </c>
      <c r="T1680">
        <v>204</v>
      </c>
      <c r="U1680">
        <v>96</v>
      </c>
      <c r="V1680">
        <v>72</v>
      </c>
      <c r="W1680">
        <v>60</v>
      </c>
      <c r="CH1680" t="str">
        <f t="shared" si="26"/>
        <v>JV1-0695-3</v>
      </c>
      <c r="CI1680" s="1" t="s">
        <v>102</v>
      </c>
    </row>
    <row r="1681" spans="1:87">
      <c r="A1681" t="s">
        <v>2668</v>
      </c>
      <c r="B1681">
        <v>852</v>
      </c>
      <c r="C1681" t="s">
        <v>689</v>
      </c>
      <c r="D1681" t="s">
        <v>457</v>
      </c>
      <c r="E1681" t="s">
        <v>629</v>
      </c>
      <c r="F1681" t="s">
        <v>672</v>
      </c>
      <c r="G1681" t="s">
        <v>686</v>
      </c>
      <c r="O1681">
        <v>60</v>
      </c>
      <c r="P1681">
        <v>72</v>
      </c>
      <c r="Q1681">
        <v>156</v>
      </c>
      <c r="R1681">
        <v>126</v>
      </c>
      <c r="S1681">
        <v>168</v>
      </c>
      <c r="T1681">
        <v>114</v>
      </c>
      <c r="U1681">
        <v>78</v>
      </c>
      <c r="V1681">
        <v>42</v>
      </c>
      <c r="W1681">
        <v>36</v>
      </c>
      <c r="CH1681" t="str">
        <f t="shared" si="26"/>
        <v>JV1-0695-3</v>
      </c>
      <c r="CI1681" s="1" t="s">
        <v>102</v>
      </c>
    </row>
    <row r="1682" spans="1:87">
      <c r="A1682" t="s">
        <v>2669</v>
      </c>
      <c r="B1682">
        <v>816</v>
      </c>
      <c r="C1682" t="s">
        <v>689</v>
      </c>
      <c r="D1682" t="s">
        <v>457</v>
      </c>
      <c r="E1682" t="s">
        <v>629</v>
      </c>
      <c r="F1682" t="s">
        <v>672</v>
      </c>
      <c r="G1682" t="s">
        <v>686</v>
      </c>
      <c r="O1682">
        <v>90</v>
      </c>
      <c r="P1682">
        <v>90</v>
      </c>
      <c r="Q1682">
        <v>90</v>
      </c>
      <c r="R1682">
        <v>90</v>
      </c>
      <c r="S1682">
        <v>96</v>
      </c>
      <c r="T1682">
        <v>90</v>
      </c>
      <c r="U1682">
        <v>90</v>
      </c>
      <c r="V1682">
        <v>90</v>
      </c>
      <c r="W1682">
        <v>90</v>
      </c>
      <c r="CH1682" t="str">
        <f t="shared" si="26"/>
        <v>JV1-0695-3</v>
      </c>
      <c r="CI1682" s="1" t="s">
        <v>102</v>
      </c>
    </row>
    <row r="1683" spans="1:87">
      <c r="A1683" t="s">
        <v>2670</v>
      </c>
      <c r="B1683">
        <v>245</v>
      </c>
      <c r="C1683" t="s">
        <v>689</v>
      </c>
      <c r="D1683" t="s">
        <v>457</v>
      </c>
      <c r="E1683" t="s">
        <v>629</v>
      </c>
      <c r="F1683" t="s">
        <v>672</v>
      </c>
      <c r="G1683" t="s">
        <v>686</v>
      </c>
      <c r="O1683">
        <v>40</v>
      </c>
      <c r="P1683">
        <v>40</v>
      </c>
      <c r="Q1683">
        <v>40</v>
      </c>
      <c r="R1683">
        <v>40</v>
      </c>
      <c r="S1683">
        <v>45</v>
      </c>
      <c r="T1683">
        <v>40</v>
      </c>
      <c r="CH1683" t="str">
        <f t="shared" si="26"/>
        <v>JV1-0695-3</v>
      </c>
      <c r="CI1683" s="1" t="s">
        <v>102</v>
      </c>
    </row>
    <row r="1684" spans="1:87">
      <c r="A1684" t="s">
        <v>2671</v>
      </c>
      <c r="B1684">
        <v>3294</v>
      </c>
      <c r="C1684" t="s">
        <v>712</v>
      </c>
      <c r="D1684" t="s">
        <v>457</v>
      </c>
      <c r="E1684" t="s">
        <v>629</v>
      </c>
      <c r="F1684" t="s">
        <v>672</v>
      </c>
      <c r="G1684" t="s">
        <v>713</v>
      </c>
      <c r="V1684">
        <v>270</v>
      </c>
      <c r="W1684">
        <v>270</v>
      </c>
      <c r="X1684">
        <v>372</v>
      </c>
      <c r="Y1684">
        <v>426</v>
      </c>
      <c r="Z1684">
        <v>480</v>
      </c>
      <c r="AA1684">
        <v>432</v>
      </c>
      <c r="AB1684">
        <v>384</v>
      </c>
      <c r="AC1684">
        <v>234</v>
      </c>
      <c r="AD1684">
        <v>252</v>
      </c>
      <c r="AF1684">
        <v>174</v>
      </c>
      <c r="CH1684" t="str">
        <f t="shared" si="26"/>
        <v>JV1-0695-3</v>
      </c>
      <c r="CI1684" s="1" t="s">
        <v>102</v>
      </c>
    </row>
    <row r="1685" spans="1:87">
      <c r="A1685" t="s">
        <v>2672</v>
      </c>
      <c r="B1685">
        <v>768</v>
      </c>
      <c r="C1685" t="s">
        <v>712</v>
      </c>
      <c r="D1685" t="s">
        <v>457</v>
      </c>
      <c r="E1685" t="s">
        <v>629</v>
      </c>
      <c r="F1685" t="s">
        <v>672</v>
      </c>
      <c r="G1685" t="s">
        <v>713</v>
      </c>
      <c r="N1685">
        <v>30</v>
      </c>
      <c r="O1685">
        <v>84</v>
      </c>
      <c r="P1685">
        <v>90</v>
      </c>
      <c r="Q1685">
        <v>144</v>
      </c>
      <c r="R1685">
        <v>96</v>
      </c>
      <c r="S1685">
        <v>120</v>
      </c>
      <c r="T1685">
        <v>102</v>
      </c>
      <c r="U1685">
        <v>102</v>
      </c>
      <c r="CH1685" t="str">
        <f t="shared" si="26"/>
        <v>JV1-0695-3</v>
      </c>
      <c r="CI1685" s="1" t="s">
        <v>102</v>
      </c>
    </row>
    <row r="1686" spans="1:87">
      <c r="A1686" t="s">
        <v>2673</v>
      </c>
      <c r="B1686">
        <v>1104</v>
      </c>
      <c r="C1686" t="s">
        <v>712</v>
      </c>
      <c r="D1686" t="s">
        <v>457</v>
      </c>
      <c r="E1686" t="s">
        <v>629</v>
      </c>
      <c r="F1686" t="s">
        <v>672</v>
      </c>
      <c r="G1686" t="s">
        <v>713</v>
      </c>
      <c r="N1686">
        <v>18</v>
      </c>
      <c r="O1686">
        <v>114</v>
      </c>
      <c r="P1686">
        <v>120</v>
      </c>
      <c r="Q1686">
        <v>240</v>
      </c>
      <c r="R1686">
        <v>120</v>
      </c>
      <c r="S1686">
        <v>192</v>
      </c>
      <c r="T1686">
        <v>216</v>
      </c>
      <c r="U1686">
        <v>84</v>
      </c>
      <c r="CH1686" t="str">
        <f t="shared" si="26"/>
        <v>JV1-0695-3</v>
      </c>
      <c r="CI1686" s="1" t="s">
        <v>102</v>
      </c>
    </row>
    <row r="1687" spans="1:87">
      <c r="A1687" t="s">
        <v>2674</v>
      </c>
      <c r="B1687">
        <v>581</v>
      </c>
      <c r="C1687" t="s">
        <v>689</v>
      </c>
      <c r="D1687" t="s">
        <v>457</v>
      </c>
      <c r="E1687" t="s">
        <v>629</v>
      </c>
      <c r="F1687" t="s">
        <v>672</v>
      </c>
      <c r="G1687" t="s">
        <v>686</v>
      </c>
      <c r="O1687">
        <v>36</v>
      </c>
      <c r="P1687">
        <v>42</v>
      </c>
      <c r="Q1687">
        <v>90</v>
      </c>
      <c r="R1687">
        <v>84</v>
      </c>
      <c r="S1687">
        <v>125</v>
      </c>
      <c r="T1687">
        <v>114</v>
      </c>
      <c r="U1687">
        <v>42</v>
      </c>
      <c r="V1687">
        <v>30</v>
      </c>
      <c r="W1687">
        <v>18</v>
      </c>
      <c r="CH1687" t="str">
        <f t="shared" si="26"/>
        <v>JV1-0695-3</v>
      </c>
      <c r="CI1687" s="1" t="s">
        <v>102</v>
      </c>
    </row>
    <row r="1688" spans="1:87">
      <c r="A1688" t="s">
        <v>2675</v>
      </c>
      <c r="B1688">
        <v>509</v>
      </c>
      <c r="C1688" t="s">
        <v>2676</v>
      </c>
      <c r="D1688" t="s">
        <v>457</v>
      </c>
      <c r="E1688" t="s">
        <v>629</v>
      </c>
      <c r="F1688" t="s">
        <v>672</v>
      </c>
      <c r="G1688" t="s">
        <v>2677</v>
      </c>
      <c r="O1688">
        <v>42</v>
      </c>
      <c r="P1688">
        <v>42</v>
      </c>
      <c r="Q1688">
        <v>78</v>
      </c>
      <c r="R1688">
        <v>78</v>
      </c>
      <c r="S1688">
        <v>83</v>
      </c>
      <c r="T1688">
        <v>78</v>
      </c>
      <c r="U1688">
        <v>54</v>
      </c>
      <c r="V1688">
        <v>24</v>
      </c>
      <c r="W1688">
        <v>30</v>
      </c>
      <c r="CH1688" t="str">
        <f t="shared" si="26"/>
        <v>JV1-0695-3</v>
      </c>
      <c r="CI1688" s="1" t="s">
        <v>102</v>
      </c>
    </row>
    <row r="1689" spans="1:87">
      <c r="A1689" t="s">
        <v>2681</v>
      </c>
      <c r="B1689">
        <v>85331</v>
      </c>
      <c r="C1689" t="s">
        <v>2682</v>
      </c>
      <c r="D1689" t="s">
        <v>95</v>
      </c>
      <c r="E1689" t="s">
        <v>629</v>
      </c>
      <c r="F1689" t="s">
        <v>634</v>
      </c>
      <c r="G1689" t="s">
        <v>2683</v>
      </c>
      <c r="O1689">
        <v>1560</v>
      </c>
      <c r="P1689">
        <v>1680</v>
      </c>
      <c r="Q1689">
        <v>2926</v>
      </c>
      <c r="R1689">
        <v>3014</v>
      </c>
      <c r="S1689">
        <v>3584</v>
      </c>
      <c r="T1689">
        <v>3124</v>
      </c>
      <c r="U1689">
        <v>528</v>
      </c>
      <c r="V1689">
        <v>4199</v>
      </c>
      <c r="W1689">
        <v>5566</v>
      </c>
      <c r="X1689">
        <v>8538</v>
      </c>
      <c r="Y1689">
        <v>9506</v>
      </c>
      <c r="Z1689">
        <v>8791</v>
      </c>
      <c r="AA1689">
        <v>8356</v>
      </c>
      <c r="AB1689">
        <v>8403</v>
      </c>
      <c r="AC1689">
        <v>4494</v>
      </c>
      <c r="AD1689">
        <v>6394</v>
      </c>
      <c r="AF1689">
        <v>4287</v>
      </c>
      <c r="AH1689">
        <v>381</v>
      </c>
      <c r="CH1689" t="str">
        <f t="shared" si="26"/>
        <v>EOR-13</v>
      </c>
      <c r="CI1689" s="1" t="s">
        <v>102</v>
      </c>
    </row>
    <row r="1690" spans="1:87">
      <c r="A1690" t="s">
        <v>2687</v>
      </c>
      <c r="B1690">
        <v>853</v>
      </c>
      <c r="C1690" t="s">
        <v>2682</v>
      </c>
      <c r="D1690" t="s">
        <v>95</v>
      </c>
      <c r="E1690" t="s">
        <v>629</v>
      </c>
      <c r="F1690" t="s">
        <v>634</v>
      </c>
      <c r="G1690" t="s">
        <v>2683</v>
      </c>
      <c r="O1690">
        <v>15</v>
      </c>
      <c r="P1690">
        <v>16</v>
      </c>
      <c r="Q1690">
        <v>29</v>
      </c>
      <c r="R1690">
        <v>30</v>
      </c>
      <c r="S1690">
        <v>35</v>
      </c>
      <c r="T1690">
        <v>31</v>
      </c>
      <c r="U1690">
        <v>5</v>
      </c>
      <c r="V1690">
        <v>45</v>
      </c>
      <c r="W1690">
        <v>55</v>
      </c>
      <c r="X1690">
        <v>85</v>
      </c>
      <c r="Y1690">
        <v>95</v>
      </c>
      <c r="Z1690">
        <v>88</v>
      </c>
      <c r="AA1690">
        <v>83</v>
      </c>
      <c r="AB1690">
        <v>85</v>
      </c>
      <c r="AC1690">
        <v>44</v>
      </c>
      <c r="AD1690">
        <v>63</v>
      </c>
      <c r="AF1690">
        <v>45</v>
      </c>
      <c r="AH1690">
        <v>4</v>
      </c>
      <c r="CH1690" t="str">
        <f t="shared" si="26"/>
        <v>EOR-13</v>
      </c>
      <c r="CI1690" s="1" t="s">
        <v>102</v>
      </c>
    </row>
    <row r="1691" spans="1:87">
      <c r="A1691" t="s">
        <v>2689</v>
      </c>
      <c r="B1691">
        <v>1519</v>
      </c>
      <c r="C1691" t="s">
        <v>2690</v>
      </c>
      <c r="D1691" t="s">
        <v>223</v>
      </c>
      <c r="E1691" t="s">
        <v>642</v>
      </c>
      <c r="F1691" t="s">
        <v>693</v>
      </c>
      <c r="G1691" t="s">
        <v>2691</v>
      </c>
      <c r="P1691">
        <v>18</v>
      </c>
      <c r="R1691">
        <v>84</v>
      </c>
      <c r="S1691">
        <v>96</v>
      </c>
      <c r="T1691">
        <v>253</v>
      </c>
      <c r="U1691">
        <v>204</v>
      </c>
      <c r="V1691">
        <v>306</v>
      </c>
      <c r="W1691">
        <v>192</v>
      </c>
      <c r="X1691">
        <v>204</v>
      </c>
      <c r="Y1691">
        <v>42</v>
      </c>
      <c r="Z1691">
        <v>102</v>
      </c>
      <c r="AB1691">
        <v>18</v>
      </c>
      <c r="CH1691" t="str">
        <f t="shared" si="26"/>
        <v>D-0263</v>
      </c>
      <c r="CI1691" s="1" t="s">
        <v>102</v>
      </c>
    </row>
    <row r="1692" spans="1:87">
      <c r="A1692" t="s">
        <v>3736</v>
      </c>
      <c r="B1692">
        <v>7836</v>
      </c>
      <c r="C1692" t="s">
        <v>2692</v>
      </c>
      <c r="D1692" t="s">
        <v>222</v>
      </c>
      <c r="E1692" t="s">
        <v>629</v>
      </c>
      <c r="F1692" t="s">
        <v>644</v>
      </c>
      <c r="G1692" t="s">
        <v>2693</v>
      </c>
      <c r="R1692">
        <v>36</v>
      </c>
      <c r="S1692">
        <v>30</v>
      </c>
      <c r="T1692">
        <v>321</v>
      </c>
      <c r="U1692">
        <v>242</v>
      </c>
      <c r="V1692">
        <v>509</v>
      </c>
      <c r="W1692">
        <v>1020</v>
      </c>
      <c r="X1692">
        <v>948</v>
      </c>
      <c r="Y1692">
        <v>1074</v>
      </c>
      <c r="Z1692">
        <v>1064</v>
      </c>
      <c r="AA1692">
        <v>562</v>
      </c>
      <c r="AB1692">
        <v>853</v>
      </c>
      <c r="AC1692">
        <v>187</v>
      </c>
      <c r="AD1692">
        <v>630</v>
      </c>
      <c r="AE1692">
        <v>88</v>
      </c>
      <c r="AF1692">
        <v>259</v>
      </c>
      <c r="AH1692">
        <v>13</v>
      </c>
      <c r="CH1692" t="str">
        <f t="shared" si="26"/>
        <v>D-0262</v>
      </c>
      <c r="CI1692" s="1" t="s">
        <v>102</v>
      </c>
    </row>
    <row r="1693" spans="1:87">
      <c r="A1693" t="s">
        <v>2694</v>
      </c>
      <c r="B1693">
        <v>1163</v>
      </c>
      <c r="C1693" t="s">
        <v>2695</v>
      </c>
      <c r="D1693" t="s">
        <v>222</v>
      </c>
      <c r="E1693" t="s">
        <v>629</v>
      </c>
      <c r="F1693" t="s">
        <v>690</v>
      </c>
      <c r="G1693" t="s">
        <v>2696</v>
      </c>
      <c r="T1693">
        <v>30</v>
      </c>
      <c r="V1693">
        <v>176</v>
      </c>
      <c r="W1693">
        <v>352</v>
      </c>
      <c r="X1693">
        <v>218</v>
      </c>
      <c r="Z1693">
        <v>201</v>
      </c>
      <c r="AA1693">
        <v>3</v>
      </c>
      <c r="AB1693">
        <v>183</v>
      </c>
      <c r="CH1693" t="str">
        <f t="shared" si="26"/>
        <v>D-0262</v>
      </c>
      <c r="CI1693" s="1" t="s">
        <v>102</v>
      </c>
    </row>
    <row r="1694" spans="1:87">
      <c r="A1694" t="s">
        <v>3737</v>
      </c>
      <c r="B1694">
        <v>4934</v>
      </c>
      <c r="C1694" t="s">
        <v>2692</v>
      </c>
      <c r="D1694" t="s">
        <v>222</v>
      </c>
      <c r="E1694" t="s">
        <v>629</v>
      </c>
      <c r="F1694" t="s">
        <v>644</v>
      </c>
      <c r="G1694" t="s">
        <v>2693</v>
      </c>
      <c r="T1694">
        <v>416</v>
      </c>
      <c r="U1694">
        <v>125</v>
      </c>
      <c r="V1694">
        <v>606</v>
      </c>
      <c r="W1694">
        <v>596</v>
      </c>
      <c r="X1694">
        <v>502</v>
      </c>
      <c r="Y1694">
        <v>607</v>
      </c>
      <c r="Z1694">
        <v>559</v>
      </c>
      <c r="AA1694">
        <v>288</v>
      </c>
      <c r="AB1694">
        <v>462</v>
      </c>
      <c r="AC1694">
        <v>226</v>
      </c>
      <c r="AD1694">
        <v>357</v>
      </c>
      <c r="AE1694">
        <v>46</v>
      </c>
      <c r="AF1694">
        <v>144</v>
      </c>
      <c r="CH1694" t="str">
        <f t="shared" si="26"/>
        <v>D-0262</v>
      </c>
      <c r="CI1694" s="1" t="s">
        <v>102</v>
      </c>
    </row>
    <row r="1695" spans="1:87">
      <c r="A1695" t="s">
        <v>2703</v>
      </c>
      <c r="B1695">
        <v>420</v>
      </c>
      <c r="C1695" t="s">
        <v>2704</v>
      </c>
      <c r="D1695" t="s">
        <v>116</v>
      </c>
      <c r="E1695" t="s">
        <v>974</v>
      </c>
      <c r="F1695" t="s">
        <v>632</v>
      </c>
      <c r="G1695" t="s">
        <v>2705</v>
      </c>
      <c r="M1695">
        <v>6</v>
      </c>
      <c r="N1695">
        <v>100</v>
      </c>
      <c r="O1695">
        <v>4</v>
      </c>
      <c r="P1695">
        <v>153</v>
      </c>
      <c r="R1695">
        <v>143</v>
      </c>
      <c r="T1695">
        <v>14</v>
      </c>
      <c r="CH1695" t="str">
        <f t="shared" si="26"/>
        <v>D-0005</v>
      </c>
      <c r="CI1695" s="1" t="s">
        <v>102</v>
      </c>
    </row>
    <row r="1696" spans="1:87">
      <c r="A1696" t="s">
        <v>2706</v>
      </c>
      <c r="B1696">
        <v>5100</v>
      </c>
      <c r="C1696" t="s">
        <v>2707</v>
      </c>
      <c r="D1696" t="s">
        <v>118</v>
      </c>
      <c r="E1696" t="s">
        <v>696</v>
      </c>
      <c r="F1696" t="s">
        <v>630</v>
      </c>
      <c r="G1696" t="s">
        <v>2705</v>
      </c>
      <c r="H1696">
        <v>718</v>
      </c>
      <c r="I1696">
        <v>274</v>
      </c>
      <c r="J1696">
        <v>793</v>
      </c>
      <c r="K1696">
        <v>289</v>
      </c>
      <c r="L1696">
        <v>774</v>
      </c>
      <c r="AA1696">
        <v>122</v>
      </c>
      <c r="AB1696">
        <v>488</v>
      </c>
      <c r="AC1696">
        <v>87</v>
      </c>
      <c r="AD1696">
        <v>581</v>
      </c>
      <c r="AE1696">
        <v>129</v>
      </c>
      <c r="AF1696">
        <v>690</v>
      </c>
      <c r="AG1696">
        <v>155</v>
      </c>
      <c r="CH1696" t="str">
        <f t="shared" si="26"/>
        <v>D-0006</v>
      </c>
      <c r="CI1696" s="1" t="s">
        <v>102</v>
      </c>
    </row>
    <row r="1697" spans="1:87">
      <c r="A1697" t="s">
        <v>2708</v>
      </c>
      <c r="B1697">
        <v>3226</v>
      </c>
      <c r="C1697" t="s">
        <v>2709</v>
      </c>
      <c r="D1697" t="s">
        <v>397</v>
      </c>
      <c r="E1697" t="s">
        <v>696</v>
      </c>
      <c r="F1697" t="s">
        <v>716</v>
      </c>
      <c r="G1697" t="s">
        <v>2710</v>
      </c>
      <c r="H1697">
        <v>483</v>
      </c>
      <c r="I1697">
        <v>294</v>
      </c>
      <c r="J1697">
        <v>294</v>
      </c>
      <c r="K1697">
        <v>252</v>
      </c>
      <c r="L1697">
        <v>316</v>
      </c>
      <c r="AB1697">
        <v>328</v>
      </c>
      <c r="AD1697">
        <v>325</v>
      </c>
      <c r="AE1697">
        <v>222</v>
      </c>
      <c r="AF1697">
        <v>418</v>
      </c>
      <c r="AG1697">
        <v>294</v>
      </c>
      <c r="CH1697" t="str">
        <f t="shared" si="26"/>
        <v>D-0578</v>
      </c>
      <c r="CI1697" s="1" t="s">
        <v>102</v>
      </c>
    </row>
    <row r="1698" spans="1:87">
      <c r="A1698" t="s">
        <v>2713</v>
      </c>
      <c r="B1698">
        <v>7302</v>
      </c>
      <c r="C1698" t="s">
        <v>2714</v>
      </c>
      <c r="D1698" t="s">
        <v>119</v>
      </c>
      <c r="E1698" t="s">
        <v>659</v>
      </c>
      <c r="F1698" t="s">
        <v>660</v>
      </c>
      <c r="G1698" t="s">
        <v>2705</v>
      </c>
      <c r="J1698">
        <v>142</v>
      </c>
      <c r="L1698">
        <v>185</v>
      </c>
      <c r="N1698">
        <v>395</v>
      </c>
      <c r="P1698">
        <v>602</v>
      </c>
      <c r="R1698">
        <v>854</v>
      </c>
      <c r="T1698">
        <v>1050</v>
      </c>
      <c r="V1698">
        <v>1284</v>
      </c>
      <c r="X1698">
        <v>1398</v>
      </c>
      <c r="Z1698">
        <v>1392</v>
      </c>
      <c r="CH1698" t="str">
        <f t="shared" si="26"/>
        <v>D-0007</v>
      </c>
      <c r="CI1698" s="1" t="s">
        <v>102</v>
      </c>
    </row>
    <row r="1699" spans="1:87">
      <c r="A1699" t="s">
        <v>2715</v>
      </c>
      <c r="B1699">
        <v>1454</v>
      </c>
      <c r="C1699" t="s">
        <v>2714</v>
      </c>
      <c r="D1699" t="s">
        <v>119</v>
      </c>
      <c r="E1699" t="s">
        <v>659</v>
      </c>
      <c r="F1699" t="s">
        <v>660</v>
      </c>
      <c r="G1699" t="s">
        <v>2705</v>
      </c>
      <c r="J1699">
        <v>28</v>
      </c>
      <c r="L1699">
        <v>37</v>
      </c>
      <c r="N1699">
        <v>78</v>
      </c>
      <c r="P1699">
        <v>125</v>
      </c>
      <c r="R1699">
        <v>170</v>
      </c>
      <c r="T1699">
        <v>208</v>
      </c>
      <c r="V1699">
        <v>255</v>
      </c>
      <c r="X1699">
        <v>277</v>
      </c>
      <c r="Z1699">
        <v>276</v>
      </c>
      <c r="CH1699" t="str">
        <f t="shared" si="26"/>
        <v>D-0007</v>
      </c>
      <c r="CI1699" s="1" t="s">
        <v>102</v>
      </c>
    </row>
    <row r="1700" spans="1:87">
      <c r="A1700" t="s">
        <v>2716</v>
      </c>
      <c r="B1700">
        <v>4251</v>
      </c>
      <c r="C1700" t="s">
        <v>1143</v>
      </c>
      <c r="D1700" t="s">
        <v>118</v>
      </c>
      <c r="E1700" t="s">
        <v>696</v>
      </c>
      <c r="F1700" t="s">
        <v>630</v>
      </c>
      <c r="G1700" t="s">
        <v>2717</v>
      </c>
      <c r="H1700">
        <v>579</v>
      </c>
      <c r="I1700">
        <v>275</v>
      </c>
      <c r="J1700">
        <v>571</v>
      </c>
      <c r="K1700">
        <v>296</v>
      </c>
      <c r="L1700">
        <v>636</v>
      </c>
      <c r="AA1700">
        <v>92</v>
      </c>
      <c r="AB1700">
        <v>449</v>
      </c>
      <c r="AC1700">
        <v>61</v>
      </c>
      <c r="AD1700">
        <v>455</v>
      </c>
      <c r="AE1700">
        <v>119</v>
      </c>
      <c r="AF1700">
        <v>549</v>
      </c>
      <c r="AG1700">
        <v>169</v>
      </c>
      <c r="CH1700" t="str">
        <f t="shared" si="26"/>
        <v>D-0006</v>
      </c>
      <c r="CI1700" s="1" t="s">
        <v>102</v>
      </c>
    </row>
    <row r="1701" spans="1:87">
      <c r="A1701" t="s">
        <v>2718</v>
      </c>
      <c r="B1701">
        <v>6240</v>
      </c>
      <c r="C1701" t="s">
        <v>2704</v>
      </c>
      <c r="D1701" t="s">
        <v>116</v>
      </c>
      <c r="E1701" t="s">
        <v>974</v>
      </c>
      <c r="F1701" t="s">
        <v>632</v>
      </c>
      <c r="G1701" t="s">
        <v>2705</v>
      </c>
      <c r="M1701">
        <v>328</v>
      </c>
      <c r="N1701">
        <v>769</v>
      </c>
      <c r="O1701">
        <v>550</v>
      </c>
      <c r="P1701">
        <v>955</v>
      </c>
      <c r="Q1701">
        <v>612</v>
      </c>
      <c r="R1701">
        <v>1081</v>
      </c>
      <c r="S1701">
        <v>731</v>
      </c>
      <c r="T1701">
        <v>1214</v>
      </c>
      <c r="CH1701" t="str">
        <f t="shared" si="26"/>
        <v>D-0005</v>
      </c>
      <c r="CI1701" s="1" t="s">
        <v>102</v>
      </c>
    </row>
    <row r="1702" spans="1:87">
      <c r="A1702" t="s">
        <v>2723</v>
      </c>
      <c r="B1702">
        <v>2509</v>
      </c>
      <c r="C1702" t="s">
        <v>2690</v>
      </c>
      <c r="D1702" t="s">
        <v>223</v>
      </c>
      <c r="E1702" t="s">
        <v>642</v>
      </c>
      <c r="F1702" t="s">
        <v>693</v>
      </c>
      <c r="G1702" t="s">
        <v>2691</v>
      </c>
      <c r="P1702">
        <v>24</v>
      </c>
      <c r="Q1702">
        <v>24</v>
      </c>
      <c r="R1702">
        <v>186</v>
      </c>
      <c r="S1702">
        <v>216</v>
      </c>
      <c r="T1702">
        <v>349</v>
      </c>
      <c r="U1702">
        <v>360</v>
      </c>
      <c r="V1702">
        <v>378</v>
      </c>
      <c r="W1702">
        <v>330</v>
      </c>
      <c r="X1702">
        <v>294</v>
      </c>
      <c r="Y1702">
        <v>102</v>
      </c>
      <c r="Z1702">
        <v>222</v>
      </c>
      <c r="AB1702">
        <v>12</v>
      </c>
      <c r="AD1702">
        <v>12</v>
      </c>
      <c r="CH1702" t="str">
        <f t="shared" si="26"/>
        <v>D-0263</v>
      </c>
      <c r="CI1702" s="1" t="s">
        <v>102</v>
      </c>
    </row>
    <row r="1703" spans="1:87">
      <c r="A1703" t="s">
        <v>2724</v>
      </c>
      <c r="B1703">
        <v>2862</v>
      </c>
      <c r="C1703" t="s">
        <v>2701</v>
      </c>
      <c r="D1703" t="s">
        <v>223</v>
      </c>
      <c r="E1703" t="s">
        <v>642</v>
      </c>
      <c r="F1703" t="s">
        <v>693</v>
      </c>
      <c r="G1703" t="s">
        <v>2702</v>
      </c>
      <c r="P1703">
        <v>6</v>
      </c>
      <c r="Q1703">
        <v>20</v>
      </c>
      <c r="R1703">
        <v>174</v>
      </c>
      <c r="S1703">
        <v>241</v>
      </c>
      <c r="T1703">
        <v>335</v>
      </c>
      <c r="U1703">
        <v>400</v>
      </c>
      <c r="V1703">
        <v>424</v>
      </c>
      <c r="W1703">
        <v>407</v>
      </c>
      <c r="X1703">
        <v>346</v>
      </c>
      <c r="Y1703">
        <v>202</v>
      </c>
      <c r="Z1703">
        <v>216</v>
      </c>
      <c r="AA1703">
        <v>9</v>
      </c>
      <c r="AB1703">
        <v>74</v>
      </c>
      <c r="AC1703">
        <v>3</v>
      </c>
      <c r="AD1703">
        <v>5</v>
      </c>
      <c r="CH1703" t="str">
        <f t="shared" si="26"/>
        <v>D-0263</v>
      </c>
      <c r="CI1703" s="1" t="s">
        <v>102</v>
      </c>
    </row>
    <row r="1704" spans="1:87">
      <c r="A1704" t="s">
        <v>2729</v>
      </c>
      <c r="B1704">
        <v>8065</v>
      </c>
      <c r="C1704" t="s">
        <v>2714</v>
      </c>
      <c r="D1704" t="s">
        <v>119</v>
      </c>
      <c r="E1704" t="s">
        <v>659</v>
      </c>
      <c r="F1704" t="s">
        <v>660</v>
      </c>
      <c r="G1704" t="s">
        <v>2705</v>
      </c>
      <c r="J1704">
        <v>156</v>
      </c>
      <c r="L1704">
        <v>204</v>
      </c>
      <c r="N1704">
        <v>436</v>
      </c>
      <c r="P1704">
        <v>665</v>
      </c>
      <c r="R1704">
        <v>944</v>
      </c>
      <c r="T1704">
        <v>1160</v>
      </c>
      <c r="V1704">
        <v>1418</v>
      </c>
      <c r="X1704">
        <v>1545</v>
      </c>
      <c r="Z1704">
        <v>1537</v>
      </c>
      <c r="CH1704" t="str">
        <f t="shared" si="26"/>
        <v>D-0007</v>
      </c>
      <c r="CI1704" s="1" t="s">
        <v>102</v>
      </c>
    </row>
    <row r="1705" spans="1:87">
      <c r="A1705" t="s">
        <v>2730</v>
      </c>
      <c r="B1705">
        <v>4149</v>
      </c>
      <c r="C1705" t="s">
        <v>2731</v>
      </c>
      <c r="D1705" t="s">
        <v>397</v>
      </c>
      <c r="E1705" t="s">
        <v>696</v>
      </c>
      <c r="F1705" t="s">
        <v>716</v>
      </c>
      <c r="G1705" t="s">
        <v>2732</v>
      </c>
      <c r="H1705">
        <v>349</v>
      </c>
      <c r="I1705">
        <v>364</v>
      </c>
      <c r="J1705">
        <v>348</v>
      </c>
      <c r="K1705">
        <v>387</v>
      </c>
      <c r="L1705">
        <v>682</v>
      </c>
      <c r="AA1705">
        <v>17</v>
      </c>
      <c r="AB1705">
        <v>326</v>
      </c>
      <c r="AC1705">
        <v>330</v>
      </c>
      <c r="AD1705">
        <v>336</v>
      </c>
      <c r="AE1705">
        <v>337</v>
      </c>
      <c r="AF1705">
        <v>333</v>
      </c>
      <c r="AG1705">
        <v>340</v>
      </c>
      <c r="CH1705" t="str">
        <f t="shared" si="26"/>
        <v>D-0578</v>
      </c>
      <c r="CI1705" s="1" t="s">
        <v>102</v>
      </c>
    </row>
    <row r="1706" spans="1:87">
      <c r="A1706" t="s">
        <v>2733</v>
      </c>
      <c r="B1706">
        <v>3697</v>
      </c>
      <c r="C1706" t="s">
        <v>2721</v>
      </c>
      <c r="D1706" t="s">
        <v>237</v>
      </c>
      <c r="E1706" t="s">
        <v>642</v>
      </c>
      <c r="F1706" t="s">
        <v>645</v>
      </c>
      <c r="G1706" t="s">
        <v>2722</v>
      </c>
      <c r="P1706">
        <v>48</v>
      </c>
      <c r="Q1706">
        <v>132</v>
      </c>
      <c r="R1706">
        <v>306</v>
      </c>
      <c r="S1706">
        <v>546</v>
      </c>
      <c r="T1706">
        <v>517</v>
      </c>
      <c r="U1706">
        <v>690</v>
      </c>
      <c r="V1706">
        <v>396</v>
      </c>
      <c r="W1706">
        <v>504</v>
      </c>
      <c r="X1706">
        <v>204</v>
      </c>
      <c r="Y1706">
        <v>228</v>
      </c>
      <c r="Z1706">
        <v>78</v>
      </c>
      <c r="AA1706">
        <v>24</v>
      </c>
      <c r="AB1706">
        <v>24</v>
      </c>
      <c r="CH1706" t="str">
        <f t="shared" si="26"/>
        <v>D-0267</v>
      </c>
      <c r="CI1706" s="1" t="s">
        <v>102</v>
      </c>
    </row>
    <row r="1707" spans="1:87">
      <c r="A1707" t="s">
        <v>2734</v>
      </c>
      <c r="B1707">
        <v>1003</v>
      </c>
      <c r="C1707" t="s">
        <v>2721</v>
      </c>
      <c r="D1707" t="s">
        <v>237</v>
      </c>
      <c r="E1707" t="s">
        <v>642</v>
      </c>
      <c r="F1707" t="s">
        <v>645</v>
      </c>
      <c r="G1707" t="s">
        <v>2722</v>
      </c>
      <c r="P1707">
        <v>24</v>
      </c>
      <c r="Q1707">
        <v>24</v>
      </c>
      <c r="R1707">
        <v>102</v>
      </c>
      <c r="S1707">
        <v>114</v>
      </c>
      <c r="T1707">
        <v>181</v>
      </c>
      <c r="U1707">
        <v>162</v>
      </c>
      <c r="V1707">
        <v>150</v>
      </c>
      <c r="W1707">
        <v>102</v>
      </c>
      <c r="X1707">
        <v>72</v>
      </c>
      <c r="Y1707">
        <v>36</v>
      </c>
      <c r="Z1707">
        <v>36</v>
      </c>
      <c r="CH1707" t="str">
        <f t="shared" si="26"/>
        <v>D-0267</v>
      </c>
      <c r="CI1707" s="1" t="s">
        <v>102</v>
      </c>
    </row>
    <row r="1708" spans="1:87">
      <c r="A1708" t="s">
        <v>2735</v>
      </c>
      <c r="B1708">
        <v>17767</v>
      </c>
      <c r="C1708" t="s">
        <v>940</v>
      </c>
      <c r="D1708" t="s">
        <v>249</v>
      </c>
      <c r="E1708" t="s">
        <v>642</v>
      </c>
      <c r="F1708" t="s">
        <v>657</v>
      </c>
      <c r="G1708" t="s">
        <v>941</v>
      </c>
      <c r="Q1708">
        <v>395</v>
      </c>
      <c r="R1708">
        <v>735</v>
      </c>
      <c r="S1708">
        <v>1203</v>
      </c>
      <c r="T1708">
        <v>1419</v>
      </c>
      <c r="U1708">
        <v>1472</v>
      </c>
      <c r="V1708">
        <v>1758</v>
      </c>
      <c r="W1708">
        <v>1704</v>
      </c>
      <c r="X1708">
        <v>828</v>
      </c>
      <c r="Y1708">
        <v>1273</v>
      </c>
      <c r="Z1708">
        <v>1346</v>
      </c>
      <c r="AA1708">
        <v>934</v>
      </c>
      <c r="AB1708">
        <v>1219</v>
      </c>
      <c r="AC1708">
        <v>843</v>
      </c>
      <c r="AD1708">
        <v>611</v>
      </c>
      <c r="AE1708">
        <v>627</v>
      </c>
      <c r="AF1708">
        <v>431</v>
      </c>
      <c r="AG1708">
        <v>358</v>
      </c>
      <c r="AH1708">
        <v>288</v>
      </c>
      <c r="AI1708">
        <v>180</v>
      </c>
      <c r="AK1708">
        <v>143</v>
      </c>
      <c r="CH1708" t="str">
        <f t="shared" si="26"/>
        <v>D-0271</v>
      </c>
      <c r="CI1708" s="1" t="s">
        <v>102</v>
      </c>
    </row>
    <row r="1709" spans="1:87">
      <c r="A1709" t="s">
        <v>2739</v>
      </c>
      <c r="B1709">
        <v>24</v>
      </c>
      <c r="C1709" t="s">
        <v>2740</v>
      </c>
      <c r="D1709" t="s">
        <v>233</v>
      </c>
      <c r="E1709" t="s">
        <v>642</v>
      </c>
      <c r="F1709" t="s">
        <v>872</v>
      </c>
      <c r="G1709" t="s">
        <v>2741</v>
      </c>
      <c r="AD1709">
        <v>24</v>
      </c>
      <c r="CH1709" t="str">
        <f t="shared" si="26"/>
        <v>D-0265</v>
      </c>
      <c r="CI1709" s="1" t="s">
        <v>102</v>
      </c>
    </row>
    <row r="1710" spans="1:87">
      <c r="A1710" t="s">
        <v>2742</v>
      </c>
      <c r="B1710">
        <v>24</v>
      </c>
      <c r="C1710" t="s">
        <v>2740</v>
      </c>
      <c r="D1710" t="s">
        <v>233</v>
      </c>
      <c r="E1710" t="s">
        <v>642</v>
      </c>
      <c r="F1710" t="s">
        <v>872</v>
      </c>
      <c r="G1710" t="s">
        <v>2741</v>
      </c>
      <c r="AC1710">
        <v>24</v>
      </c>
      <c r="CH1710" t="str">
        <f t="shared" si="26"/>
        <v>D-0265</v>
      </c>
      <c r="CI1710" s="1" t="s">
        <v>102</v>
      </c>
    </row>
    <row r="1711" spans="1:87">
      <c r="A1711" t="s">
        <v>2743</v>
      </c>
      <c r="B1711">
        <v>36</v>
      </c>
      <c r="C1711" t="s">
        <v>2740</v>
      </c>
      <c r="D1711" t="s">
        <v>233</v>
      </c>
      <c r="E1711" t="s">
        <v>642</v>
      </c>
      <c r="F1711" t="s">
        <v>872</v>
      </c>
      <c r="G1711" t="s">
        <v>2741</v>
      </c>
      <c r="AB1711">
        <v>36</v>
      </c>
      <c r="CH1711" t="str">
        <f t="shared" si="26"/>
        <v>D-0265</v>
      </c>
      <c r="CI1711" s="1" t="s">
        <v>102</v>
      </c>
    </row>
    <row r="1712" spans="1:87">
      <c r="A1712" t="s">
        <v>2744</v>
      </c>
      <c r="B1712">
        <v>36</v>
      </c>
      <c r="C1712" t="s">
        <v>2740</v>
      </c>
      <c r="D1712" t="s">
        <v>233</v>
      </c>
      <c r="E1712" t="s">
        <v>642</v>
      </c>
      <c r="F1712" t="s">
        <v>872</v>
      </c>
      <c r="G1712" t="s">
        <v>2741</v>
      </c>
      <c r="AA1712">
        <v>36</v>
      </c>
      <c r="CH1712" t="str">
        <f t="shared" si="26"/>
        <v>D-0265</v>
      </c>
      <c r="CI1712" s="1" t="s">
        <v>102</v>
      </c>
    </row>
    <row r="1713" spans="1:87">
      <c r="A1713" t="s">
        <v>2745</v>
      </c>
      <c r="B1713">
        <v>48</v>
      </c>
      <c r="C1713" t="s">
        <v>2740</v>
      </c>
      <c r="D1713" t="s">
        <v>233</v>
      </c>
      <c r="E1713" t="s">
        <v>642</v>
      </c>
      <c r="F1713" t="s">
        <v>872</v>
      </c>
      <c r="G1713" t="s">
        <v>2741</v>
      </c>
      <c r="Z1713">
        <v>48</v>
      </c>
      <c r="CH1713" t="str">
        <f t="shared" si="26"/>
        <v>D-0265</v>
      </c>
      <c r="CI1713" s="1" t="s">
        <v>102</v>
      </c>
    </row>
    <row r="1714" spans="1:87">
      <c r="A1714" t="s">
        <v>2746</v>
      </c>
      <c r="B1714">
        <v>96</v>
      </c>
      <c r="C1714" t="s">
        <v>2740</v>
      </c>
      <c r="D1714" t="s">
        <v>233</v>
      </c>
      <c r="E1714" t="s">
        <v>642</v>
      </c>
      <c r="F1714" t="s">
        <v>872</v>
      </c>
      <c r="G1714" t="s">
        <v>2741</v>
      </c>
      <c r="Y1714">
        <v>96</v>
      </c>
      <c r="CH1714" t="str">
        <f t="shared" si="26"/>
        <v>D-0265</v>
      </c>
      <c r="CI1714" s="1" t="s">
        <v>102</v>
      </c>
    </row>
    <row r="1715" spans="1:87">
      <c r="A1715" t="s">
        <v>2747</v>
      </c>
      <c r="B1715">
        <v>60</v>
      </c>
      <c r="C1715" t="s">
        <v>2740</v>
      </c>
      <c r="D1715" t="s">
        <v>233</v>
      </c>
      <c r="E1715" t="s">
        <v>642</v>
      </c>
      <c r="F1715" t="s">
        <v>872</v>
      </c>
      <c r="G1715" t="s">
        <v>2741</v>
      </c>
      <c r="X1715">
        <v>60</v>
      </c>
      <c r="CH1715" t="str">
        <f t="shared" si="26"/>
        <v>D-0265</v>
      </c>
      <c r="CI1715" s="1" t="s">
        <v>102</v>
      </c>
    </row>
    <row r="1716" spans="1:87">
      <c r="A1716" t="s">
        <v>2748</v>
      </c>
      <c r="B1716">
        <v>121</v>
      </c>
      <c r="C1716" t="s">
        <v>2740</v>
      </c>
      <c r="D1716" t="s">
        <v>233</v>
      </c>
      <c r="E1716" t="s">
        <v>642</v>
      </c>
      <c r="F1716" t="s">
        <v>872</v>
      </c>
      <c r="G1716" t="s">
        <v>2741</v>
      </c>
      <c r="W1716">
        <v>121</v>
      </c>
      <c r="CH1716" t="str">
        <f t="shared" si="26"/>
        <v>D-0265</v>
      </c>
      <c r="CI1716" s="1" t="s">
        <v>102</v>
      </c>
    </row>
    <row r="1717" spans="1:87">
      <c r="A1717" t="s">
        <v>2749</v>
      </c>
      <c r="B1717">
        <v>169</v>
      </c>
      <c r="C1717" t="s">
        <v>2740</v>
      </c>
      <c r="D1717" t="s">
        <v>233</v>
      </c>
      <c r="E1717" t="s">
        <v>642</v>
      </c>
      <c r="F1717" t="s">
        <v>872</v>
      </c>
      <c r="G1717" t="s">
        <v>2741</v>
      </c>
      <c r="V1717">
        <v>169</v>
      </c>
      <c r="CH1717" t="str">
        <f t="shared" si="26"/>
        <v>D-0265</v>
      </c>
      <c r="CI1717" s="1" t="s">
        <v>102</v>
      </c>
    </row>
    <row r="1718" spans="1:87">
      <c r="A1718" t="s">
        <v>2750</v>
      </c>
      <c r="B1718">
        <v>96</v>
      </c>
      <c r="C1718" t="s">
        <v>2740</v>
      </c>
      <c r="D1718" t="s">
        <v>233</v>
      </c>
      <c r="E1718" t="s">
        <v>642</v>
      </c>
      <c r="F1718" t="s">
        <v>872</v>
      </c>
      <c r="G1718" t="s">
        <v>2741</v>
      </c>
      <c r="U1718">
        <v>96</v>
      </c>
      <c r="CH1718" t="str">
        <f t="shared" si="26"/>
        <v>D-0265</v>
      </c>
      <c r="CI1718" s="1" t="s">
        <v>102</v>
      </c>
    </row>
    <row r="1719" spans="1:87">
      <c r="A1719" t="s">
        <v>2751</v>
      </c>
      <c r="B1719">
        <v>121</v>
      </c>
      <c r="C1719" t="s">
        <v>2740</v>
      </c>
      <c r="D1719" t="s">
        <v>233</v>
      </c>
      <c r="E1719" t="s">
        <v>642</v>
      </c>
      <c r="F1719" t="s">
        <v>872</v>
      </c>
      <c r="G1719" t="s">
        <v>2741</v>
      </c>
      <c r="T1719">
        <v>121</v>
      </c>
      <c r="CH1719" t="str">
        <f t="shared" si="26"/>
        <v>D-0265</v>
      </c>
      <c r="CI1719" s="1" t="s">
        <v>102</v>
      </c>
    </row>
    <row r="1720" spans="1:87">
      <c r="A1720" t="s">
        <v>2752</v>
      </c>
      <c r="B1720">
        <v>96</v>
      </c>
      <c r="C1720" t="s">
        <v>2740</v>
      </c>
      <c r="D1720" t="s">
        <v>233</v>
      </c>
      <c r="E1720" t="s">
        <v>642</v>
      </c>
      <c r="F1720" t="s">
        <v>872</v>
      </c>
      <c r="G1720" t="s">
        <v>2741</v>
      </c>
      <c r="S1720">
        <v>96</v>
      </c>
      <c r="CH1720" t="str">
        <f t="shared" si="26"/>
        <v>D-0265</v>
      </c>
      <c r="CI1720" s="1" t="s">
        <v>102</v>
      </c>
    </row>
    <row r="1721" spans="1:87">
      <c r="A1721" t="s">
        <v>2753</v>
      </c>
      <c r="B1721">
        <v>48</v>
      </c>
      <c r="C1721" t="s">
        <v>2740</v>
      </c>
      <c r="D1721" t="s">
        <v>233</v>
      </c>
      <c r="E1721" t="s">
        <v>642</v>
      </c>
      <c r="F1721" t="s">
        <v>872</v>
      </c>
      <c r="G1721" t="s">
        <v>2741</v>
      </c>
      <c r="R1721">
        <v>48</v>
      </c>
      <c r="CH1721" t="str">
        <f t="shared" si="26"/>
        <v>D-0265</v>
      </c>
      <c r="CI1721" s="1" t="s">
        <v>102</v>
      </c>
    </row>
    <row r="1722" spans="1:87">
      <c r="A1722" t="s">
        <v>2754</v>
      </c>
      <c r="B1722">
        <v>36</v>
      </c>
      <c r="C1722" t="s">
        <v>2740</v>
      </c>
      <c r="D1722" t="s">
        <v>233</v>
      </c>
      <c r="E1722" t="s">
        <v>642</v>
      </c>
      <c r="F1722" t="s">
        <v>872</v>
      </c>
      <c r="G1722" t="s">
        <v>2741</v>
      </c>
      <c r="Q1722">
        <v>36</v>
      </c>
      <c r="CH1722" t="str">
        <f t="shared" si="26"/>
        <v>D-0265</v>
      </c>
      <c r="CI1722" s="1" t="s">
        <v>102</v>
      </c>
    </row>
    <row r="1723" spans="1:87">
      <c r="A1723" t="s">
        <v>2755</v>
      </c>
      <c r="B1723">
        <v>12</v>
      </c>
      <c r="C1723" t="s">
        <v>2740</v>
      </c>
      <c r="D1723" t="s">
        <v>233</v>
      </c>
      <c r="E1723" t="s">
        <v>642</v>
      </c>
      <c r="F1723" t="s">
        <v>872</v>
      </c>
      <c r="G1723" t="s">
        <v>2741</v>
      </c>
      <c r="P1723">
        <v>12</v>
      </c>
      <c r="CH1723" t="str">
        <f t="shared" si="26"/>
        <v>D-0265</v>
      </c>
      <c r="CI1723" s="1" t="s">
        <v>102</v>
      </c>
    </row>
    <row r="1724" spans="1:87">
      <c r="A1724" t="s">
        <v>2756</v>
      </c>
      <c r="B1724">
        <v>12</v>
      </c>
      <c r="C1724" t="s">
        <v>2740</v>
      </c>
      <c r="D1724" t="s">
        <v>233</v>
      </c>
      <c r="E1724" t="s">
        <v>642</v>
      </c>
      <c r="F1724" t="s">
        <v>872</v>
      </c>
      <c r="G1724" t="s">
        <v>2741</v>
      </c>
      <c r="AD1724">
        <v>12</v>
      </c>
      <c r="CH1724" t="str">
        <f t="shared" si="26"/>
        <v>D-0265</v>
      </c>
      <c r="CI1724" s="1" t="s">
        <v>102</v>
      </c>
    </row>
    <row r="1725" spans="1:87">
      <c r="A1725" t="s">
        <v>2757</v>
      </c>
      <c r="B1725">
        <v>34</v>
      </c>
      <c r="C1725" t="s">
        <v>2740</v>
      </c>
      <c r="D1725" t="s">
        <v>233</v>
      </c>
      <c r="E1725" t="s">
        <v>642</v>
      </c>
      <c r="F1725" t="s">
        <v>872</v>
      </c>
      <c r="G1725" t="s">
        <v>2741</v>
      </c>
      <c r="AC1725">
        <v>34</v>
      </c>
      <c r="CH1725" t="str">
        <f t="shared" si="26"/>
        <v>D-0265</v>
      </c>
      <c r="CI1725" s="1" t="s">
        <v>102</v>
      </c>
    </row>
    <row r="1726" spans="1:87">
      <c r="A1726" t="s">
        <v>2758</v>
      </c>
      <c r="B1726">
        <v>46</v>
      </c>
      <c r="C1726" t="s">
        <v>2740</v>
      </c>
      <c r="D1726" t="s">
        <v>233</v>
      </c>
      <c r="E1726" t="s">
        <v>642</v>
      </c>
      <c r="F1726" t="s">
        <v>872</v>
      </c>
      <c r="G1726" t="s">
        <v>2741</v>
      </c>
      <c r="AB1726">
        <v>46</v>
      </c>
      <c r="CH1726" t="str">
        <f t="shared" si="26"/>
        <v>D-0265</v>
      </c>
      <c r="CI1726" s="1" t="s">
        <v>102</v>
      </c>
    </row>
    <row r="1727" spans="1:87">
      <c r="A1727" t="s">
        <v>2759</v>
      </c>
      <c r="B1727">
        <v>76</v>
      </c>
      <c r="C1727" t="s">
        <v>2740</v>
      </c>
      <c r="D1727" t="s">
        <v>233</v>
      </c>
      <c r="E1727" t="s">
        <v>642</v>
      </c>
      <c r="F1727" t="s">
        <v>872</v>
      </c>
      <c r="G1727" t="s">
        <v>2741</v>
      </c>
      <c r="AA1727">
        <v>76</v>
      </c>
      <c r="CH1727" t="str">
        <f t="shared" si="26"/>
        <v>D-0265</v>
      </c>
      <c r="CI1727" s="1" t="s">
        <v>102</v>
      </c>
    </row>
    <row r="1728" spans="1:87">
      <c r="A1728" t="s">
        <v>2760</v>
      </c>
      <c r="B1728">
        <v>129</v>
      </c>
      <c r="C1728" t="s">
        <v>2740</v>
      </c>
      <c r="D1728" t="s">
        <v>233</v>
      </c>
      <c r="E1728" t="s">
        <v>642</v>
      </c>
      <c r="F1728" t="s">
        <v>872</v>
      </c>
      <c r="G1728" t="s">
        <v>2741</v>
      </c>
      <c r="Z1728">
        <v>129</v>
      </c>
      <c r="CH1728" t="str">
        <f t="shared" si="26"/>
        <v>D-0265</v>
      </c>
      <c r="CI1728" s="1" t="s">
        <v>102</v>
      </c>
    </row>
    <row r="1729" spans="1:87">
      <c r="A1729" t="s">
        <v>2761</v>
      </c>
      <c r="B1729">
        <v>511</v>
      </c>
      <c r="C1729" t="s">
        <v>2740</v>
      </c>
      <c r="D1729" t="s">
        <v>233</v>
      </c>
      <c r="E1729" t="s">
        <v>642</v>
      </c>
      <c r="F1729" t="s">
        <v>872</v>
      </c>
      <c r="G1729" t="s">
        <v>2741</v>
      </c>
      <c r="Y1729">
        <v>511</v>
      </c>
      <c r="CH1729" t="str">
        <f t="shared" si="26"/>
        <v>D-0265</v>
      </c>
      <c r="CI1729" s="1" t="s">
        <v>102</v>
      </c>
    </row>
    <row r="1730" spans="1:87">
      <c r="A1730" t="s">
        <v>2762</v>
      </c>
      <c r="B1730">
        <v>291</v>
      </c>
      <c r="C1730" t="s">
        <v>2740</v>
      </c>
      <c r="D1730" t="s">
        <v>233</v>
      </c>
      <c r="E1730" t="s">
        <v>642</v>
      </c>
      <c r="F1730" t="s">
        <v>872</v>
      </c>
      <c r="G1730" t="s">
        <v>2741</v>
      </c>
      <c r="X1730">
        <v>291</v>
      </c>
      <c r="CH1730" t="str">
        <f t="shared" ref="CH1730:CH1793" si="27">TRIM(IFERROR(IFERROR(MID($D1730,FIND("(D-",$D1730)+1,6),LEFT($D1730,FIND("(",$D1730)-1)),$D1730))</f>
        <v>D-0265</v>
      </c>
      <c r="CI1730" s="1" t="s">
        <v>102</v>
      </c>
    </row>
    <row r="1731" spans="1:87">
      <c r="A1731" t="s">
        <v>2763</v>
      </c>
      <c r="B1731">
        <v>731</v>
      </c>
      <c r="C1731" t="s">
        <v>2740</v>
      </c>
      <c r="D1731" t="s">
        <v>233</v>
      </c>
      <c r="E1731" t="s">
        <v>642</v>
      </c>
      <c r="F1731" t="s">
        <v>872</v>
      </c>
      <c r="G1731" t="s">
        <v>2741</v>
      </c>
      <c r="W1731">
        <v>731</v>
      </c>
      <c r="CH1731" t="str">
        <f t="shared" si="27"/>
        <v>D-0265</v>
      </c>
      <c r="CI1731" s="1" t="s">
        <v>102</v>
      </c>
    </row>
    <row r="1732" spans="1:87">
      <c r="A1732" t="s">
        <v>2764</v>
      </c>
      <c r="B1732">
        <v>759</v>
      </c>
      <c r="C1732" t="s">
        <v>2740</v>
      </c>
      <c r="D1732" t="s">
        <v>233</v>
      </c>
      <c r="E1732" t="s">
        <v>642</v>
      </c>
      <c r="F1732" t="s">
        <v>872</v>
      </c>
      <c r="G1732" t="s">
        <v>2741</v>
      </c>
      <c r="V1732">
        <v>759</v>
      </c>
      <c r="CH1732" t="str">
        <f t="shared" si="27"/>
        <v>D-0265</v>
      </c>
      <c r="CI1732" s="1" t="s">
        <v>102</v>
      </c>
    </row>
    <row r="1733" spans="1:87">
      <c r="A1733" t="s">
        <v>2765</v>
      </c>
      <c r="B1733">
        <v>613</v>
      </c>
      <c r="C1733" t="s">
        <v>2740</v>
      </c>
      <c r="D1733" t="s">
        <v>233</v>
      </c>
      <c r="E1733" t="s">
        <v>642</v>
      </c>
      <c r="F1733" t="s">
        <v>872</v>
      </c>
      <c r="G1733" t="s">
        <v>2741</v>
      </c>
      <c r="U1733">
        <v>613</v>
      </c>
      <c r="CH1733" t="str">
        <f t="shared" si="27"/>
        <v>D-0265</v>
      </c>
      <c r="CI1733" s="1" t="s">
        <v>102</v>
      </c>
    </row>
    <row r="1734" spans="1:87">
      <c r="A1734" t="s">
        <v>2766</v>
      </c>
      <c r="B1734">
        <v>605</v>
      </c>
      <c r="C1734" t="s">
        <v>2740</v>
      </c>
      <c r="D1734" t="s">
        <v>233</v>
      </c>
      <c r="E1734" t="s">
        <v>642</v>
      </c>
      <c r="F1734" t="s">
        <v>872</v>
      </c>
      <c r="G1734" t="s">
        <v>2741</v>
      </c>
      <c r="T1734">
        <v>605</v>
      </c>
      <c r="CH1734" t="str">
        <f t="shared" si="27"/>
        <v>D-0265</v>
      </c>
      <c r="CI1734" s="1" t="s">
        <v>102</v>
      </c>
    </row>
    <row r="1735" spans="1:87">
      <c r="A1735" t="s">
        <v>2767</v>
      </c>
      <c r="B1735">
        <v>577</v>
      </c>
      <c r="C1735" t="s">
        <v>2740</v>
      </c>
      <c r="D1735" t="s">
        <v>233</v>
      </c>
      <c r="E1735" t="s">
        <v>642</v>
      </c>
      <c r="F1735" t="s">
        <v>872</v>
      </c>
      <c r="G1735" t="s">
        <v>2741</v>
      </c>
      <c r="S1735">
        <v>577</v>
      </c>
      <c r="CH1735" t="str">
        <f t="shared" si="27"/>
        <v>D-0265</v>
      </c>
      <c r="CI1735" s="1" t="s">
        <v>102</v>
      </c>
    </row>
    <row r="1736" spans="1:87">
      <c r="A1736" t="s">
        <v>2768</v>
      </c>
      <c r="B1736">
        <v>189</v>
      </c>
      <c r="C1736" t="s">
        <v>2740</v>
      </c>
      <c r="D1736" t="s">
        <v>233</v>
      </c>
      <c r="E1736" t="s">
        <v>642</v>
      </c>
      <c r="F1736" t="s">
        <v>872</v>
      </c>
      <c r="G1736" t="s">
        <v>2741</v>
      </c>
      <c r="R1736">
        <v>189</v>
      </c>
      <c r="CH1736" t="str">
        <f t="shared" si="27"/>
        <v>D-0265</v>
      </c>
      <c r="CI1736" s="1" t="s">
        <v>102</v>
      </c>
    </row>
    <row r="1737" spans="1:87">
      <c r="A1737" t="s">
        <v>2769</v>
      </c>
      <c r="B1737">
        <v>137</v>
      </c>
      <c r="C1737" t="s">
        <v>2740</v>
      </c>
      <c r="D1737" t="s">
        <v>233</v>
      </c>
      <c r="E1737" t="s">
        <v>642</v>
      </c>
      <c r="F1737" t="s">
        <v>872</v>
      </c>
      <c r="G1737" t="s">
        <v>2741</v>
      </c>
      <c r="Q1737">
        <v>137</v>
      </c>
      <c r="CH1737" t="str">
        <f t="shared" si="27"/>
        <v>D-0265</v>
      </c>
      <c r="CI1737" s="1" t="s">
        <v>102</v>
      </c>
    </row>
    <row r="1738" spans="1:87">
      <c r="A1738" t="s">
        <v>2770</v>
      </c>
      <c r="B1738">
        <v>12</v>
      </c>
      <c r="C1738" t="s">
        <v>2740</v>
      </c>
      <c r="D1738" t="s">
        <v>233</v>
      </c>
      <c r="E1738" t="s">
        <v>642</v>
      </c>
      <c r="F1738" t="s">
        <v>872</v>
      </c>
      <c r="G1738" t="s">
        <v>2741</v>
      </c>
      <c r="P1738">
        <v>12</v>
      </c>
      <c r="CH1738" t="str">
        <f t="shared" si="27"/>
        <v>D-0265</v>
      </c>
      <c r="CI1738" s="1" t="s">
        <v>102</v>
      </c>
    </row>
    <row r="1739" spans="1:87">
      <c r="A1739" t="s">
        <v>2771</v>
      </c>
      <c r="B1739">
        <v>52</v>
      </c>
      <c r="C1739" t="s">
        <v>2740</v>
      </c>
      <c r="D1739" t="s">
        <v>233</v>
      </c>
      <c r="E1739" t="s">
        <v>642</v>
      </c>
      <c r="F1739" t="s">
        <v>872</v>
      </c>
      <c r="G1739" t="s">
        <v>2741</v>
      </c>
      <c r="AC1739">
        <v>52</v>
      </c>
      <c r="CH1739" t="str">
        <f t="shared" si="27"/>
        <v>D-0265</v>
      </c>
      <c r="CI1739" s="1" t="s">
        <v>102</v>
      </c>
    </row>
    <row r="1740" spans="1:87">
      <c r="A1740" t="s">
        <v>2772</v>
      </c>
      <c r="B1740">
        <v>52</v>
      </c>
      <c r="C1740" t="s">
        <v>2740</v>
      </c>
      <c r="D1740" t="s">
        <v>233</v>
      </c>
      <c r="E1740" t="s">
        <v>642</v>
      </c>
      <c r="F1740" t="s">
        <v>872</v>
      </c>
      <c r="G1740" t="s">
        <v>2741</v>
      </c>
      <c r="AB1740">
        <v>52</v>
      </c>
      <c r="CH1740" t="str">
        <f t="shared" si="27"/>
        <v>D-0265</v>
      </c>
      <c r="CI1740" s="1" t="s">
        <v>102</v>
      </c>
    </row>
    <row r="1741" spans="1:87">
      <c r="A1741" t="s">
        <v>2773</v>
      </c>
      <c r="B1741">
        <v>265</v>
      </c>
      <c r="C1741" t="s">
        <v>2740</v>
      </c>
      <c r="D1741" t="s">
        <v>233</v>
      </c>
      <c r="E1741" t="s">
        <v>642</v>
      </c>
      <c r="F1741" t="s">
        <v>872</v>
      </c>
      <c r="G1741" t="s">
        <v>2741</v>
      </c>
      <c r="AA1741">
        <v>265</v>
      </c>
      <c r="CH1741" t="str">
        <f t="shared" si="27"/>
        <v>D-0265</v>
      </c>
      <c r="CI1741" s="1" t="s">
        <v>102</v>
      </c>
    </row>
    <row r="1742" spans="1:87">
      <c r="A1742" t="s">
        <v>2774</v>
      </c>
      <c r="B1742">
        <v>249</v>
      </c>
      <c r="C1742" t="s">
        <v>2740</v>
      </c>
      <c r="D1742" t="s">
        <v>233</v>
      </c>
      <c r="E1742" t="s">
        <v>642</v>
      </c>
      <c r="F1742" t="s">
        <v>872</v>
      </c>
      <c r="G1742" t="s">
        <v>2741</v>
      </c>
      <c r="Z1742">
        <v>249</v>
      </c>
      <c r="CH1742" t="str">
        <f t="shared" si="27"/>
        <v>D-0265</v>
      </c>
      <c r="CI1742" s="1" t="s">
        <v>102</v>
      </c>
    </row>
    <row r="1743" spans="1:87">
      <c r="A1743" t="s">
        <v>2775</v>
      </c>
      <c r="B1743">
        <v>1317</v>
      </c>
      <c r="C1743" t="s">
        <v>2740</v>
      </c>
      <c r="D1743" t="s">
        <v>233</v>
      </c>
      <c r="E1743" t="s">
        <v>642</v>
      </c>
      <c r="F1743" t="s">
        <v>872</v>
      </c>
      <c r="G1743" t="s">
        <v>2741</v>
      </c>
      <c r="Y1743">
        <v>1317</v>
      </c>
      <c r="CH1743" t="str">
        <f t="shared" si="27"/>
        <v>D-0265</v>
      </c>
      <c r="CI1743" s="1" t="s">
        <v>102</v>
      </c>
    </row>
    <row r="1744" spans="1:87">
      <c r="A1744" t="s">
        <v>2776</v>
      </c>
      <c r="B1744">
        <v>731</v>
      </c>
      <c r="C1744" t="s">
        <v>2740</v>
      </c>
      <c r="D1744" t="s">
        <v>233</v>
      </c>
      <c r="E1744" t="s">
        <v>642</v>
      </c>
      <c r="F1744" t="s">
        <v>872</v>
      </c>
      <c r="G1744" t="s">
        <v>2741</v>
      </c>
      <c r="X1744">
        <v>731</v>
      </c>
      <c r="CH1744" t="str">
        <f t="shared" si="27"/>
        <v>D-0265</v>
      </c>
      <c r="CI1744" s="1" t="s">
        <v>102</v>
      </c>
    </row>
    <row r="1745" spans="1:87">
      <c r="A1745" t="s">
        <v>2777</v>
      </c>
      <c r="B1745">
        <v>1805</v>
      </c>
      <c r="C1745" t="s">
        <v>2740</v>
      </c>
      <c r="D1745" t="s">
        <v>233</v>
      </c>
      <c r="E1745" t="s">
        <v>642</v>
      </c>
      <c r="F1745" t="s">
        <v>872</v>
      </c>
      <c r="G1745" t="s">
        <v>2741</v>
      </c>
      <c r="W1745">
        <v>1805</v>
      </c>
      <c r="CH1745" t="str">
        <f t="shared" si="27"/>
        <v>D-0265</v>
      </c>
      <c r="CI1745" s="1" t="s">
        <v>102</v>
      </c>
    </row>
    <row r="1746" spans="1:87">
      <c r="A1746" t="s">
        <v>2778</v>
      </c>
      <c r="B1746">
        <v>1321</v>
      </c>
      <c r="C1746" t="s">
        <v>2740</v>
      </c>
      <c r="D1746" t="s">
        <v>233</v>
      </c>
      <c r="E1746" t="s">
        <v>642</v>
      </c>
      <c r="F1746" t="s">
        <v>872</v>
      </c>
      <c r="G1746" t="s">
        <v>2741</v>
      </c>
      <c r="V1746">
        <v>1321</v>
      </c>
      <c r="CH1746" t="str">
        <f t="shared" si="27"/>
        <v>D-0265</v>
      </c>
      <c r="CI1746" s="1" t="s">
        <v>102</v>
      </c>
    </row>
    <row r="1747" spans="1:87">
      <c r="A1747" t="s">
        <v>2779</v>
      </c>
      <c r="B1747">
        <v>1481</v>
      </c>
      <c r="C1747" t="s">
        <v>2740</v>
      </c>
      <c r="D1747" t="s">
        <v>233</v>
      </c>
      <c r="E1747" t="s">
        <v>642</v>
      </c>
      <c r="F1747" t="s">
        <v>872</v>
      </c>
      <c r="G1747" t="s">
        <v>2741</v>
      </c>
      <c r="U1747">
        <v>1481</v>
      </c>
      <c r="CH1747" t="str">
        <f t="shared" si="27"/>
        <v>D-0265</v>
      </c>
      <c r="CI1747" s="1" t="s">
        <v>102</v>
      </c>
    </row>
    <row r="1748" spans="1:87">
      <c r="A1748" t="s">
        <v>2780</v>
      </c>
      <c r="B1748">
        <v>831</v>
      </c>
      <c r="C1748" t="s">
        <v>2740</v>
      </c>
      <c r="D1748" t="s">
        <v>233</v>
      </c>
      <c r="E1748" t="s">
        <v>642</v>
      </c>
      <c r="F1748" t="s">
        <v>872</v>
      </c>
      <c r="G1748" t="s">
        <v>2741</v>
      </c>
      <c r="T1748">
        <v>831</v>
      </c>
      <c r="CH1748" t="str">
        <f t="shared" si="27"/>
        <v>D-0265</v>
      </c>
      <c r="CI1748" s="1" t="s">
        <v>102</v>
      </c>
    </row>
    <row r="1749" spans="1:87">
      <c r="A1749" t="s">
        <v>2781</v>
      </c>
      <c r="B1749">
        <v>1217</v>
      </c>
      <c r="C1749" t="s">
        <v>2740</v>
      </c>
      <c r="D1749" t="s">
        <v>233</v>
      </c>
      <c r="E1749" t="s">
        <v>642</v>
      </c>
      <c r="F1749" t="s">
        <v>872</v>
      </c>
      <c r="G1749" t="s">
        <v>2741</v>
      </c>
      <c r="S1749">
        <v>1217</v>
      </c>
      <c r="CH1749" t="str">
        <f t="shared" si="27"/>
        <v>D-0265</v>
      </c>
      <c r="CI1749" s="1" t="s">
        <v>102</v>
      </c>
    </row>
    <row r="1750" spans="1:87">
      <c r="A1750" t="s">
        <v>2782</v>
      </c>
      <c r="B1750">
        <v>213</v>
      </c>
      <c r="C1750" t="s">
        <v>2740</v>
      </c>
      <c r="D1750" t="s">
        <v>233</v>
      </c>
      <c r="E1750" t="s">
        <v>642</v>
      </c>
      <c r="F1750" t="s">
        <v>872</v>
      </c>
      <c r="G1750" t="s">
        <v>2741</v>
      </c>
      <c r="R1750">
        <v>213</v>
      </c>
      <c r="CH1750" t="str">
        <f t="shared" si="27"/>
        <v>D-0265</v>
      </c>
      <c r="CI1750" s="1" t="s">
        <v>102</v>
      </c>
    </row>
    <row r="1751" spans="1:87">
      <c r="A1751" t="s">
        <v>2783</v>
      </c>
      <c r="B1751">
        <v>193</v>
      </c>
      <c r="C1751" t="s">
        <v>2740</v>
      </c>
      <c r="D1751" t="s">
        <v>233</v>
      </c>
      <c r="E1751" t="s">
        <v>642</v>
      </c>
      <c r="F1751" t="s">
        <v>872</v>
      </c>
      <c r="G1751" t="s">
        <v>2741</v>
      </c>
      <c r="Q1751">
        <v>193</v>
      </c>
      <c r="CH1751" t="str">
        <f t="shared" si="27"/>
        <v>D-0265</v>
      </c>
      <c r="CI1751" s="1" t="s">
        <v>102</v>
      </c>
    </row>
    <row r="1752" spans="1:87">
      <c r="A1752" t="s">
        <v>2784</v>
      </c>
      <c r="B1752">
        <v>12</v>
      </c>
      <c r="C1752" t="s">
        <v>2740</v>
      </c>
      <c r="D1752" t="s">
        <v>233</v>
      </c>
      <c r="E1752" t="s">
        <v>642</v>
      </c>
      <c r="F1752" t="s">
        <v>872</v>
      </c>
      <c r="G1752" t="s">
        <v>2741</v>
      </c>
      <c r="P1752">
        <v>12</v>
      </c>
      <c r="CH1752" t="str">
        <f t="shared" si="27"/>
        <v>D-0265</v>
      </c>
      <c r="CI1752" s="1" t="s">
        <v>102</v>
      </c>
    </row>
    <row r="1753" spans="1:87">
      <c r="A1753" t="s">
        <v>2785</v>
      </c>
      <c r="B1753">
        <v>51</v>
      </c>
      <c r="C1753" t="s">
        <v>2740</v>
      </c>
      <c r="D1753" t="s">
        <v>233</v>
      </c>
      <c r="E1753" t="s">
        <v>642</v>
      </c>
      <c r="F1753" t="s">
        <v>872</v>
      </c>
      <c r="G1753" t="s">
        <v>2741</v>
      </c>
      <c r="Q1753">
        <v>51</v>
      </c>
      <c r="CH1753" t="str">
        <f t="shared" si="27"/>
        <v>D-0265</v>
      </c>
      <c r="CI1753" s="1" t="s">
        <v>102</v>
      </c>
    </row>
    <row r="1754" spans="1:87">
      <c r="A1754" t="s">
        <v>2786</v>
      </c>
      <c r="B1754">
        <v>406</v>
      </c>
      <c r="C1754" t="s">
        <v>2740</v>
      </c>
      <c r="D1754" t="s">
        <v>233</v>
      </c>
      <c r="E1754" t="s">
        <v>642</v>
      </c>
      <c r="F1754" t="s">
        <v>872</v>
      </c>
      <c r="G1754" t="s">
        <v>2741</v>
      </c>
      <c r="Y1754">
        <v>406</v>
      </c>
      <c r="CH1754" t="str">
        <f t="shared" si="27"/>
        <v>D-0265</v>
      </c>
      <c r="CI1754" s="1" t="s">
        <v>102</v>
      </c>
    </row>
    <row r="1755" spans="1:87">
      <c r="A1755" t="s">
        <v>2787</v>
      </c>
      <c r="B1755">
        <v>297</v>
      </c>
      <c r="C1755" t="s">
        <v>2740</v>
      </c>
      <c r="D1755" t="s">
        <v>233</v>
      </c>
      <c r="E1755" t="s">
        <v>642</v>
      </c>
      <c r="F1755" t="s">
        <v>872</v>
      </c>
      <c r="G1755" t="s">
        <v>2741</v>
      </c>
      <c r="X1755">
        <v>297</v>
      </c>
      <c r="CH1755" t="str">
        <f t="shared" si="27"/>
        <v>D-0265</v>
      </c>
      <c r="CI1755" s="1" t="s">
        <v>102</v>
      </c>
    </row>
    <row r="1756" spans="1:87">
      <c r="A1756" t="s">
        <v>2788</v>
      </c>
      <c r="B1756">
        <v>958</v>
      </c>
      <c r="C1756" t="s">
        <v>2740</v>
      </c>
      <c r="D1756" t="s">
        <v>233</v>
      </c>
      <c r="E1756" t="s">
        <v>642</v>
      </c>
      <c r="F1756" t="s">
        <v>872</v>
      </c>
      <c r="G1756" t="s">
        <v>2741</v>
      </c>
      <c r="W1756">
        <v>958</v>
      </c>
      <c r="CH1756" t="str">
        <f t="shared" si="27"/>
        <v>D-0265</v>
      </c>
      <c r="CI1756" s="1" t="s">
        <v>102</v>
      </c>
    </row>
    <row r="1757" spans="1:87">
      <c r="A1757" t="s">
        <v>2789</v>
      </c>
      <c r="B1757">
        <v>1298</v>
      </c>
      <c r="C1757" t="s">
        <v>2740</v>
      </c>
      <c r="D1757" t="s">
        <v>233</v>
      </c>
      <c r="E1757" t="s">
        <v>642</v>
      </c>
      <c r="F1757" t="s">
        <v>872</v>
      </c>
      <c r="G1757" t="s">
        <v>2741</v>
      </c>
      <c r="V1757">
        <v>1298</v>
      </c>
      <c r="CH1757" t="str">
        <f t="shared" si="27"/>
        <v>D-0265</v>
      </c>
      <c r="CI1757" s="1" t="s">
        <v>102</v>
      </c>
    </row>
    <row r="1758" spans="1:87">
      <c r="A1758" t="s">
        <v>2790</v>
      </c>
      <c r="B1758">
        <v>659</v>
      </c>
      <c r="C1758" t="s">
        <v>2740</v>
      </c>
      <c r="D1758" t="s">
        <v>233</v>
      </c>
      <c r="E1758" t="s">
        <v>642</v>
      </c>
      <c r="F1758" t="s">
        <v>872</v>
      </c>
      <c r="G1758" t="s">
        <v>2741</v>
      </c>
      <c r="U1758">
        <v>659</v>
      </c>
      <c r="CH1758" t="str">
        <f t="shared" si="27"/>
        <v>D-0265</v>
      </c>
      <c r="CI1758" s="1" t="s">
        <v>102</v>
      </c>
    </row>
    <row r="1759" spans="1:87">
      <c r="A1759" t="s">
        <v>2791</v>
      </c>
      <c r="B1759">
        <v>1007</v>
      </c>
      <c r="C1759" t="s">
        <v>2740</v>
      </c>
      <c r="D1759" t="s">
        <v>233</v>
      </c>
      <c r="E1759" t="s">
        <v>642</v>
      </c>
      <c r="F1759" t="s">
        <v>872</v>
      </c>
      <c r="G1759" t="s">
        <v>2741</v>
      </c>
      <c r="T1759">
        <v>1007</v>
      </c>
      <c r="CH1759" t="str">
        <f t="shared" si="27"/>
        <v>D-0265</v>
      </c>
      <c r="CI1759" s="1" t="s">
        <v>102</v>
      </c>
    </row>
    <row r="1760" spans="1:87">
      <c r="A1760" t="s">
        <v>2792</v>
      </c>
      <c r="B1760">
        <v>566</v>
      </c>
      <c r="C1760" t="s">
        <v>2740</v>
      </c>
      <c r="D1760" t="s">
        <v>233</v>
      </c>
      <c r="E1760" t="s">
        <v>642</v>
      </c>
      <c r="F1760" t="s">
        <v>872</v>
      </c>
      <c r="G1760" t="s">
        <v>2741</v>
      </c>
      <c r="S1760">
        <v>566</v>
      </c>
      <c r="CH1760" t="str">
        <f t="shared" si="27"/>
        <v>D-0265</v>
      </c>
      <c r="CI1760" s="1" t="s">
        <v>102</v>
      </c>
    </row>
    <row r="1761" spans="1:87">
      <c r="A1761" t="s">
        <v>2793</v>
      </c>
      <c r="B1761">
        <v>363</v>
      </c>
      <c r="C1761" t="s">
        <v>2740</v>
      </c>
      <c r="D1761" t="s">
        <v>233</v>
      </c>
      <c r="E1761" t="s">
        <v>642</v>
      </c>
      <c r="F1761" t="s">
        <v>872</v>
      </c>
      <c r="G1761" t="s">
        <v>2741</v>
      </c>
      <c r="R1761">
        <v>363</v>
      </c>
      <c r="CH1761" t="str">
        <f t="shared" si="27"/>
        <v>D-0265</v>
      </c>
      <c r="CI1761" s="1" t="s">
        <v>102</v>
      </c>
    </row>
    <row r="1762" spans="1:87">
      <c r="A1762" t="s">
        <v>2794</v>
      </c>
      <c r="B1762">
        <v>6</v>
      </c>
      <c r="C1762" t="s">
        <v>2740</v>
      </c>
      <c r="D1762" t="s">
        <v>233</v>
      </c>
      <c r="E1762" t="s">
        <v>642</v>
      </c>
      <c r="F1762" t="s">
        <v>872</v>
      </c>
      <c r="G1762" t="s">
        <v>2741</v>
      </c>
      <c r="AB1762">
        <v>6</v>
      </c>
      <c r="CH1762" t="str">
        <f t="shared" si="27"/>
        <v>D-0265</v>
      </c>
      <c r="CI1762" s="1" t="s">
        <v>102</v>
      </c>
    </row>
    <row r="1763" spans="1:87">
      <c r="A1763" t="s">
        <v>2795</v>
      </c>
      <c r="B1763">
        <v>24</v>
      </c>
      <c r="C1763" t="s">
        <v>2740</v>
      </c>
      <c r="D1763" t="s">
        <v>233</v>
      </c>
      <c r="E1763" t="s">
        <v>642</v>
      </c>
      <c r="F1763" t="s">
        <v>872</v>
      </c>
      <c r="G1763" t="s">
        <v>2741</v>
      </c>
      <c r="Z1763">
        <v>24</v>
      </c>
      <c r="CH1763" t="str">
        <f t="shared" si="27"/>
        <v>D-0265</v>
      </c>
      <c r="CI1763" s="1" t="s">
        <v>102</v>
      </c>
    </row>
    <row r="1764" spans="1:87">
      <c r="A1764" t="s">
        <v>2796</v>
      </c>
      <c r="B1764">
        <v>213</v>
      </c>
      <c r="C1764" t="s">
        <v>2740</v>
      </c>
      <c r="D1764" t="s">
        <v>233</v>
      </c>
      <c r="E1764" t="s">
        <v>642</v>
      </c>
      <c r="F1764" t="s">
        <v>872</v>
      </c>
      <c r="G1764" t="s">
        <v>2741</v>
      </c>
      <c r="Y1764">
        <v>213</v>
      </c>
      <c r="CH1764" t="str">
        <f t="shared" si="27"/>
        <v>D-0265</v>
      </c>
      <c r="CI1764" s="1" t="s">
        <v>102</v>
      </c>
    </row>
    <row r="1765" spans="1:87">
      <c r="A1765" t="s">
        <v>2797</v>
      </c>
      <c r="B1765">
        <v>379</v>
      </c>
      <c r="C1765" t="s">
        <v>2740</v>
      </c>
      <c r="D1765" t="s">
        <v>233</v>
      </c>
      <c r="E1765" t="s">
        <v>642</v>
      </c>
      <c r="F1765" t="s">
        <v>872</v>
      </c>
      <c r="G1765" t="s">
        <v>2741</v>
      </c>
      <c r="X1765">
        <v>379</v>
      </c>
      <c r="CH1765" t="str">
        <f t="shared" si="27"/>
        <v>D-0265</v>
      </c>
      <c r="CI1765" s="1" t="s">
        <v>102</v>
      </c>
    </row>
    <row r="1766" spans="1:87">
      <c r="A1766" t="s">
        <v>2798</v>
      </c>
      <c r="B1766">
        <v>504</v>
      </c>
      <c r="C1766" t="s">
        <v>2740</v>
      </c>
      <c r="D1766" t="s">
        <v>233</v>
      </c>
      <c r="E1766" t="s">
        <v>642</v>
      </c>
      <c r="F1766" t="s">
        <v>872</v>
      </c>
      <c r="G1766" t="s">
        <v>2741</v>
      </c>
      <c r="W1766">
        <v>504</v>
      </c>
      <c r="CH1766" t="str">
        <f t="shared" si="27"/>
        <v>D-0265</v>
      </c>
      <c r="CI1766" s="1" t="s">
        <v>102</v>
      </c>
    </row>
    <row r="1767" spans="1:87">
      <c r="A1767" t="s">
        <v>2799</v>
      </c>
      <c r="B1767">
        <v>728</v>
      </c>
      <c r="C1767" t="s">
        <v>2740</v>
      </c>
      <c r="D1767" t="s">
        <v>233</v>
      </c>
      <c r="E1767" t="s">
        <v>642</v>
      </c>
      <c r="F1767" t="s">
        <v>872</v>
      </c>
      <c r="G1767" t="s">
        <v>2741</v>
      </c>
      <c r="V1767">
        <v>728</v>
      </c>
      <c r="CH1767" t="str">
        <f t="shared" si="27"/>
        <v>D-0265</v>
      </c>
      <c r="CI1767" s="1" t="s">
        <v>102</v>
      </c>
    </row>
    <row r="1768" spans="1:87">
      <c r="A1768" t="s">
        <v>2800</v>
      </c>
      <c r="B1768">
        <v>299</v>
      </c>
      <c r="C1768" t="s">
        <v>2740</v>
      </c>
      <c r="D1768" t="s">
        <v>233</v>
      </c>
      <c r="E1768" t="s">
        <v>642</v>
      </c>
      <c r="F1768" t="s">
        <v>872</v>
      </c>
      <c r="G1768" t="s">
        <v>2741</v>
      </c>
      <c r="U1768">
        <v>299</v>
      </c>
      <c r="CH1768" t="str">
        <f t="shared" si="27"/>
        <v>D-0265</v>
      </c>
      <c r="CI1768" s="1" t="s">
        <v>102</v>
      </c>
    </row>
    <row r="1769" spans="1:87">
      <c r="A1769" t="s">
        <v>2801</v>
      </c>
      <c r="B1769">
        <v>516</v>
      </c>
      <c r="C1769" t="s">
        <v>2740</v>
      </c>
      <c r="D1769" t="s">
        <v>233</v>
      </c>
      <c r="E1769" t="s">
        <v>642</v>
      </c>
      <c r="F1769" t="s">
        <v>872</v>
      </c>
      <c r="G1769" t="s">
        <v>2741</v>
      </c>
      <c r="T1769">
        <v>516</v>
      </c>
      <c r="CH1769" t="str">
        <f t="shared" si="27"/>
        <v>D-0265</v>
      </c>
      <c r="CI1769" s="1" t="s">
        <v>102</v>
      </c>
    </row>
    <row r="1770" spans="1:87">
      <c r="A1770" t="s">
        <v>2802</v>
      </c>
      <c r="B1770">
        <v>292</v>
      </c>
      <c r="C1770" t="s">
        <v>2740</v>
      </c>
      <c r="D1770" t="s">
        <v>233</v>
      </c>
      <c r="E1770" t="s">
        <v>642</v>
      </c>
      <c r="F1770" t="s">
        <v>872</v>
      </c>
      <c r="G1770" t="s">
        <v>2741</v>
      </c>
      <c r="S1770">
        <v>292</v>
      </c>
      <c r="CH1770" t="str">
        <f t="shared" si="27"/>
        <v>D-0265</v>
      </c>
      <c r="CI1770" s="1" t="s">
        <v>102</v>
      </c>
    </row>
    <row r="1771" spans="1:87">
      <c r="A1771" t="s">
        <v>2803</v>
      </c>
      <c r="B1771">
        <v>434</v>
      </c>
      <c r="C1771" t="s">
        <v>2740</v>
      </c>
      <c r="D1771" t="s">
        <v>233</v>
      </c>
      <c r="E1771" t="s">
        <v>642</v>
      </c>
      <c r="F1771" t="s">
        <v>872</v>
      </c>
      <c r="G1771" t="s">
        <v>2741</v>
      </c>
      <c r="R1771">
        <v>434</v>
      </c>
      <c r="CH1771" t="str">
        <f t="shared" si="27"/>
        <v>D-0265</v>
      </c>
      <c r="CI1771" s="1" t="s">
        <v>102</v>
      </c>
    </row>
    <row r="1772" spans="1:87">
      <c r="A1772" t="s">
        <v>2804</v>
      </c>
      <c r="B1772">
        <v>6</v>
      </c>
      <c r="C1772" t="s">
        <v>2740</v>
      </c>
      <c r="D1772" t="s">
        <v>233</v>
      </c>
      <c r="E1772" t="s">
        <v>642</v>
      </c>
      <c r="F1772" t="s">
        <v>872</v>
      </c>
      <c r="G1772" t="s">
        <v>2741</v>
      </c>
      <c r="P1772">
        <v>6</v>
      </c>
      <c r="CH1772" t="str">
        <f t="shared" si="27"/>
        <v>D-0265</v>
      </c>
      <c r="CI1772" s="1" t="s">
        <v>102</v>
      </c>
    </row>
    <row r="1773" spans="1:87">
      <c r="A1773" t="s">
        <v>2806</v>
      </c>
      <c r="B1773">
        <v>4</v>
      </c>
      <c r="C1773" t="s">
        <v>2740</v>
      </c>
      <c r="D1773" t="s">
        <v>233</v>
      </c>
      <c r="E1773" t="s">
        <v>642</v>
      </c>
      <c r="F1773" t="s">
        <v>872</v>
      </c>
      <c r="G1773" t="s">
        <v>2741</v>
      </c>
      <c r="T1773">
        <v>4</v>
      </c>
      <c r="CH1773" t="str">
        <f t="shared" si="27"/>
        <v>D-0265</v>
      </c>
      <c r="CI1773" s="1" t="s">
        <v>102</v>
      </c>
    </row>
    <row r="1774" spans="1:87">
      <c r="A1774" t="s">
        <v>2807</v>
      </c>
      <c r="B1774">
        <v>2196</v>
      </c>
      <c r="C1774" t="s">
        <v>1321</v>
      </c>
      <c r="D1774" t="s">
        <v>235</v>
      </c>
      <c r="E1774" t="s">
        <v>642</v>
      </c>
      <c r="F1774" t="s">
        <v>695</v>
      </c>
      <c r="G1774" t="s">
        <v>956</v>
      </c>
      <c r="Q1774">
        <v>150</v>
      </c>
      <c r="R1774">
        <v>184</v>
      </c>
      <c r="S1774">
        <v>369</v>
      </c>
      <c r="T1774">
        <v>299</v>
      </c>
      <c r="U1774">
        <v>77</v>
      </c>
      <c r="V1774">
        <v>325</v>
      </c>
      <c r="W1774">
        <v>407</v>
      </c>
      <c r="X1774">
        <v>70</v>
      </c>
      <c r="Y1774">
        <v>294</v>
      </c>
      <c r="Z1774">
        <v>21</v>
      </c>
      <c r="CH1774" t="str">
        <f t="shared" si="27"/>
        <v>D-0266</v>
      </c>
      <c r="CI1774" s="1" t="s">
        <v>102</v>
      </c>
    </row>
    <row r="1775" spans="1:87">
      <c r="A1775" t="s">
        <v>2809</v>
      </c>
      <c r="B1775">
        <v>6561</v>
      </c>
      <c r="C1775" t="s">
        <v>939</v>
      </c>
      <c r="D1775" t="s">
        <v>249</v>
      </c>
      <c r="E1775" t="s">
        <v>642</v>
      </c>
      <c r="F1775" t="s">
        <v>709</v>
      </c>
      <c r="G1775" t="s">
        <v>728</v>
      </c>
      <c r="P1775">
        <v>66</v>
      </c>
      <c r="Q1775">
        <v>138</v>
      </c>
      <c r="R1775">
        <v>228</v>
      </c>
      <c r="S1775">
        <v>516</v>
      </c>
      <c r="T1775">
        <v>684</v>
      </c>
      <c r="U1775">
        <v>624</v>
      </c>
      <c r="V1775">
        <v>997</v>
      </c>
      <c r="W1775">
        <v>738</v>
      </c>
      <c r="X1775">
        <v>548</v>
      </c>
      <c r="Y1775">
        <v>546</v>
      </c>
      <c r="Z1775">
        <v>414</v>
      </c>
      <c r="AA1775">
        <v>264</v>
      </c>
      <c r="AB1775">
        <v>276</v>
      </c>
      <c r="AC1775">
        <v>138</v>
      </c>
      <c r="AD1775">
        <v>66</v>
      </c>
      <c r="AE1775">
        <v>66</v>
      </c>
      <c r="AF1775">
        <v>60</v>
      </c>
      <c r="AG1775">
        <v>54</v>
      </c>
      <c r="AH1775">
        <v>48</v>
      </c>
      <c r="AI1775">
        <v>36</v>
      </c>
      <c r="AK1775">
        <v>30</v>
      </c>
      <c r="AM1775">
        <v>24</v>
      </c>
      <c r="CH1775" t="str">
        <f t="shared" si="27"/>
        <v>D-0271</v>
      </c>
      <c r="CI1775" s="1" t="s">
        <v>102</v>
      </c>
    </row>
    <row r="1776" spans="1:87">
      <c r="A1776" t="s">
        <v>2813</v>
      </c>
      <c r="B1776">
        <v>3959</v>
      </c>
      <c r="C1776" t="s">
        <v>998</v>
      </c>
      <c r="D1776" t="s">
        <v>319</v>
      </c>
      <c r="E1776" t="s">
        <v>629</v>
      </c>
      <c r="F1776" t="s">
        <v>695</v>
      </c>
      <c r="G1776" t="s">
        <v>2814</v>
      </c>
      <c r="R1776">
        <v>72</v>
      </c>
      <c r="S1776">
        <v>24</v>
      </c>
      <c r="T1776">
        <v>198</v>
      </c>
      <c r="U1776">
        <v>289</v>
      </c>
      <c r="V1776">
        <v>204</v>
      </c>
      <c r="W1776">
        <v>524</v>
      </c>
      <c r="X1776">
        <v>332</v>
      </c>
      <c r="Y1776">
        <v>618</v>
      </c>
      <c r="Z1776">
        <v>710</v>
      </c>
      <c r="AA1776">
        <v>168</v>
      </c>
      <c r="AB1776">
        <v>426</v>
      </c>
      <c r="AC1776">
        <v>60</v>
      </c>
      <c r="AD1776">
        <v>220</v>
      </c>
      <c r="AE1776">
        <v>38</v>
      </c>
      <c r="AF1776">
        <v>58</v>
      </c>
      <c r="AH1776">
        <v>12</v>
      </c>
      <c r="AJ1776">
        <v>6</v>
      </c>
      <c r="CH1776" t="str">
        <f t="shared" si="27"/>
        <v>D-0470</v>
      </c>
      <c r="CI1776" s="1" t="s">
        <v>102</v>
      </c>
    </row>
    <row r="1777" spans="1:87">
      <c r="A1777" t="s">
        <v>2815</v>
      </c>
      <c r="B1777">
        <v>6505</v>
      </c>
      <c r="C1777" t="s">
        <v>771</v>
      </c>
      <c r="D1777" t="s">
        <v>251</v>
      </c>
      <c r="E1777" t="s">
        <v>629</v>
      </c>
      <c r="F1777" t="s">
        <v>657</v>
      </c>
      <c r="G1777" t="s">
        <v>2816</v>
      </c>
      <c r="M1777">
        <v>1</v>
      </c>
      <c r="N1777">
        <v>3</v>
      </c>
      <c r="O1777">
        <v>12</v>
      </c>
      <c r="P1777">
        <v>35</v>
      </c>
      <c r="Q1777">
        <v>51</v>
      </c>
      <c r="R1777">
        <v>96</v>
      </c>
      <c r="S1777">
        <v>130</v>
      </c>
      <c r="T1777">
        <v>84</v>
      </c>
      <c r="U1777">
        <v>96</v>
      </c>
      <c r="V1777">
        <v>632</v>
      </c>
      <c r="W1777">
        <v>716</v>
      </c>
      <c r="X1777">
        <v>756</v>
      </c>
      <c r="Y1777">
        <v>997</v>
      </c>
      <c r="Z1777">
        <v>904</v>
      </c>
      <c r="AA1777">
        <v>391</v>
      </c>
      <c r="AB1777">
        <v>616</v>
      </c>
      <c r="AC1777">
        <v>80</v>
      </c>
      <c r="AD1777">
        <v>585</v>
      </c>
      <c r="AE1777">
        <v>98</v>
      </c>
      <c r="AF1777">
        <v>136</v>
      </c>
      <c r="AH1777">
        <v>62</v>
      </c>
      <c r="AJ1777">
        <v>24</v>
      </c>
      <c r="CH1777" t="str">
        <f t="shared" si="27"/>
        <v>D-0272</v>
      </c>
      <c r="CI1777" s="1" t="s">
        <v>102</v>
      </c>
    </row>
    <row r="1778" spans="1:87">
      <c r="A1778" t="s">
        <v>2827</v>
      </c>
      <c r="B1778">
        <v>1487</v>
      </c>
      <c r="C1778" t="s">
        <v>1169</v>
      </c>
      <c r="D1778" t="s">
        <v>457</v>
      </c>
      <c r="E1778" t="s">
        <v>629</v>
      </c>
      <c r="F1778" t="s">
        <v>672</v>
      </c>
      <c r="G1778" t="s">
        <v>738</v>
      </c>
      <c r="O1778">
        <v>162</v>
      </c>
      <c r="P1778">
        <v>90</v>
      </c>
      <c r="Q1778">
        <v>264</v>
      </c>
      <c r="R1778">
        <v>156</v>
      </c>
      <c r="S1778">
        <v>366</v>
      </c>
      <c r="T1778">
        <v>60</v>
      </c>
      <c r="U1778">
        <v>234</v>
      </c>
      <c r="V1778">
        <v>47</v>
      </c>
      <c r="W1778">
        <v>108</v>
      </c>
      <c r="CH1778" t="str">
        <f t="shared" si="27"/>
        <v>JV1-0695-3</v>
      </c>
      <c r="CI1778" s="1" t="s">
        <v>102</v>
      </c>
    </row>
    <row r="1779" spans="1:87">
      <c r="A1779" t="s">
        <v>3410</v>
      </c>
      <c r="B1779">
        <v>185</v>
      </c>
      <c r="C1779" t="s">
        <v>3404</v>
      </c>
      <c r="D1779" t="s">
        <v>457</v>
      </c>
      <c r="E1779" t="s">
        <v>629</v>
      </c>
      <c r="F1779" t="s">
        <v>672</v>
      </c>
      <c r="G1779" t="s">
        <v>738</v>
      </c>
      <c r="O1779">
        <v>54</v>
      </c>
      <c r="Q1779">
        <v>60</v>
      </c>
      <c r="S1779">
        <v>48</v>
      </c>
      <c r="U1779">
        <v>23</v>
      </c>
      <c r="CH1779" t="str">
        <f t="shared" si="27"/>
        <v>JV1-0695-3</v>
      </c>
      <c r="CI1779" s="1" t="s">
        <v>102</v>
      </c>
    </row>
    <row r="1780" spans="1:87">
      <c r="A1780" t="s">
        <v>3411</v>
      </c>
      <c r="B1780">
        <v>515</v>
      </c>
      <c r="C1780" t="s">
        <v>3404</v>
      </c>
      <c r="D1780" t="s">
        <v>457</v>
      </c>
      <c r="E1780" t="s">
        <v>629</v>
      </c>
      <c r="F1780" t="s">
        <v>672</v>
      </c>
      <c r="G1780" t="s">
        <v>738</v>
      </c>
      <c r="O1780">
        <v>6</v>
      </c>
      <c r="P1780">
        <v>30</v>
      </c>
      <c r="Q1780">
        <v>42</v>
      </c>
      <c r="R1780">
        <v>42</v>
      </c>
      <c r="S1780">
        <v>42</v>
      </c>
      <c r="T1780">
        <v>48</v>
      </c>
      <c r="U1780">
        <v>42</v>
      </c>
      <c r="V1780">
        <v>59</v>
      </c>
      <c r="W1780">
        <v>54</v>
      </c>
      <c r="X1780">
        <v>42</v>
      </c>
      <c r="Y1780">
        <v>42</v>
      </c>
      <c r="Z1780">
        <v>30</v>
      </c>
      <c r="AA1780">
        <v>18</v>
      </c>
      <c r="AB1780">
        <v>12</v>
      </c>
      <c r="AD1780">
        <v>6</v>
      </c>
      <c r="CH1780" t="str">
        <f t="shared" si="27"/>
        <v>JV1-0695-3</v>
      </c>
      <c r="CI1780" s="1" t="s">
        <v>102</v>
      </c>
    </row>
    <row r="1781" spans="1:87">
      <c r="A1781" t="s">
        <v>3412</v>
      </c>
      <c r="B1781">
        <v>1145</v>
      </c>
      <c r="C1781" t="s">
        <v>3404</v>
      </c>
      <c r="D1781" t="s">
        <v>457</v>
      </c>
      <c r="E1781" t="s">
        <v>629</v>
      </c>
      <c r="F1781" t="s">
        <v>672</v>
      </c>
      <c r="G1781" t="s">
        <v>738</v>
      </c>
      <c r="N1781">
        <v>96</v>
      </c>
      <c r="O1781">
        <v>132</v>
      </c>
      <c r="P1781">
        <v>144</v>
      </c>
      <c r="Q1781">
        <v>216</v>
      </c>
      <c r="R1781">
        <v>192</v>
      </c>
      <c r="S1781">
        <v>156</v>
      </c>
      <c r="T1781">
        <v>108</v>
      </c>
      <c r="U1781">
        <v>101</v>
      </c>
      <c r="CH1781" t="str">
        <f t="shared" si="27"/>
        <v>JV1-0695-3</v>
      </c>
      <c r="CI1781" s="1" t="s">
        <v>102</v>
      </c>
    </row>
    <row r="1782" spans="1:87">
      <c r="A1782" t="s">
        <v>3413</v>
      </c>
      <c r="B1782">
        <v>377</v>
      </c>
      <c r="C1782" t="s">
        <v>3404</v>
      </c>
      <c r="D1782" t="s">
        <v>457</v>
      </c>
      <c r="E1782" t="s">
        <v>629</v>
      </c>
      <c r="F1782" t="s">
        <v>672</v>
      </c>
      <c r="G1782" t="s">
        <v>738</v>
      </c>
      <c r="N1782">
        <v>24</v>
      </c>
      <c r="O1782">
        <v>42</v>
      </c>
      <c r="P1782">
        <v>24</v>
      </c>
      <c r="Q1782">
        <v>90</v>
      </c>
      <c r="R1782">
        <v>12</v>
      </c>
      <c r="S1782">
        <v>66</v>
      </c>
      <c r="T1782">
        <v>54</v>
      </c>
      <c r="U1782">
        <v>36</v>
      </c>
      <c r="V1782">
        <v>29</v>
      </c>
      <c r="CH1782" t="str">
        <f t="shared" si="27"/>
        <v>JV1-0695-3</v>
      </c>
      <c r="CI1782" s="1" t="s">
        <v>102</v>
      </c>
    </row>
    <row r="1783" spans="1:87">
      <c r="A1783" t="s">
        <v>2859</v>
      </c>
      <c r="B1783">
        <v>2519</v>
      </c>
      <c r="C1783" t="s">
        <v>718</v>
      </c>
      <c r="D1783" t="s">
        <v>457</v>
      </c>
      <c r="E1783" t="s">
        <v>629</v>
      </c>
      <c r="F1783" t="s">
        <v>672</v>
      </c>
      <c r="G1783" t="s">
        <v>673</v>
      </c>
      <c r="N1783">
        <v>30</v>
      </c>
      <c r="O1783">
        <v>30</v>
      </c>
      <c r="P1783">
        <v>60</v>
      </c>
      <c r="Q1783">
        <v>72</v>
      </c>
      <c r="R1783">
        <v>78</v>
      </c>
      <c r="S1783">
        <v>78</v>
      </c>
      <c r="T1783">
        <v>150</v>
      </c>
      <c r="U1783">
        <v>126</v>
      </c>
      <c r="V1783">
        <v>191</v>
      </c>
      <c r="W1783">
        <v>204</v>
      </c>
      <c r="X1783">
        <v>204</v>
      </c>
      <c r="Y1783">
        <v>390</v>
      </c>
      <c r="Z1783">
        <v>252</v>
      </c>
      <c r="AA1783">
        <v>180</v>
      </c>
      <c r="AB1783">
        <v>198</v>
      </c>
      <c r="AC1783">
        <v>96</v>
      </c>
      <c r="AD1783">
        <v>96</v>
      </c>
      <c r="AE1783">
        <v>48</v>
      </c>
      <c r="AF1783">
        <v>36</v>
      </c>
      <c r="CH1783" t="str">
        <f t="shared" si="27"/>
        <v>JV1-0695-3</v>
      </c>
      <c r="CI1783" s="1" t="s">
        <v>102</v>
      </c>
    </row>
    <row r="1784" spans="1:87">
      <c r="A1784" t="s">
        <v>2860</v>
      </c>
      <c r="B1784">
        <v>863</v>
      </c>
      <c r="C1784" t="s">
        <v>1165</v>
      </c>
      <c r="D1784" t="s">
        <v>457</v>
      </c>
      <c r="E1784" t="s">
        <v>629</v>
      </c>
      <c r="F1784" t="s">
        <v>672</v>
      </c>
      <c r="G1784" t="s">
        <v>673</v>
      </c>
      <c r="N1784">
        <v>6</v>
      </c>
      <c r="O1784">
        <v>12</v>
      </c>
      <c r="P1784">
        <v>30</v>
      </c>
      <c r="Q1784">
        <v>48</v>
      </c>
      <c r="R1784">
        <v>54</v>
      </c>
      <c r="S1784">
        <v>72</v>
      </c>
      <c r="T1784">
        <v>78</v>
      </c>
      <c r="U1784">
        <v>66</v>
      </c>
      <c r="V1784">
        <v>59</v>
      </c>
      <c r="W1784">
        <v>54</v>
      </c>
      <c r="X1784">
        <v>54</v>
      </c>
      <c r="Y1784">
        <v>60</v>
      </c>
      <c r="Z1784">
        <v>78</v>
      </c>
      <c r="AA1784">
        <v>60</v>
      </c>
      <c r="AB1784">
        <v>54</v>
      </c>
      <c r="AC1784">
        <v>36</v>
      </c>
      <c r="AD1784">
        <v>24</v>
      </c>
      <c r="AE1784">
        <v>6</v>
      </c>
      <c r="AF1784">
        <v>12</v>
      </c>
      <c r="CH1784" t="str">
        <f t="shared" si="27"/>
        <v>JV1-0695-3</v>
      </c>
      <c r="CI1784" s="1" t="s">
        <v>102</v>
      </c>
    </row>
    <row r="1785" spans="1:87">
      <c r="A1785" t="s">
        <v>2861</v>
      </c>
      <c r="B1785">
        <v>1277</v>
      </c>
      <c r="C1785" t="s">
        <v>1166</v>
      </c>
      <c r="D1785" t="s">
        <v>457</v>
      </c>
      <c r="E1785" t="s">
        <v>629</v>
      </c>
      <c r="F1785" t="s">
        <v>672</v>
      </c>
      <c r="G1785" t="s">
        <v>673</v>
      </c>
      <c r="O1785">
        <v>138</v>
      </c>
      <c r="P1785">
        <v>78</v>
      </c>
      <c r="Q1785">
        <v>228</v>
      </c>
      <c r="R1785">
        <v>126</v>
      </c>
      <c r="S1785">
        <v>318</v>
      </c>
      <c r="T1785">
        <v>54</v>
      </c>
      <c r="U1785">
        <v>204</v>
      </c>
      <c r="V1785">
        <v>41</v>
      </c>
      <c r="W1785">
        <v>90</v>
      </c>
      <c r="CH1785" t="str">
        <f t="shared" si="27"/>
        <v>JV1-0695-3</v>
      </c>
      <c r="CI1785" s="1" t="s">
        <v>102</v>
      </c>
    </row>
    <row r="1786" spans="1:87">
      <c r="A1786" t="s">
        <v>2862</v>
      </c>
      <c r="B1786">
        <v>84</v>
      </c>
      <c r="C1786" t="s">
        <v>1035</v>
      </c>
      <c r="D1786" t="s">
        <v>457</v>
      </c>
      <c r="E1786" t="s">
        <v>629</v>
      </c>
      <c r="F1786" t="s">
        <v>1036</v>
      </c>
      <c r="G1786" t="s">
        <v>1037</v>
      </c>
      <c r="AH1786">
        <v>60</v>
      </c>
      <c r="AJ1786">
        <v>24</v>
      </c>
      <c r="CH1786" t="str">
        <f t="shared" si="27"/>
        <v>JV1-0695-3</v>
      </c>
      <c r="CI1786" s="1" t="s">
        <v>102</v>
      </c>
    </row>
    <row r="1787" spans="1:87">
      <c r="A1787" t="s">
        <v>2863</v>
      </c>
      <c r="B1787">
        <v>2327</v>
      </c>
      <c r="C1787" t="s">
        <v>1220</v>
      </c>
      <c r="D1787" t="s">
        <v>457</v>
      </c>
      <c r="E1787" t="s">
        <v>629</v>
      </c>
      <c r="F1787" t="s">
        <v>672</v>
      </c>
      <c r="G1787" t="s">
        <v>1004</v>
      </c>
      <c r="O1787">
        <v>72</v>
      </c>
      <c r="P1787">
        <v>227</v>
      </c>
      <c r="Q1787">
        <v>544</v>
      </c>
      <c r="R1787">
        <v>436</v>
      </c>
      <c r="S1787">
        <v>424</v>
      </c>
      <c r="T1787">
        <v>287</v>
      </c>
      <c r="U1787">
        <v>235</v>
      </c>
      <c r="W1787">
        <v>102</v>
      </c>
      <c r="CH1787" t="str">
        <f t="shared" si="27"/>
        <v>JV1-0695-3</v>
      </c>
      <c r="CI1787" s="1" t="s">
        <v>102</v>
      </c>
    </row>
    <row r="1788" spans="1:87">
      <c r="A1788" t="s">
        <v>2864</v>
      </c>
      <c r="B1788">
        <v>347</v>
      </c>
      <c r="C1788" t="s">
        <v>1168</v>
      </c>
      <c r="D1788" t="s">
        <v>457</v>
      </c>
      <c r="E1788" t="s">
        <v>629</v>
      </c>
      <c r="F1788" t="s">
        <v>672</v>
      </c>
      <c r="G1788" t="s">
        <v>673</v>
      </c>
      <c r="N1788">
        <v>12</v>
      </c>
      <c r="O1788">
        <v>18</v>
      </c>
      <c r="P1788">
        <v>18</v>
      </c>
      <c r="Q1788">
        <v>30</v>
      </c>
      <c r="R1788">
        <v>30</v>
      </c>
      <c r="S1788">
        <v>36</v>
      </c>
      <c r="T1788">
        <v>24</v>
      </c>
      <c r="U1788">
        <v>18</v>
      </c>
      <c r="V1788">
        <v>23</v>
      </c>
      <c r="W1788">
        <v>18</v>
      </c>
      <c r="X1788">
        <v>18</v>
      </c>
      <c r="Y1788">
        <v>18</v>
      </c>
      <c r="Z1788">
        <v>18</v>
      </c>
      <c r="AA1788">
        <v>24</v>
      </c>
      <c r="AB1788">
        <v>12</v>
      </c>
      <c r="AC1788">
        <v>6</v>
      </c>
      <c r="AD1788">
        <v>6</v>
      </c>
      <c r="AF1788">
        <v>6</v>
      </c>
      <c r="AH1788">
        <v>6</v>
      </c>
      <c r="AJ1788">
        <v>6</v>
      </c>
      <c r="CH1788" t="str">
        <f t="shared" si="27"/>
        <v>JV1-0695-3</v>
      </c>
      <c r="CI1788" s="1" t="s">
        <v>102</v>
      </c>
    </row>
    <row r="1789" spans="1:87">
      <c r="A1789" t="s">
        <v>2865</v>
      </c>
      <c r="B1789">
        <v>1295</v>
      </c>
      <c r="C1789" t="s">
        <v>718</v>
      </c>
      <c r="D1789" t="s">
        <v>457</v>
      </c>
      <c r="E1789" t="s">
        <v>629</v>
      </c>
      <c r="F1789" t="s">
        <v>672</v>
      </c>
      <c r="G1789" t="s">
        <v>673</v>
      </c>
      <c r="V1789">
        <v>137</v>
      </c>
      <c r="W1789">
        <v>126</v>
      </c>
      <c r="X1789">
        <v>168</v>
      </c>
      <c r="Y1789">
        <v>144</v>
      </c>
      <c r="Z1789">
        <v>120</v>
      </c>
      <c r="AA1789">
        <v>138</v>
      </c>
      <c r="AB1789">
        <v>114</v>
      </c>
      <c r="AC1789">
        <v>108</v>
      </c>
      <c r="AD1789">
        <v>114</v>
      </c>
      <c r="AF1789">
        <v>126</v>
      </c>
      <c r="CH1789" t="str">
        <f t="shared" si="27"/>
        <v>JV1-0695-3</v>
      </c>
      <c r="CI1789" s="1" t="s">
        <v>102</v>
      </c>
    </row>
    <row r="1790" spans="1:87">
      <c r="A1790" t="s">
        <v>2866</v>
      </c>
      <c r="B1790">
        <v>1121</v>
      </c>
      <c r="C1790" t="s">
        <v>718</v>
      </c>
      <c r="D1790" t="s">
        <v>457</v>
      </c>
      <c r="E1790" t="s">
        <v>629</v>
      </c>
      <c r="F1790" t="s">
        <v>672</v>
      </c>
      <c r="G1790" t="s">
        <v>673</v>
      </c>
      <c r="V1790">
        <v>131</v>
      </c>
      <c r="W1790">
        <v>102</v>
      </c>
      <c r="X1790">
        <v>108</v>
      </c>
      <c r="Y1790">
        <v>114</v>
      </c>
      <c r="Z1790">
        <v>126</v>
      </c>
      <c r="AA1790">
        <v>108</v>
      </c>
      <c r="AB1790">
        <v>114</v>
      </c>
      <c r="AC1790">
        <v>84</v>
      </c>
      <c r="AD1790">
        <v>114</v>
      </c>
      <c r="AF1790">
        <v>120</v>
      </c>
      <c r="CH1790" t="str">
        <f t="shared" si="27"/>
        <v>JV1-0695-3</v>
      </c>
      <c r="CI1790" s="1" t="s">
        <v>102</v>
      </c>
    </row>
    <row r="1791" spans="1:87">
      <c r="A1791" t="s">
        <v>2867</v>
      </c>
      <c r="B1791">
        <v>16</v>
      </c>
      <c r="C1791" t="s">
        <v>1220</v>
      </c>
      <c r="D1791" t="s">
        <v>457</v>
      </c>
      <c r="E1791" t="s">
        <v>629</v>
      </c>
      <c r="F1791" t="s">
        <v>672</v>
      </c>
      <c r="G1791" t="s">
        <v>1004</v>
      </c>
      <c r="W1791">
        <v>10</v>
      </c>
      <c r="AH1791">
        <v>6</v>
      </c>
      <c r="CH1791" t="str">
        <f t="shared" si="27"/>
        <v>JV1-0695-3</v>
      </c>
      <c r="CI1791" s="1" t="s">
        <v>102</v>
      </c>
    </row>
    <row r="1792" spans="1:87">
      <c r="A1792" t="s">
        <v>2868</v>
      </c>
      <c r="B1792">
        <v>653</v>
      </c>
      <c r="C1792" t="s">
        <v>1168</v>
      </c>
      <c r="D1792" t="s">
        <v>457</v>
      </c>
      <c r="E1792" t="s">
        <v>629</v>
      </c>
      <c r="F1792" t="s">
        <v>672</v>
      </c>
      <c r="G1792" t="s">
        <v>673</v>
      </c>
      <c r="P1792">
        <v>96</v>
      </c>
      <c r="Q1792">
        <v>228</v>
      </c>
      <c r="R1792">
        <v>108</v>
      </c>
      <c r="S1792">
        <v>221</v>
      </c>
      <c r="CH1792" t="str">
        <f t="shared" si="27"/>
        <v>JV1-0695-3</v>
      </c>
      <c r="CI1792" s="1" t="s">
        <v>102</v>
      </c>
    </row>
    <row r="1793" spans="1:87">
      <c r="A1793" t="s">
        <v>2869</v>
      </c>
      <c r="B1793">
        <v>1505</v>
      </c>
      <c r="C1793" t="s">
        <v>1167</v>
      </c>
      <c r="D1793" t="s">
        <v>457</v>
      </c>
      <c r="E1793" t="s">
        <v>629</v>
      </c>
      <c r="F1793" t="s">
        <v>672</v>
      </c>
      <c r="G1793" t="s">
        <v>686</v>
      </c>
      <c r="O1793">
        <v>125</v>
      </c>
      <c r="P1793">
        <v>250</v>
      </c>
      <c r="Q1793">
        <v>250</v>
      </c>
      <c r="R1793">
        <v>250</v>
      </c>
      <c r="S1793">
        <v>250</v>
      </c>
      <c r="T1793">
        <v>250</v>
      </c>
      <c r="U1793">
        <v>130</v>
      </c>
      <c r="CH1793" t="str">
        <f t="shared" si="27"/>
        <v>JV1-0695-3</v>
      </c>
      <c r="CI1793" s="1" t="s">
        <v>102</v>
      </c>
    </row>
    <row r="1794" spans="1:87">
      <c r="A1794" t="s">
        <v>2870</v>
      </c>
      <c r="B1794">
        <v>3365</v>
      </c>
      <c r="C1794" t="s">
        <v>1168</v>
      </c>
      <c r="D1794" t="s">
        <v>457</v>
      </c>
      <c r="E1794" t="s">
        <v>629</v>
      </c>
      <c r="F1794" t="s">
        <v>672</v>
      </c>
      <c r="G1794" t="s">
        <v>673</v>
      </c>
      <c r="O1794">
        <v>280</v>
      </c>
      <c r="P1794">
        <v>560</v>
      </c>
      <c r="Q1794">
        <v>560</v>
      </c>
      <c r="R1794">
        <v>560</v>
      </c>
      <c r="S1794">
        <v>560</v>
      </c>
      <c r="T1794">
        <v>560</v>
      </c>
      <c r="U1794">
        <v>285</v>
      </c>
      <c r="CH1794" t="str">
        <f t="shared" ref="CH1794:CH1857" si="28">TRIM(IFERROR(IFERROR(MID($D1794,FIND("(D-",$D1794)+1,6),LEFT($D1794,FIND("(",$D1794)-1)),$D1794))</f>
        <v>JV1-0695-3</v>
      </c>
      <c r="CI1794" s="1" t="s">
        <v>102</v>
      </c>
    </row>
    <row r="1795" spans="1:87">
      <c r="A1795" t="s">
        <v>2871</v>
      </c>
      <c r="B1795">
        <v>2009</v>
      </c>
      <c r="C1795" t="s">
        <v>1168</v>
      </c>
      <c r="D1795" t="s">
        <v>457</v>
      </c>
      <c r="E1795" t="s">
        <v>629</v>
      </c>
      <c r="F1795" t="s">
        <v>672</v>
      </c>
      <c r="G1795" t="s">
        <v>673</v>
      </c>
      <c r="V1795">
        <v>172</v>
      </c>
      <c r="W1795">
        <v>167</v>
      </c>
      <c r="X1795">
        <v>334</v>
      </c>
      <c r="Y1795">
        <v>334</v>
      </c>
      <c r="Z1795">
        <v>334</v>
      </c>
      <c r="AA1795">
        <v>167</v>
      </c>
      <c r="AB1795">
        <v>167</v>
      </c>
      <c r="AD1795">
        <v>167</v>
      </c>
      <c r="AF1795">
        <v>167</v>
      </c>
      <c r="CH1795" t="str">
        <f t="shared" si="28"/>
        <v>JV1-0695-3</v>
      </c>
      <c r="CI1795" s="1" t="s">
        <v>102</v>
      </c>
    </row>
    <row r="1796" spans="1:87">
      <c r="A1796" t="s">
        <v>2872</v>
      </c>
      <c r="B1796">
        <v>929</v>
      </c>
      <c r="C1796" t="s">
        <v>1167</v>
      </c>
      <c r="D1796" t="s">
        <v>457</v>
      </c>
      <c r="E1796" t="s">
        <v>629</v>
      </c>
      <c r="F1796" t="s">
        <v>672</v>
      </c>
      <c r="G1796" t="s">
        <v>686</v>
      </c>
      <c r="V1796">
        <v>82</v>
      </c>
      <c r="W1796">
        <v>77</v>
      </c>
      <c r="X1796">
        <v>154</v>
      </c>
      <c r="Y1796">
        <v>154</v>
      </c>
      <c r="Z1796">
        <v>154</v>
      </c>
      <c r="AA1796">
        <v>77</v>
      </c>
      <c r="AB1796">
        <v>77</v>
      </c>
      <c r="AD1796">
        <v>77</v>
      </c>
      <c r="AF1796">
        <v>77</v>
      </c>
      <c r="CH1796" t="str">
        <f t="shared" si="28"/>
        <v>JV1-0695-3</v>
      </c>
      <c r="CI1796" s="1" t="s">
        <v>102</v>
      </c>
    </row>
    <row r="1797" spans="1:87">
      <c r="A1797" t="s">
        <v>2873</v>
      </c>
      <c r="B1797">
        <v>3485</v>
      </c>
      <c r="C1797" t="s">
        <v>1167</v>
      </c>
      <c r="D1797" t="s">
        <v>457</v>
      </c>
      <c r="E1797" t="s">
        <v>629</v>
      </c>
      <c r="F1797" t="s">
        <v>672</v>
      </c>
      <c r="G1797" t="s">
        <v>686</v>
      </c>
      <c r="V1797">
        <v>295</v>
      </c>
      <c r="W1797">
        <v>290</v>
      </c>
      <c r="X1797">
        <v>290</v>
      </c>
      <c r="Y1797">
        <v>290</v>
      </c>
      <c r="Z1797">
        <v>580</v>
      </c>
      <c r="AA1797">
        <v>580</v>
      </c>
      <c r="AB1797">
        <v>580</v>
      </c>
      <c r="AD1797">
        <v>290</v>
      </c>
      <c r="AF1797">
        <v>290</v>
      </c>
      <c r="CH1797" t="str">
        <f t="shared" si="28"/>
        <v>JV1-0695-3</v>
      </c>
      <c r="CI1797" s="1" t="s">
        <v>102</v>
      </c>
    </row>
    <row r="1798" spans="1:87">
      <c r="A1798" t="s">
        <v>2874</v>
      </c>
      <c r="B1798">
        <v>605</v>
      </c>
      <c r="C1798" t="s">
        <v>1167</v>
      </c>
      <c r="D1798" t="s">
        <v>457</v>
      </c>
      <c r="E1798" t="s">
        <v>629</v>
      </c>
      <c r="F1798" t="s">
        <v>672</v>
      </c>
      <c r="G1798" t="s">
        <v>686</v>
      </c>
      <c r="V1798">
        <v>89</v>
      </c>
      <c r="W1798">
        <v>84</v>
      </c>
      <c r="X1798">
        <v>96</v>
      </c>
      <c r="Y1798">
        <v>96</v>
      </c>
      <c r="AA1798">
        <v>120</v>
      </c>
      <c r="AB1798">
        <v>120</v>
      </c>
      <c r="CH1798" t="str">
        <f t="shared" si="28"/>
        <v>JV1-0695-3</v>
      </c>
      <c r="CI1798" s="1" t="s">
        <v>102</v>
      </c>
    </row>
    <row r="1799" spans="1:87">
      <c r="A1799" t="s">
        <v>2875</v>
      </c>
      <c r="B1799">
        <v>2009</v>
      </c>
      <c r="C1799" t="s">
        <v>1167</v>
      </c>
      <c r="D1799" t="s">
        <v>457</v>
      </c>
      <c r="E1799" t="s">
        <v>629</v>
      </c>
      <c r="F1799" t="s">
        <v>672</v>
      </c>
      <c r="G1799" t="s">
        <v>686</v>
      </c>
      <c r="O1799">
        <v>156</v>
      </c>
      <c r="P1799">
        <v>144</v>
      </c>
      <c r="Q1799">
        <v>276</v>
      </c>
      <c r="R1799">
        <v>324</v>
      </c>
      <c r="S1799">
        <v>312</v>
      </c>
      <c r="T1799">
        <v>324</v>
      </c>
      <c r="U1799">
        <v>240</v>
      </c>
      <c r="V1799">
        <v>107</v>
      </c>
      <c r="W1799">
        <v>90</v>
      </c>
      <c r="Y1799">
        <v>36</v>
      </c>
      <c r="CH1799" t="str">
        <f t="shared" si="28"/>
        <v>JV1-0695-3</v>
      </c>
      <c r="CI1799" s="1" t="s">
        <v>102</v>
      </c>
    </row>
    <row r="1800" spans="1:87">
      <c r="A1800" t="s">
        <v>2876</v>
      </c>
      <c r="B1800">
        <v>1457</v>
      </c>
      <c r="C1800" t="s">
        <v>1167</v>
      </c>
      <c r="D1800" t="s">
        <v>457</v>
      </c>
      <c r="E1800" t="s">
        <v>629</v>
      </c>
      <c r="F1800" t="s">
        <v>672</v>
      </c>
      <c r="G1800" t="s">
        <v>686</v>
      </c>
      <c r="W1800">
        <v>247</v>
      </c>
      <c r="X1800">
        <v>242</v>
      </c>
      <c r="Y1800">
        <v>242</v>
      </c>
      <c r="Z1800">
        <v>242</v>
      </c>
      <c r="AA1800">
        <v>242</v>
      </c>
      <c r="AB1800">
        <v>242</v>
      </c>
      <c r="CH1800" t="str">
        <f t="shared" si="28"/>
        <v>JV1-0695-3</v>
      </c>
      <c r="CI1800" s="1" t="s">
        <v>102</v>
      </c>
    </row>
    <row r="1801" spans="1:87">
      <c r="A1801" t="s">
        <v>2877</v>
      </c>
      <c r="B1801">
        <v>1991</v>
      </c>
      <c r="C1801" t="s">
        <v>1167</v>
      </c>
      <c r="D1801" t="s">
        <v>457</v>
      </c>
      <c r="E1801" t="s">
        <v>629</v>
      </c>
      <c r="F1801" t="s">
        <v>672</v>
      </c>
      <c r="G1801" t="s">
        <v>686</v>
      </c>
      <c r="V1801">
        <v>257</v>
      </c>
      <c r="W1801">
        <v>150</v>
      </c>
      <c r="X1801">
        <v>228</v>
      </c>
      <c r="Y1801">
        <v>192</v>
      </c>
      <c r="Z1801">
        <v>240</v>
      </c>
      <c r="AA1801">
        <v>216</v>
      </c>
      <c r="AB1801">
        <v>168</v>
      </c>
      <c r="AC1801">
        <v>198</v>
      </c>
      <c r="AD1801">
        <v>234</v>
      </c>
      <c r="AF1801">
        <v>96</v>
      </c>
      <c r="AH1801">
        <v>12</v>
      </c>
      <c r="CH1801" t="str">
        <f t="shared" si="28"/>
        <v>JV1-0695-3</v>
      </c>
      <c r="CI1801" s="1" t="s">
        <v>102</v>
      </c>
    </row>
    <row r="1802" spans="1:87">
      <c r="A1802" t="s">
        <v>2878</v>
      </c>
      <c r="B1802">
        <v>569</v>
      </c>
      <c r="C1802" t="s">
        <v>1167</v>
      </c>
      <c r="D1802" t="s">
        <v>457</v>
      </c>
      <c r="E1802" t="s">
        <v>629</v>
      </c>
      <c r="F1802" t="s">
        <v>672</v>
      </c>
      <c r="G1802" t="s">
        <v>686</v>
      </c>
      <c r="V1802">
        <v>89</v>
      </c>
      <c r="W1802">
        <v>42</v>
      </c>
      <c r="X1802">
        <v>78</v>
      </c>
      <c r="Y1802">
        <v>48</v>
      </c>
      <c r="Z1802">
        <v>66</v>
      </c>
      <c r="AA1802">
        <v>54</v>
      </c>
      <c r="AB1802">
        <v>42</v>
      </c>
      <c r="AC1802">
        <v>66</v>
      </c>
      <c r="AD1802">
        <v>60</v>
      </c>
      <c r="AF1802">
        <v>24</v>
      </c>
      <c r="CH1802" t="str">
        <f t="shared" si="28"/>
        <v>JV1-0695-3</v>
      </c>
      <c r="CI1802" s="1" t="s">
        <v>102</v>
      </c>
    </row>
    <row r="1803" spans="1:87">
      <c r="A1803" t="s">
        <v>2879</v>
      </c>
      <c r="B1803">
        <v>1799</v>
      </c>
      <c r="C1803" t="s">
        <v>718</v>
      </c>
      <c r="D1803" t="s">
        <v>457</v>
      </c>
      <c r="E1803" t="s">
        <v>629</v>
      </c>
      <c r="F1803" t="s">
        <v>672</v>
      </c>
      <c r="G1803" t="s">
        <v>673</v>
      </c>
      <c r="V1803">
        <v>209</v>
      </c>
      <c r="W1803">
        <v>180</v>
      </c>
      <c r="X1803">
        <v>216</v>
      </c>
      <c r="Y1803">
        <v>186</v>
      </c>
      <c r="Z1803">
        <v>186</v>
      </c>
      <c r="AA1803">
        <v>174</v>
      </c>
      <c r="AB1803">
        <v>174</v>
      </c>
      <c r="AC1803">
        <v>144</v>
      </c>
      <c r="AD1803">
        <v>162</v>
      </c>
      <c r="AF1803">
        <v>168</v>
      </c>
      <c r="CH1803" t="str">
        <f t="shared" si="28"/>
        <v>JV1-0695-3</v>
      </c>
      <c r="CI1803" s="1" t="s">
        <v>102</v>
      </c>
    </row>
    <row r="1804" spans="1:87">
      <c r="A1804" t="s">
        <v>2880</v>
      </c>
      <c r="B1804">
        <v>545</v>
      </c>
      <c r="C1804" t="s">
        <v>1167</v>
      </c>
      <c r="D1804" t="s">
        <v>457</v>
      </c>
      <c r="E1804" t="s">
        <v>629</v>
      </c>
      <c r="F1804" t="s">
        <v>672</v>
      </c>
      <c r="G1804" t="s">
        <v>686</v>
      </c>
      <c r="Q1804">
        <v>90</v>
      </c>
      <c r="R1804">
        <v>180</v>
      </c>
      <c r="S1804">
        <v>185</v>
      </c>
      <c r="T1804">
        <v>90</v>
      </c>
      <c r="CH1804" t="str">
        <f t="shared" si="28"/>
        <v>JV1-0695-3</v>
      </c>
      <c r="CI1804" s="1" t="s">
        <v>102</v>
      </c>
    </row>
    <row r="1805" spans="1:87">
      <c r="A1805" t="s">
        <v>3414</v>
      </c>
      <c r="B1805">
        <v>4343</v>
      </c>
      <c r="C1805" t="s">
        <v>3404</v>
      </c>
      <c r="D1805" t="s">
        <v>457</v>
      </c>
      <c r="E1805" t="s">
        <v>629</v>
      </c>
      <c r="F1805" t="s">
        <v>672</v>
      </c>
      <c r="G1805" t="s">
        <v>738</v>
      </c>
      <c r="O1805">
        <v>482</v>
      </c>
      <c r="P1805">
        <v>482</v>
      </c>
      <c r="Q1805">
        <v>482</v>
      </c>
      <c r="R1805">
        <v>482</v>
      </c>
      <c r="S1805">
        <v>964</v>
      </c>
      <c r="T1805">
        <v>482</v>
      </c>
      <c r="U1805">
        <v>482</v>
      </c>
      <c r="V1805">
        <v>487</v>
      </c>
      <c r="CH1805" t="str">
        <f t="shared" si="28"/>
        <v>JV1-0695-3</v>
      </c>
      <c r="CI1805" s="1" t="s">
        <v>102</v>
      </c>
    </row>
    <row r="1806" spans="1:87">
      <c r="A1806" t="s">
        <v>3415</v>
      </c>
      <c r="B1806">
        <v>914</v>
      </c>
      <c r="C1806" t="s">
        <v>3404</v>
      </c>
      <c r="D1806" t="s">
        <v>457</v>
      </c>
      <c r="E1806" t="s">
        <v>629</v>
      </c>
      <c r="F1806" t="s">
        <v>672</v>
      </c>
      <c r="G1806" t="s">
        <v>738</v>
      </c>
      <c r="O1806">
        <v>101</v>
      </c>
      <c r="P1806">
        <v>101</v>
      </c>
      <c r="Q1806">
        <v>101</v>
      </c>
      <c r="R1806">
        <v>101</v>
      </c>
      <c r="S1806">
        <v>202</v>
      </c>
      <c r="T1806">
        <v>101</v>
      </c>
      <c r="U1806">
        <v>101</v>
      </c>
      <c r="V1806">
        <v>106</v>
      </c>
      <c r="CH1806" t="str">
        <f t="shared" si="28"/>
        <v>JV1-0695-3</v>
      </c>
      <c r="CI1806" s="1" t="s">
        <v>102</v>
      </c>
    </row>
    <row r="1807" spans="1:87">
      <c r="A1807" t="s">
        <v>3416</v>
      </c>
      <c r="B1807">
        <v>755</v>
      </c>
      <c r="C1807" t="s">
        <v>3404</v>
      </c>
      <c r="D1807" t="s">
        <v>457</v>
      </c>
      <c r="E1807" t="s">
        <v>629</v>
      </c>
      <c r="F1807" t="s">
        <v>672</v>
      </c>
      <c r="G1807" t="s">
        <v>738</v>
      </c>
      <c r="N1807">
        <v>24</v>
      </c>
      <c r="O1807">
        <v>6</v>
      </c>
      <c r="P1807">
        <v>54</v>
      </c>
      <c r="Q1807">
        <v>150</v>
      </c>
      <c r="R1807">
        <v>150</v>
      </c>
      <c r="S1807">
        <v>90</v>
      </c>
      <c r="T1807">
        <v>138</v>
      </c>
      <c r="U1807">
        <v>48</v>
      </c>
      <c r="V1807">
        <v>11</v>
      </c>
      <c r="W1807">
        <v>72</v>
      </c>
      <c r="X1807">
        <v>6</v>
      </c>
      <c r="Y1807">
        <v>6</v>
      </c>
      <c r="CH1807" t="str">
        <f t="shared" si="28"/>
        <v>JV1-0695-3</v>
      </c>
      <c r="CI1807" s="1" t="s">
        <v>102</v>
      </c>
    </row>
    <row r="1808" spans="1:87">
      <c r="A1808" t="s">
        <v>3417</v>
      </c>
      <c r="B1808">
        <v>4013</v>
      </c>
      <c r="C1808" t="s">
        <v>3404</v>
      </c>
      <c r="D1808" t="s">
        <v>457</v>
      </c>
      <c r="E1808" t="s">
        <v>629</v>
      </c>
      <c r="F1808" t="s">
        <v>672</v>
      </c>
      <c r="G1808" t="s">
        <v>738</v>
      </c>
      <c r="N1808">
        <v>78</v>
      </c>
      <c r="O1808">
        <v>114</v>
      </c>
      <c r="P1808">
        <v>210</v>
      </c>
      <c r="Q1808">
        <v>666</v>
      </c>
      <c r="R1808">
        <v>738</v>
      </c>
      <c r="S1808">
        <v>432</v>
      </c>
      <c r="T1808">
        <v>762</v>
      </c>
      <c r="U1808">
        <v>318</v>
      </c>
      <c r="V1808">
        <v>113</v>
      </c>
      <c r="W1808">
        <v>378</v>
      </c>
      <c r="X1808">
        <v>126</v>
      </c>
      <c r="Y1808">
        <v>54</v>
      </c>
      <c r="Z1808">
        <v>6</v>
      </c>
      <c r="AA1808">
        <v>18</v>
      </c>
      <c r="CH1808" t="str">
        <f t="shared" si="28"/>
        <v>JV1-0695-3</v>
      </c>
      <c r="CI1808" s="1" t="s">
        <v>102</v>
      </c>
    </row>
    <row r="1809" spans="1:87">
      <c r="A1809" t="s">
        <v>2881</v>
      </c>
      <c r="B1809">
        <v>1865</v>
      </c>
      <c r="C1809" t="s">
        <v>1167</v>
      </c>
      <c r="D1809" t="s">
        <v>457</v>
      </c>
      <c r="E1809" t="s">
        <v>629</v>
      </c>
      <c r="F1809" t="s">
        <v>672</v>
      </c>
      <c r="G1809" t="s">
        <v>686</v>
      </c>
      <c r="N1809">
        <v>24</v>
      </c>
      <c r="O1809">
        <v>180</v>
      </c>
      <c r="P1809">
        <v>264</v>
      </c>
      <c r="Q1809">
        <v>288</v>
      </c>
      <c r="R1809">
        <v>234</v>
      </c>
      <c r="S1809">
        <v>300</v>
      </c>
      <c r="T1809">
        <v>282</v>
      </c>
      <c r="U1809">
        <v>293</v>
      </c>
      <c r="CH1809" t="str">
        <f t="shared" si="28"/>
        <v>JV1-0695-3</v>
      </c>
      <c r="CI1809" s="1" t="s">
        <v>102</v>
      </c>
    </row>
    <row r="1810" spans="1:87">
      <c r="A1810" t="s">
        <v>2882</v>
      </c>
      <c r="B1810">
        <v>1355</v>
      </c>
      <c r="C1810" t="s">
        <v>1168</v>
      </c>
      <c r="D1810" t="s">
        <v>457</v>
      </c>
      <c r="E1810" t="s">
        <v>629</v>
      </c>
      <c r="F1810" t="s">
        <v>672</v>
      </c>
      <c r="G1810" t="s">
        <v>673</v>
      </c>
      <c r="O1810">
        <v>150</v>
      </c>
      <c r="P1810">
        <v>150</v>
      </c>
      <c r="Q1810">
        <v>150</v>
      </c>
      <c r="R1810">
        <v>150</v>
      </c>
      <c r="S1810">
        <v>150</v>
      </c>
      <c r="T1810">
        <v>150</v>
      </c>
      <c r="U1810">
        <v>150</v>
      </c>
      <c r="V1810">
        <v>155</v>
      </c>
      <c r="W1810">
        <v>150</v>
      </c>
      <c r="CH1810" t="str">
        <f t="shared" si="28"/>
        <v>JV1-0695-3</v>
      </c>
      <c r="CI1810" s="1" t="s">
        <v>102</v>
      </c>
    </row>
    <row r="1811" spans="1:87">
      <c r="A1811" t="s">
        <v>2883</v>
      </c>
      <c r="B1811">
        <v>1193</v>
      </c>
      <c r="C1811" t="s">
        <v>1168</v>
      </c>
      <c r="D1811" t="s">
        <v>457</v>
      </c>
      <c r="E1811" t="s">
        <v>629</v>
      </c>
      <c r="F1811" t="s">
        <v>672</v>
      </c>
      <c r="G1811" t="s">
        <v>673</v>
      </c>
      <c r="O1811">
        <v>90</v>
      </c>
      <c r="P1811">
        <v>90</v>
      </c>
      <c r="Q1811">
        <v>192</v>
      </c>
      <c r="R1811">
        <v>162</v>
      </c>
      <c r="S1811">
        <v>222</v>
      </c>
      <c r="T1811">
        <v>204</v>
      </c>
      <c r="U1811">
        <v>96</v>
      </c>
      <c r="V1811">
        <v>77</v>
      </c>
      <c r="W1811">
        <v>60</v>
      </c>
      <c r="CH1811" t="str">
        <f t="shared" si="28"/>
        <v>JV1-0695-3</v>
      </c>
      <c r="CI1811" s="1" t="s">
        <v>102</v>
      </c>
    </row>
    <row r="1812" spans="1:87">
      <c r="A1812" t="s">
        <v>2884</v>
      </c>
      <c r="B1812">
        <v>851</v>
      </c>
      <c r="C1812" t="s">
        <v>1168</v>
      </c>
      <c r="D1812" t="s">
        <v>457</v>
      </c>
      <c r="E1812" t="s">
        <v>629</v>
      </c>
      <c r="F1812" t="s">
        <v>672</v>
      </c>
      <c r="G1812" t="s">
        <v>673</v>
      </c>
      <c r="O1812">
        <v>60</v>
      </c>
      <c r="P1812">
        <v>72</v>
      </c>
      <c r="Q1812">
        <v>156</v>
      </c>
      <c r="R1812">
        <v>126</v>
      </c>
      <c r="S1812">
        <v>162</v>
      </c>
      <c r="T1812">
        <v>114</v>
      </c>
      <c r="U1812">
        <v>78</v>
      </c>
      <c r="V1812">
        <v>47</v>
      </c>
      <c r="W1812">
        <v>36</v>
      </c>
      <c r="CH1812" t="str">
        <f t="shared" si="28"/>
        <v>JV1-0695-3</v>
      </c>
      <c r="CI1812" s="1" t="s">
        <v>102</v>
      </c>
    </row>
    <row r="1813" spans="1:87">
      <c r="A1813" t="s">
        <v>2885</v>
      </c>
      <c r="B1813">
        <v>995</v>
      </c>
      <c r="C1813" t="s">
        <v>1168</v>
      </c>
      <c r="D1813" t="s">
        <v>457</v>
      </c>
      <c r="E1813" t="s">
        <v>629</v>
      </c>
      <c r="F1813" t="s">
        <v>672</v>
      </c>
      <c r="G1813" t="s">
        <v>673</v>
      </c>
      <c r="O1813">
        <v>110</v>
      </c>
      <c r="P1813">
        <v>110</v>
      </c>
      <c r="Q1813">
        <v>110</v>
      </c>
      <c r="R1813">
        <v>110</v>
      </c>
      <c r="S1813">
        <v>110</v>
      </c>
      <c r="T1813">
        <v>110</v>
      </c>
      <c r="U1813">
        <v>110</v>
      </c>
      <c r="V1813">
        <v>115</v>
      </c>
      <c r="W1813">
        <v>110</v>
      </c>
      <c r="CH1813" t="str">
        <f t="shared" si="28"/>
        <v>JV1-0695-3</v>
      </c>
      <c r="CI1813" s="1" t="s">
        <v>102</v>
      </c>
    </row>
    <row r="1814" spans="1:87">
      <c r="A1814" t="s">
        <v>2888</v>
      </c>
      <c r="B1814">
        <v>4412</v>
      </c>
      <c r="C1814" t="s">
        <v>2889</v>
      </c>
      <c r="D1814" t="s">
        <v>2890</v>
      </c>
      <c r="E1814" t="s">
        <v>629</v>
      </c>
      <c r="F1814" t="s">
        <v>2891</v>
      </c>
      <c r="G1814" t="s">
        <v>2892</v>
      </c>
      <c r="N1814">
        <v>4</v>
      </c>
      <c r="O1814">
        <v>6</v>
      </c>
      <c r="P1814">
        <v>70</v>
      </c>
      <c r="Q1814">
        <v>104</v>
      </c>
      <c r="R1814">
        <v>231</v>
      </c>
      <c r="S1814">
        <v>367</v>
      </c>
      <c r="T1814">
        <v>240</v>
      </c>
      <c r="U1814">
        <v>415</v>
      </c>
      <c r="V1814">
        <v>382</v>
      </c>
      <c r="W1814">
        <v>838</v>
      </c>
      <c r="X1814">
        <v>791</v>
      </c>
      <c r="Y1814">
        <v>205</v>
      </c>
      <c r="Z1814">
        <v>526</v>
      </c>
      <c r="AA1814">
        <v>112</v>
      </c>
      <c r="AB1814">
        <v>121</v>
      </c>
      <c r="CH1814" t="str">
        <f t="shared" si="28"/>
        <v>TNF-06-10</v>
      </c>
      <c r="CI1814" s="1" t="s">
        <v>102</v>
      </c>
    </row>
    <row r="1815" spans="1:87">
      <c r="A1815" t="s">
        <v>2893</v>
      </c>
      <c r="B1815">
        <v>1772</v>
      </c>
      <c r="C1815" t="s">
        <v>2894</v>
      </c>
      <c r="D1815" t="s">
        <v>2890</v>
      </c>
      <c r="E1815" t="s">
        <v>629</v>
      </c>
      <c r="F1815" t="s">
        <v>2891</v>
      </c>
      <c r="G1815" t="s">
        <v>2895</v>
      </c>
      <c r="N1815">
        <v>4</v>
      </c>
      <c r="O1815">
        <v>2</v>
      </c>
      <c r="P1815">
        <v>44</v>
      </c>
      <c r="Q1815">
        <v>65</v>
      </c>
      <c r="R1815">
        <v>89</v>
      </c>
      <c r="S1815">
        <v>129</v>
      </c>
      <c r="T1815">
        <v>116</v>
      </c>
      <c r="U1815">
        <v>144</v>
      </c>
      <c r="V1815">
        <v>173</v>
      </c>
      <c r="W1815">
        <v>315</v>
      </c>
      <c r="X1815">
        <v>298</v>
      </c>
      <c r="Y1815">
        <v>89</v>
      </c>
      <c r="Z1815">
        <v>213</v>
      </c>
      <c r="AA1815">
        <v>40</v>
      </c>
      <c r="AB1815">
        <v>51</v>
      </c>
      <c r="CH1815" t="str">
        <f t="shared" si="28"/>
        <v>TNF-06-10</v>
      </c>
      <c r="CI1815" s="1" t="s">
        <v>102</v>
      </c>
    </row>
    <row r="1816" spans="1:87">
      <c r="A1816" t="s">
        <v>2896</v>
      </c>
      <c r="B1816">
        <v>2153</v>
      </c>
      <c r="C1816" t="s">
        <v>2889</v>
      </c>
      <c r="D1816" t="s">
        <v>2890</v>
      </c>
      <c r="E1816" t="s">
        <v>629</v>
      </c>
      <c r="F1816" t="s">
        <v>2891</v>
      </c>
      <c r="G1816" t="s">
        <v>2892</v>
      </c>
      <c r="N1816">
        <v>17</v>
      </c>
      <c r="P1816">
        <v>56</v>
      </c>
      <c r="Q1816">
        <v>67</v>
      </c>
      <c r="R1816">
        <v>88</v>
      </c>
      <c r="S1816">
        <v>181</v>
      </c>
      <c r="T1816">
        <v>210</v>
      </c>
      <c r="U1816">
        <v>140</v>
      </c>
      <c r="V1816">
        <v>279</v>
      </c>
      <c r="W1816">
        <v>446</v>
      </c>
      <c r="X1816">
        <v>248</v>
      </c>
      <c r="Y1816">
        <v>149</v>
      </c>
      <c r="Z1816">
        <v>179</v>
      </c>
      <c r="AA1816">
        <v>43</v>
      </c>
      <c r="AB1816">
        <v>50</v>
      </c>
      <c r="CH1816" t="str">
        <f t="shared" si="28"/>
        <v>TNF-06-10</v>
      </c>
      <c r="CI1816" s="1" t="s">
        <v>102</v>
      </c>
    </row>
    <row r="1817" spans="1:87">
      <c r="A1817" t="s">
        <v>2897</v>
      </c>
      <c r="B1817">
        <v>766</v>
      </c>
      <c r="C1817" t="s">
        <v>2894</v>
      </c>
      <c r="D1817" t="s">
        <v>2890</v>
      </c>
      <c r="E1817" t="s">
        <v>629</v>
      </c>
      <c r="F1817" t="s">
        <v>2891</v>
      </c>
      <c r="G1817" t="s">
        <v>2895</v>
      </c>
      <c r="N1817">
        <v>13</v>
      </c>
      <c r="P1817">
        <v>50</v>
      </c>
      <c r="Q1817">
        <v>57</v>
      </c>
      <c r="R1817">
        <v>34</v>
      </c>
      <c r="S1817">
        <v>97</v>
      </c>
      <c r="T1817">
        <v>98</v>
      </c>
      <c r="U1817">
        <v>48</v>
      </c>
      <c r="V1817">
        <v>142</v>
      </c>
      <c r="W1817">
        <v>63</v>
      </c>
      <c r="X1817">
        <v>62</v>
      </c>
      <c r="Y1817">
        <v>45</v>
      </c>
      <c r="Z1817">
        <v>33</v>
      </c>
      <c r="AA1817">
        <v>3</v>
      </c>
      <c r="AB1817">
        <v>21</v>
      </c>
      <c r="CH1817" t="str">
        <f t="shared" si="28"/>
        <v>TNF-06-10</v>
      </c>
      <c r="CI1817" s="1" t="s">
        <v>102</v>
      </c>
    </row>
    <row r="1818" spans="1:87">
      <c r="A1818" t="s">
        <v>2898</v>
      </c>
      <c r="B1818">
        <v>330</v>
      </c>
      <c r="C1818" t="s">
        <v>2889</v>
      </c>
      <c r="D1818" t="s">
        <v>2890</v>
      </c>
      <c r="E1818" t="s">
        <v>629</v>
      </c>
      <c r="F1818" t="s">
        <v>2891</v>
      </c>
      <c r="G1818" t="s">
        <v>2892</v>
      </c>
      <c r="P1818">
        <v>4</v>
      </c>
      <c r="Q1818">
        <v>5</v>
      </c>
      <c r="R1818">
        <v>15</v>
      </c>
      <c r="S1818">
        <v>24</v>
      </c>
      <c r="T1818">
        <v>19</v>
      </c>
      <c r="U1818">
        <v>32</v>
      </c>
      <c r="V1818">
        <v>42</v>
      </c>
      <c r="W1818">
        <v>76</v>
      </c>
      <c r="X1818">
        <v>44</v>
      </c>
      <c r="Y1818">
        <v>31</v>
      </c>
      <c r="Z1818">
        <v>26</v>
      </c>
      <c r="AA1818">
        <v>8</v>
      </c>
      <c r="AB1818">
        <v>4</v>
      </c>
      <c r="CH1818" t="str">
        <f t="shared" si="28"/>
        <v>TNF-06-10</v>
      </c>
      <c r="CI1818" s="1" t="s">
        <v>102</v>
      </c>
    </row>
    <row r="1819" spans="1:87">
      <c r="A1819" t="s">
        <v>2899</v>
      </c>
      <c r="B1819">
        <v>200</v>
      </c>
      <c r="C1819" t="s">
        <v>2894</v>
      </c>
      <c r="D1819" t="s">
        <v>2890</v>
      </c>
      <c r="E1819" t="s">
        <v>629</v>
      </c>
      <c r="F1819" t="s">
        <v>2891</v>
      </c>
      <c r="G1819" t="s">
        <v>2895</v>
      </c>
      <c r="T1819">
        <v>7</v>
      </c>
      <c r="V1819">
        <v>49</v>
      </c>
      <c r="W1819">
        <v>72</v>
      </c>
      <c r="Y1819">
        <v>61</v>
      </c>
      <c r="Z1819">
        <v>11</v>
      </c>
      <c r="CH1819" t="str">
        <f t="shared" si="28"/>
        <v>TNF-06-10</v>
      </c>
      <c r="CI1819" s="1" t="s">
        <v>102</v>
      </c>
    </row>
    <row r="1820" spans="1:87">
      <c r="A1820" t="s">
        <v>2900</v>
      </c>
      <c r="B1820">
        <v>2</v>
      </c>
      <c r="C1820" t="s">
        <v>2889</v>
      </c>
      <c r="D1820" t="s">
        <v>2890</v>
      </c>
      <c r="E1820" t="s">
        <v>629</v>
      </c>
      <c r="F1820" t="s">
        <v>2891</v>
      </c>
      <c r="G1820" t="s">
        <v>2892</v>
      </c>
      <c r="X1820">
        <v>1</v>
      </c>
      <c r="AC1820">
        <v>1</v>
      </c>
      <c r="CH1820" t="str">
        <f t="shared" si="28"/>
        <v>TNF-06-10</v>
      </c>
      <c r="CI1820" s="1" t="s">
        <v>102</v>
      </c>
    </row>
    <row r="1821" spans="1:87">
      <c r="A1821" t="s">
        <v>2901</v>
      </c>
      <c r="B1821">
        <v>2</v>
      </c>
      <c r="C1821" t="s">
        <v>2894</v>
      </c>
      <c r="D1821" t="s">
        <v>2890</v>
      </c>
      <c r="E1821" t="s">
        <v>629</v>
      </c>
      <c r="F1821" t="s">
        <v>2891</v>
      </c>
      <c r="G1821" t="s">
        <v>2895</v>
      </c>
      <c r="X1821">
        <v>1</v>
      </c>
      <c r="AC1821">
        <v>1</v>
      </c>
      <c r="CH1821" t="str">
        <f t="shared" si="28"/>
        <v>TNF-06-10</v>
      </c>
      <c r="CI1821" s="1" t="s">
        <v>102</v>
      </c>
    </row>
    <row r="1822" spans="1:87">
      <c r="A1822" t="s">
        <v>2902</v>
      </c>
      <c r="B1822">
        <v>57</v>
      </c>
      <c r="C1822" t="s">
        <v>2889</v>
      </c>
      <c r="D1822" t="s">
        <v>2890</v>
      </c>
      <c r="E1822" t="s">
        <v>629</v>
      </c>
      <c r="F1822" t="s">
        <v>2891</v>
      </c>
      <c r="G1822" t="s">
        <v>2892</v>
      </c>
      <c r="N1822">
        <v>2</v>
      </c>
      <c r="P1822">
        <v>2</v>
      </c>
      <c r="Q1822">
        <v>2</v>
      </c>
      <c r="S1822">
        <v>2</v>
      </c>
      <c r="T1822">
        <v>10</v>
      </c>
      <c r="V1822">
        <v>17</v>
      </c>
      <c r="W1822">
        <v>16</v>
      </c>
      <c r="Y1822">
        <v>6</v>
      </c>
      <c r="CH1822" t="str">
        <f t="shared" si="28"/>
        <v>TNF-06-10</v>
      </c>
      <c r="CI1822" s="1" t="s">
        <v>102</v>
      </c>
    </row>
    <row r="1823" spans="1:87">
      <c r="A1823" t="s">
        <v>2903</v>
      </c>
      <c r="B1823">
        <v>69</v>
      </c>
      <c r="C1823" t="s">
        <v>2894</v>
      </c>
      <c r="D1823" t="s">
        <v>2890</v>
      </c>
      <c r="E1823" t="s">
        <v>629</v>
      </c>
      <c r="F1823" t="s">
        <v>2891</v>
      </c>
      <c r="G1823" t="s">
        <v>2895</v>
      </c>
      <c r="N1823">
        <v>2</v>
      </c>
      <c r="P1823">
        <v>4</v>
      </c>
      <c r="Q1823">
        <v>4</v>
      </c>
      <c r="S1823">
        <v>4</v>
      </c>
      <c r="T1823">
        <v>12</v>
      </c>
      <c r="V1823">
        <v>19</v>
      </c>
      <c r="W1823">
        <v>18</v>
      </c>
      <c r="Y1823">
        <v>6</v>
      </c>
      <c r="CH1823" t="str">
        <f t="shared" si="28"/>
        <v>TNF-06-10</v>
      </c>
      <c r="CI1823" s="1" t="s">
        <v>102</v>
      </c>
    </row>
    <row r="1824" spans="1:87">
      <c r="A1824" t="s">
        <v>2904</v>
      </c>
      <c r="B1824">
        <v>300</v>
      </c>
      <c r="C1824" t="s">
        <v>2889</v>
      </c>
      <c r="D1824" t="s">
        <v>2890</v>
      </c>
      <c r="E1824" t="s">
        <v>629</v>
      </c>
      <c r="F1824" t="s">
        <v>2891</v>
      </c>
      <c r="G1824" t="s">
        <v>2892</v>
      </c>
      <c r="P1824">
        <v>24</v>
      </c>
      <c r="Q1824">
        <v>36</v>
      </c>
      <c r="S1824">
        <v>15</v>
      </c>
      <c r="T1824">
        <v>30</v>
      </c>
      <c r="V1824">
        <v>33</v>
      </c>
      <c r="W1824">
        <v>69</v>
      </c>
      <c r="Y1824">
        <v>63</v>
      </c>
      <c r="Z1824">
        <v>30</v>
      </c>
      <c r="CH1824" t="str">
        <f t="shared" si="28"/>
        <v>TNF-06-10</v>
      </c>
      <c r="CI1824" s="1" t="s">
        <v>102</v>
      </c>
    </row>
    <row r="1825" spans="1:87">
      <c r="A1825" t="s">
        <v>2905</v>
      </c>
      <c r="B1825">
        <v>240</v>
      </c>
      <c r="C1825" t="s">
        <v>2894</v>
      </c>
      <c r="D1825" t="s">
        <v>2890</v>
      </c>
      <c r="E1825" t="s">
        <v>629</v>
      </c>
      <c r="F1825" t="s">
        <v>2891</v>
      </c>
      <c r="G1825" t="s">
        <v>2895</v>
      </c>
      <c r="P1825">
        <v>19</v>
      </c>
      <c r="Q1825">
        <v>29</v>
      </c>
      <c r="S1825">
        <v>17</v>
      </c>
      <c r="T1825">
        <v>24</v>
      </c>
      <c r="V1825">
        <v>26</v>
      </c>
      <c r="W1825">
        <v>55</v>
      </c>
      <c r="Y1825">
        <v>50</v>
      </c>
      <c r="Z1825">
        <v>20</v>
      </c>
      <c r="CH1825" t="str">
        <f t="shared" si="28"/>
        <v>TNF-06-10</v>
      </c>
      <c r="CI1825" s="1" t="s">
        <v>102</v>
      </c>
    </row>
    <row r="1826" spans="1:87">
      <c r="A1826" t="s">
        <v>2906</v>
      </c>
      <c r="B1826">
        <v>800</v>
      </c>
      <c r="C1826" t="s">
        <v>2889</v>
      </c>
      <c r="D1826" t="s">
        <v>2890</v>
      </c>
      <c r="E1826" t="s">
        <v>629</v>
      </c>
      <c r="F1826" t="s">
        <v>2891</v>
      </c>
      <c r="G1826" t="s">
        <v>2892</v>
      </c>
      <c r="N1826">
        <v>40</v>
      </c>
      <c r="P1826">
        <v>48</v>
      </c>
      <c r="Q1826">
        <v>48</v>
      </c>
      <c r="R1826">
        <v>40</v>
      </c>
      <c r="S1826">
        <v>56</v>
      </c>
      <c r="T1826">
        <v>116</v>
      </c>
      <c r="U1826">
        <v>20</v>
      </c>
      <c r="V1826">
        <v>128</v>
      </c>
      <c r="W1826">
        <v>96</v>
      </c>
      <c r="X1826">
        <v>40</v>
      </c>
      <c r="Y1826">
        <v>56</v>
      </c>
      <c r="Z1826">
        <v>72</v>
      </c>
      <c r="AB1826">
        <v>40</v>
      </c>
      <c r="CH1826" t="str">
        <f t="shared" si="28"/>
        <v>TNF-06-10</v>
      </c>
      <c r="CI1826" s="1" t="s">
        <v>102</v>
      </c>
    </row>
    <row r="1827" spans="1:87">
      <c r="A1827" t="s">
        <v>2907</v>
      </c>
      <c r="B1827">
        <v>350</v>
      </c>
      <c r="C1827" t="s">
        <v>2894</v>
      </c>
      <c r="D1827" t="s">
        <v>2890</v>
      </c>
      <c r="E1827" t="s">
        <v>629</v>
      </c>
      <c r="F1827" t="s">
        <v>2891</v>
      </c>
      <c r="G1827" t="s">
        <v>2895</v>
      </c>
      <c r="N1827">
        <v>18</v>
      </c>
      <c r="P1827">
        <v>21</v>
      </c>
      <c r="Q1827">
        <v>21</v>
      </c>
      <c r="R1827">
        <v>18</v>
      </c>
      <c r="S1827">
        <v>25</v>
      </c>
      <c r="T1827">
        <v>51</v>
      </c>
      <c r="U1827">
        <v>9</v>
      </c>
      <c r="V1827">
        <v>56</v>
      </c>
      <c r="W1827">
        <v>42</v>
      </c>
      <c r="X1827">
        <v>18</v>
      </c>
      <c r="Y1827">
        <v>25</v>
      </c>
      <c r="Z1827">
        <v>32</v>
      </c>
      <c r="AB1827">
        <v>14</v>
      </c>
      <c r="CH1827" t="str">
        <f t="shared" si="28"/>
        <v>TNF-06-10</v>
      </c>
      <c r="CI1827" s="1" t="s">
        <v>102</v>
      </c>
    </row>
    <row r="1828" spans="1:87">
      <c r="A1828" t="s">
        <v>2908</v>
      </c>
      <c r="B1828">
        <v>454</v>
      </c>
      <c r="C1828" t="s">
        <v>2889</v>
      </c>
      <c r="D1828" t="s">
        <v>2890</v>
      </c>
      <c r="E1828" t="s">
        <v>629</v>
      </c>
      <c r="F1828" t="s">
        <v>2891</v>
      </c>
      <c r="G1828" t="s">
        <v>2892</v>
      </c>
      <c r="N1828">
        <v>6</v>
      </c>
      <c r="O1828">
        <v>6</v>
      </c>
      <c r="P1828">
        <v>15</v>
      </c>
      <c r="Q1828">
        <v>15</v>
      </c>
      <c r="R1828">
        <v>15</v>
      </c>
      <c r="S1828">
        <v>18</v>
      </c>
      <c r="T1828">
        <v>24</v>
      </c>
      <c r="U1828">
        <v>33</v>
      </c>
      <c r="V1828">
        <v>54</v>
      </c>
      <c r="W1828">
        <v>66</v>
      </c>
      <c r="X1828">
        <v>78</v>
      </c>
      <c r="Y1828">
        <v>51</v>
      </c>
      <c r="Z1828">
        <v>34</v>
      </c>
      <c r="AA1828">
        <v>16</v>
      </c>
      <c r="AB1828">
        <v>17</v>
      </c>
      <c r="AC1828">
        <v>3</v>
      </c>
      <c r="AD1828">
        <v>3</v>
      </c>
      <c r="CH1828" t="str">
        <f t="shared" si="28"/>
        <v>TNF-06-10</v>
      </c>
      <c r="CI1828" s="1" t="s">
        <v>102</v>
      </c>
    </row>
    <row r="1829" spans="1:87">
      <c r="A1829" t="s">
        <v>2909</v>
      </c>
      <c r="B1829">
        <v>50</v>
      </c>
      <c r="C1829" t="s">
        <v>2894</v>
      </c>
      <c r="D1829" t="s">
        <v>2890</v>
      </c>
      <c r="E1829" t="s">
        <v>629</v>
      </c>
      <c r="F1829" t="s">
        <v>2891</v>
      </c>
      <c r="G1829" t="s">
        <v>2895</v>
      </c>
      <c r="N1829">
        <v>1</v>
      </c>
      <c r="O1829">
        <v>2</v>
      </c>
      <c r="P1829">
        <v>2</v>
      </c>
      <c r="Q1829">
        <v>4</v>
      </c>
      <c r="R1829">
        <v>4</v>
      </c>
      <c r="S1829">
        <v>2</v>
      </c>
      <c r="T1829">
        <v>2</v>
      </c>
      <c r="U1829">
        <v>3</v>
      </c>
      <c r="V1829">
        <v>4</v>
      </c>
      <c r="W1829">
        <v>5</v>
      </c>
      <c r="X1829">
        <v>6</v>
      </c>
      <c r="Y1829">
        <v>5</v>
      </c>
      <c r="Z1829">
        <v>3</v>
      </c>
      <c r="AA1829">
        <v>3</v>
      </c>
      <c r="AB1829">
        <v>2</v>
      </c>
      <c r="AC1829">
        <v>1</v>
      </c>
      <c r="AD1829">
        <v>1</v>
      </c>
      <c r="CH1829" t="str">
        <f t="shared" si="28"/>
        <v>TNF-06-10</v>
      </c>
      <c r="CI1829" s="1" t="s">
        <v>102</v>
      </c>
    </row>
    <row r="1830" spans="1:87">
      <c r="A1830" t="s">
        <v>2910</v>
      </c>
      <c r="B1830">
        <v>13</v>
      </c>
      <c r="C1830" t="s">
        <v>2889</v>
      </c>
      <c r="D1830" t="s">
        <v>2890</v>
      </c>
      <c r="E1830" t="s">
        <v>629</v>
      </c>
      <c r="F1830" t="s">
        <v>2891</v>
      </c>
      <c r="G1830" t="s">
        <v>2892</v>
      </c>
      <c r="V1830">
        <v>2</v>
      </c>
      <c r="X1830">
        <v>5</v>
      </c>
      <c r="Z1830">
        <v>4</v>
      </c>
      <c r="AB1830">
        <v>2</v>
      </c>
      <c r="CH1830" t="str">
        <f t="shared" si="28"/>
        <v>TNF-06-10</v>
      </c>
      <c r="CI1830" s="1" t="s">
        <v>102</v>
      </c>
    </row>
    <row r="1831" spans="1:87">
      <c r="A1831" t="s">
        <v>2911</v>
      </c>
      <c r="B1831">
        <v>42</v>
      </c>
      <c r="C1831" t="s">
        <v>2889</v>
      </c>
      <c r="D1831" t="s">
        <v>2890</v>
      </c>
      <c r="E1831" t="s">
        <v>629</v>
      </c>
      <c r="F1831" t="s">
        <v>2891</v>
      </c>
      <c r="G1831" t="s">
        <v>2892</v>
      </c>
      <c r="S1831">
        <v>2</v>
      </c>
      <c r="T1831">
        <v>7</v>
      </c>
      <c r="V1831">
        <v>14</v>
      </c>
      <c r="W1831">
        <v>13</v>
      </c>
      <c r="Y1831">
        <v>6</v>
      </c>
      <c r="CH1831" t="str">
        <f t="shared" si="28"/>
        <v>TNF-06-10</v>
      </c>
      <c r="CI1831" s="1" t="s">
        <v>102</v>
      </c>
    </row>
    <row r="1832" spans="1:87">
      <c r="A1832" t="s">
        <v>2912</v>
      </c>
      <c r="B1832">
        <v>42</v>
      </c>
      <c r="C1832" t="s">
        <v>2894</v>
      </c>
      <c r="D1832" t="s">
        <v>2890</v>
      </c>
      <c r="E1832" t="s">
        <v>629</v>
      </c>
      <c r="F1832" t="s">
        <v>2891</v>
      </c>
      <c r="G1832" t="s">
        <v>2895</v>
      </c>
      <c r="S1832">
        <v>2</v>
      </c>
      <c r="T1832">
        <v>7</v>
      </c>
      <c r="V1832">
        <v>14</v>
      </c>
      <c r="W1832">
        <v>13</v>
      </c>
      <c r="Y1832">
        <v>6</v>
      </c>
      <c r="CH1832" t="str">
        <f t="shared" si="28"/>
        <v>TNF-06-10</v>
      </c>
      <c r="CI1832" s="1" t="s">
        <v>102</v>
      </c>
    </row>
    <row r="1833" spans="1:87">
      <c r="A1833" t="s">
        <v>2913</v>
      </c>
      <c r="B1833">
        <v>15</v>
      </c>
      <c r="C1833" t="s">
        <v>2889</v>
      </c>
      <c r="D1833" t="s">
        <v>2890</v>
      </c>
      <c r="E1833" t="s">
        <v>629</v>
      </c>
      <c r="F1833" t="s">
        <v>2891</v>
      </c>
      <c r="G1833" t="s">
        <v>2892</v>
      </c>
      <c r="V1833">
        <v>2</v>
      </c>
      <c r="X1833">
        <v>6</v>
      </c>
      <c r="Z1833">
        <v>5</v>
      </c>
      <c r="AB1833">
        <v>2</v>
      </c>
      <c r="CH1833" t="str">
        <f t="shared" si="28"/>
        <v>TNF-06-10</v>
      </c>
      <c r="CI1833" s="1" t="s">
        <v>102</v>
      </c>
    </row>
    <row r="1834" spans="1:87">
      <c r="A1834" t="s">
        <v>2931</v>
      </c>
      <c r="B1834">
        <v>605</v>
      </c>
      <c r="C1834" t="s">
        <v>1165</v>
      </c>
      <c r="D1834" t="s">
        <v>457</v>
      </c>
      <c r="E1834" t="s">
        <v>629</v>
      </c>
      <c r="F1834" t="s">
        <v>672</v>
      </c>
      <c r="G1834" t="s">
        <v>673</v>
      </c>
      <c r="T1834">
        <v>18</v>
      </c>
      <c r="U1834">
        <v>12</v>
      </c>
      <c r="V1834">
        <v>54</v>
      </c>
      <c r="W1834">
        <v>36</v>
      </c>
      <c r="X1834">
        <v>107</v>
      </c>
      <c r="Y1834">
        <v>78</v>
      </c>
      <c r="Z1834">
        <v>96</v>
      </c>
      <c r="AA1834">
        <v>72</v>
      </c>
      <c r="AB1834">
        <v>72</v>
      </c>
      <c r="AC1834">
        <v>18</v>
      </c>
      <c r="AD1834">
        <v>30</v>
      </c>
      <c r="AF1834">
        <v>12</v>
      </c>
      <c r="CH1834" t="str">
        <f t="shared" si="28"/>
        <v>JV1-0695-3</v>
      </c>
      <c r="CI1834" s="1" t="s">
        <v>102</v>
      </c>
    </row>
    <row r="1835" spans="1:87">
      <c r="A1835" t="s">
        <v>2932</v>
      </c>
      <c r="B1835">
        <v>1493</v>
      </c>
      <c r="C1835" t="s">
        <v>1166</v>
      </c>
      <c r="D1835" t="s">
        <v>457</v>
      </c>
      <c r="E1835" t="s">
        <v>629</v>
      </c>
      <c r="F1835" t="s">
        <v>672</v>
      </c>
      <c r="G1835" t="s">
        <v>673</v>
      </c>
      <c r="N1835">
        <v>48</v>
      </c>
      <c r="O1835">
        <v>72</v>
      </c>
      <c r="P1835">
        <v>90</v>
      </c>
      <c r="Q1835">
        <v>132</v>
      </c>
      <c r="R1835">
        <v>132</v>
      </c>
      <c r="S1835">
        <v>174</v>
      </c>
      <c r="T1835">
        <v>102</v>
      </c>
      <c r="U1835">
        <v>90</v>
      </c>
      <c r="V1835">
        <v>72</v>
      </c>
      <c r="W1835">
        <v>72</v>
      </c>
      <c r="X1835">
        <v>77</v>
      </c>
      <c r="Y1835">
        <v>90</v>
      </c>
      <c r="Z1835">
        <v>90</v>
      </c>
      <c r="AA1835">
        <v>102</v>
      </c>
      <c r="AB1835">
        <v>60</v>
      </c>
      <c r="AC1835">
        <v>30</v>
      </c>
      <c r="AD1835">
        <v>24</v>
      </c>
      <c r="AF1835">
        <v>12</v>
      </c>
      <c r="AH1835">
        <v>12</v>
      </c>
      <c r="AJ1835">
        <v>12</v>
      </c>
      <c r="CH1835" t="str">
        <f t="shared" si="28"/>
        <v>JV1-0695-3</v>
      </c>
      <c r="CI1835" s="1" t="s">
        <v>102</v>
      </c>
    </row>
    <row r="1836" spans="1:87">
      <c r="A1836" t="s">
        <v>2933</v>
      </c>
      <c r="B1836">
        <v>233</v>
      </c>
      <c r="C1836" t="s">
        <v>1165</v>
      </c>
      <c r="D1836" t="s">
        <v>457</v>
      </c>
      <c r="E1836" t="s">
        <v>629</v>
      </c>
      <c r="F1836" t="s">
        <v>672</v>
      </c>
      <c r="G1836" t="s">
        <v>673</v>
      </c>
      <c r="N1836">
        <v>6</v>
      </c>
      <c r="O1836">
        <v>12</v>
      </c>
      <c r="P1836">
        <v>12</v>
      </c>
      <c r="Q1836">
        <v>18</v>
      </c>
      <c r="R1836">
        <v>18</v>
      </c>
      <c r="S1836">
        <v>24</v>
      </c>
      <c r="T1836">
        <v>12</v>
      </c>
      <c r="U1836">
        <v>12</v>
      </c>
      <c r="V1836">
        <v>12</v>
      </c>
      <c r="W1836">
        <v>12</v>
      </c>
      <c r="X1836">
        <v>17</v>
      </c>
      <c r="Y1836">
        <v>12</v>
      </c>
      <c r="Z1836">
        <v>12</v>
      </c>
      <c r="AA1836">
        <v>12</v>
      </c>
      <c r="AB1836">
        <v>12</v>
      </c>
      <c r="AC1836">
        <v>6</v>
      </c>
      <c r="AD1836">
        <v>6</v>
      </c>
      <c r="AF1836">
        <v>6</v>
      </c>
      <c r="AH1836">
        <v>6</v>
      </c>
      <c r="AJ1836">
        <v>6</v>
      </c>
      <c r="CH1836" t="str">
        <f t="shared" si="28"/>
        <v>JV1-0695-3</v>
      </c>
      <c r="CI1836" s="1" t="s">
        <v>102</v>
      </c>
    </row>
    <row r="1837" spans="1:87">
      <c r="A1837" t="s">
        <v>2934</v>
      </c>
      <c r="B1837">
        <v>815</v>
      </c>
      <c r="C1837" t="s">
        <v>1168</v>
      </c>
      <c r="D1837" t="s">
        <v>457</v>
      </c>
      <c r="E1837" t="s">
        <v>629</v>
      </c>
      <c r="F1837" t="s">
        <v>672</v>
      </c>
      <c r="G1837" t="s">
        <v>673</v>
      </c>
      <c r="O1837">
        <v>90</v>
      </c>
      <c r="P1837">
        <v>90</v>
      </c>
      <c r="Q1837">
        <v>90</v>
      </c>
      <c r="R1837">
        <v>90</v>
      </c>
      <c r="S1837">
        <v>90</v>
      </c>
      <c r="T1837">
        <v>90</v>
      </c>
      <c r="U1837">
        <v>95</v>
      </c>
      <c r="V1837">
        <v>90</v>
      </c>
      <c r="W1837">
        <v>90</v>
      </c>
      <c r="CH1837" t="str">
        <f t="shared" si="28"/>
        <v>JV1-0695-3</v>
      </c>
      <c r="CI1837" s="1" t="s">
        <v>102</v>
      </c>
    </row>
    <row r="1838" spans="1:87">
      <c r="A1838" t="s">
        <v>2935</v>
      </c>
      <c r="B1838">
        <v>1955</v>
      </c>
      <c r="C1838" t="s">
        <v>718</v>
      </c>
      <c r="D1838" t="s">
        <v>457</v>
      </c>
      <c r="E1838" t="s">
        <v>629</v>
      </c>
      <c r="F1838" t="s">
        <v>672</v>
      </c>
      <c r="G1838" t="s">
        <v>673</v>
      </c>
      <c r="U1838">
        <v>96</v>
      </c>
      <c r="V1838">
        <v>180</v>
      </c>
      <c r="W1838">
        <v>198</v>
      </c>
      <c r="X1838">
        <v>221</v>
      </c>
      <c r="Y1838">
        <v>246</v>
      </c>
      <c r="Z1838">
        <v>228</v>
      </c>
      <c r="AA1838">
        <v>198</v>
      </c>
      <c r="AB1838">
        <v>162</v>
      </c>
      <c r="AC1838">
        <v>150</v>
      </c>
      <c r="AD1838">
        <v>126</v>
      </c>
      <c r="AF1838">
        <v>120</v>
      </c>
      <c r="AH1838">
        <v>30</v>
      </c>
      <c r="CH1838" t="str">
        <f t="shared" si="28"/>
        <v>JV1-0695-3</v>
      </c>
      <c r="CI1838" s="1" t="s">
        <v>102</v>
      </c>
    </row>
    <row r="1839" spans="1:87">
      <c r="A1839" t="s">
        <v>2936</v>
      </c>
      <c r="B1839">
        <v>1379</v>
      </c>
      <c r="C1839" t="s">
        <v>718</v>
      </c>
      <c r="D1839" t="s">
        <v>457</v>
      </c>
      <c r="E1839" t="s">
        <v>629</v>
      </c>
      <c r="F1839" t="s">
        <v>672</v>
      </c>
      <c r="G1839" t="s">
        <v>673</v>
      </c>
      <c r="U1839">
        <v>48</v>
      </c>
      <c r="V1839">
        <v>138</v>
      </c>
      <c r="W1839">
        <v>108</v>
      </c>
      <c r="X1839">
        <v>143</v>
      </c>
      <c r="Y1839">
        <v>156</v>
      </c>
      <c r="Z1839">
        <v>180</v>
      </c>
      <c r="AA1839">
        <v>186</v>
      </c>
      <c r="AB1839">
        <v>138</v>
      </c>
      <c r="AC1839">
        <v>84</v>
      </c>
      <c r="AD1839">
        <v>90</v>
      </c>
      <c r="AF1839">
        <v>48</v>
      </c>
      <c r="AH1839">
        <v>60</v>
      </c>
      <c r="CH1839" t="str">
        <f t="shared" si="28"/>
        <v>JV1-0695-3</v>
      </c>
      <c r="CI1839" s="1" t="s">
        <v>102</v>
      </c>
    </row>
    <row r="1840" spans="1:87">
      <c r="A1840" t="s">
        <v>2937</v>
      </c>
      <c r="B1840">
        <v>245</v>
      </c>
      <c r="C1840" t="s">
        <v>1168</v>
      </c>
      <c r="D1840" t="s">
        <v>457</v>
      </c>
      <c r="E1840" t="s">
        <v>629</v>
      </c>
      <c r="F1840" t="s">
        <v>672</v>
      </c>
      <c r="G1840" t="s">
        <v>673</v>
      </c>
      <c r="O1840">
        <v>40</v>
      </c>
      <c r="P1840">
        <v>40</v>
      </c>
      <c r="Q1840">
        <v>40</v>
      </c>
      <c r="R1840">
        <v>40</v>
      </c>
      <c r="S1840">
        <v>40</v>
      </c>
      <c r="T1840">
        <v>45</v>
      </c>
      <c r="CH1840" t="str">
        <f t="shared" si="28"/>
        <v>JV1-0695-3</v>
      </c>
      <c r="CI1840" s="1" t="s">
        <v>102</v>
      </c>
    </row>
    <row r="1841" spans="1:87">
      <c r="A1841" t="s">
        <v>2938</v>
      </c>
      <c r="B1841">
        <v>581</v>
      </c>
      <c r="C1841" t="s">
        <v>1168</v>
      </c>
      <c r="D1841" t="s">
        <v>457</v>
      </c>
      <c r="E1841" t="s">
        <v>629</v>
      </c>
      <c r="F1841" t="s">
        <v>672</v>
      </c>
      <c r="G1841" t="s">
        <v>673</v>
      </c>
      <c r="O1841">
        <v>36</v>
      </c>
      <c r="P1841">
        <v>42</v>
      </c>
      <c r="Q1841">
        <v>90</v>
      </c>
      <c r="R1841">
        <v>84</v>
      </c>
      <c r="S1841">
        <v>120</v>
      </c>
      <c r="T1841">
        <v>114</v>
      </c>
      <c r="U1841">
        <v>47</v>
      </c>
      <c r="V1841">
        <v>30</v>
      </c>
      <c r="W1841">
        <v>18</v>
      </c>
      <c r="CH1841" t="str">
        <f t="shared" si="28"/>
        <v>JV1-0695-3</v>
      </c>
      <c r="CI1841" s="1" t="s">
        <v>102</v>
      </c>
    </row>
    <row r="1842" spans="1:87">
      <c r="A1842" t="s">
        <v>2939</v>
      </c>
      <c r="B1842">
        <v>1685</v>
      </c>
      <c r="C1842" t="s">
        <v>718</v>
      </c>
      <c r="D1842" t="s">
        <v>457</v>
      </c>
      <c r="E1842" t="s">
        <v>629</v>
      </c>
      <c r="F1842" t="s">
        <v>672</v>
      </c>
      <c r="G1842" t="s">
        <v>673</v>
      </c>
      <c r="U1842">
        <v>126</v>
      </c>
      <c r="V1842">
        <v>174</v>
      </c>
      <c r="W1842">
        <v>192</v>
      </c>
      <c r="X1842">
        <v>227</v>
      </c>
      <c r="Y1842">
        <v>198</v>
      </c>
      <c r="Z1842">
        <v>198</v>
      </c>
      <c r="AA1842">
        <v>156</v>
      </c>
      <c r="AB1842">
        <v>126</v>
      </c>
      <c r="AC1842">
        <v>96</v>
      </c>
      <c r="AD1842">
        <v>96</v>
      </c>
      <c r="AF1842">
        <v>78</v>
      </c>
      <c r="AH1842">
        <v>18</v>
      </c>
      <c r="CH1842" t="str">
        <f t="shared" si="28"/>
        <v>JV1-0695-3</v>
      </c>
      <c r="CI1842" s="1" t="s">
        <v>102</v>
      </c>
    </row>
    <row r="1843" spans="1:87">
      <c r="A1843" t="s">
        <v>2940</v>
      </c>
      <c r="B1843">
        <v>3533</v>
      </c>
      <c r="C1843" t="s">
        <v>1166</v>
      </c>
      <c r="D1843" t="s">
        <v>457</v>
      </c>
      <c r="E1843" t="s">
        <v>629</v>
      </c>
      <c r="F1843" t="s">
        <v>672</v>
      </c>
      <c r="G1843" t="s">
        <v>673</v>
      </c>
      <c r="P1843">
        <v>588</v>
      </c>
      <c r="Q1843">
        <v>588</v>
      </c>
      <c r="R1843">
        <v>588</v>
      </c>
      <c r="S1843">
        <v>588</v>
      </c>
      <c r="T1843">
        <v>588</v>
      </c>
      <c r="U1843">
        <v>593</v>
      </c>
      <c r="CH1843" t="str">
        <f t="shared" si="28"/>
        <v>JV1-0695-3</v>
      </c>
      <c r="CI1843" s="1" t="s">
        <v>102</v>
      </c>
    </row>
    <row r="1844" spans="1:87">
      <c r="A1844" t="s">
        <v>2941</v>
      </c>
      <c r="B1844">
        <v>8477</v>
      </c>
      <c r="C1844" t="s">
        <v>1166</v>
      </c>
      <c r="D1844" t="s">
        <v>457</v>
      </c>
      <c r="E1844" t="s">
        <v>629</v>
      </c>
      <c r="F1844" t="s">
        <v>672</v>
      </c>
      <c r="G1844" t="s">
        <v>673</v>
      </c>
      <c r="O1844">
        <v>1344</v>
      </c>
      <c r="P1844">
        <v>672</v>
      </c>
      <c r="Q1844">
        <v>1188</v>
      </c>
      <c r="R1844">
        <v>972</v>
      </c>
      <c r="S1844">
        <v>1188</v>
      </c>
      <c r="T1844">
        <v>768</v>
      </c>
      <c r="U1844">
        <v>749</v>
      </c>
      <c r="V1844">
        <v>564</v>
      </c>
      <c r="W1844">
        <v>768</v>
      </c>
      <c r="Y1844">
        <v>264</v>
      </c>
      <c r="CH1844" t="str">
        <f t="shared" si="28"/>
        <v>JV1-0695-3</v>
      </c>
      <c r="CI1844" s="1" t="s">
        <v>102</v>
      </c>
    </row>
    <row r="1845" spans="1:87">
      <c r="A1845" t="s">
        <v>2942</v>
      </c>
      <c r="B1845">
        <v>5705</v>
      </c>
      <c r="C1845" t="s">
        <v>1168</v>
      </c>
      <c r="D1845" t="s">
        <v>457</v>
      </c>
      <c r="E1845" t="s">
        <v>629</v>
      </c>
      <c r="F1845" t="s">
        <v>672</v>
      </c>
      <c r="G1845" t="s">
        <v>673</v>
      </c>
      <c r="O1845">
        <v>900</v>
      </c>
      <c r="P1845">
        <v>456</v>
      </c>
      <c r="Q1845">
        <v>792</v>
      </c>
      <c r="R1845">
        <v>660</v>
      </c>
      <c r="S1845">
        <v>804</v>
      </c>
      <c r="T1845">
        <v>516</v>
      </c>
      <c r="U1845">
        <v>509</v>
      </c>
      <c r="V1845">
        <v>372</v>
      </c>
      <c r="W1845">
        <v>516</v>
      </c>
      <c r="Y1845">
        <v>180</v>
      </c>
      <c r="CH1845" t="str">
        <f t="shared" si="28"/>
        <v>JV1-0695-3</v>
      </c>
      <c r="CI1845" s="1" t="s">
        <v>102</v>
      </c>
    </row>
    <row r="1846" spans="1:87">
      <c r="A1846" t="s">
        <v>2943</v>
      </c>
      <c r="B1846">
        <v>605</v>
      </c>
      <c r="C1846" t="s">
        <v>1166</v>
      </c>
      <c r="D1846" t="s">
        <v>457</v>
      </c>
      <c r="E1846" t="s">
        <v>629</v>
      </c>
      <c r="F1846" t="s">
        <v>672</v>
      </c>
      <c r="G1846" t="s">
        <v>673</v>
      </c>
      <c r="N1846">
        <v>6</v>
      </c>
      <c r="O1846">
        <v>42</v>
      </c>
      <c r="P1846">
        <v>42</v>
      </c>
      <c r="Q1846">
        <v>84</v>
      </c>
      <c r="R1846">
        <v>72</v>
      </c>
      <c r="S1846">
        <v>96</v>
      </c>
      <c r="T1846">
        <v>66</v>
      </c>
      <c r="U1846">
        <v>78</v>
      </c>
      <c r="V1846">
        <v>42</v>
      </c>
      <c r="W1846">
        <v>42</v>
      </c>
      <c r="X1846">
        <v>11</v>
      </c>
      <c r="Y1846">
        <v>12</v>
      </c>
      <c r="Z1846">
        <v>6</v>
      </c>
      <c r="AA1846">
        <v>6</v>
      </c>
      <c r="CH1846" t="str">
        <f t="shared" si="28"/>
        <v>JV1-0695-3</v>
      </c>
      <c r="CI1846" s="1" t="s">
        <v>102</v>
      </c>
    </row>
    <row r="1847" spans="1:87">
      <c r="A1847" t="s">
        <v>2944</v>
      </c>
      <c r="B1847">
        <v>4181</v>
      </c>
      <c r="C1847" t="s">
        <v>1167</v>
      </c>
      <c r="D1847" t="s">
        <v>457</v>
      </c>
      <c r="E1847" t="s">
        <v>629</v>
      </c>
      <c r="F1847" t="s">
        <v>672</v>
      </c>
      <c r="G1847" t="s">
        <v>686</v>
      </c>
      <c r="O1847">
        <v>348</v>
      </c>
      <c r="P1847">
        <v>348</v>
      </c>
      <c r="Q1847">
        <v>348</v>
      </c>
      <c r="R1847">
        <v>348</v>
      </c>
      <c r="S1847">
        <v>348</v>
      </c>
      <c r="T1847">
        <v>348</v>
      </c>
      <c r="U1847">
        <v>348</v>
      </c>
      <c r="V1847">
        <v>348</v>
      </c>
      <c r="W1847">
        <v>348</v>
      </c>
      <c r="X1847">
        <v>353</v>
      </c>
      <c r="Y1847">
        <v>348</v>
      </c>
      <c r="Z1847">
        <v>348</v>
      </c>
      <c r="CH1847" t="str">
        <f t="shared" si="28"/>
        <v>JV1-0695-3</v>
      </c>
      <c r="CI1847" s="1" t="s">
        <v>102</v>
      </c>
    </row>
    <row r="1848" spans="1:87">
      <c r="A1848" t="s">
        <v>2945</v>
      </c>
      <c r="B1848">
        <v>3617</v>
      </c>
      <c r="C1848" t="s">
        <v>1167</v>
      </c>
      <c r="D1848" t="s">
        <v>457</v>
      </c>
      <c r="E1848" t="s">
        <v>629</v>
      </c>
      <c r="F1848" t="s">
        <v>672</v>
      </c>
      <c r="G1848" t="s">
        <v>686</v>
      </c>
      <c r="O1848">
        <v>120</v>
      </c>
      <c r="P1848">
        <v>120</v>
      </c>
      <c r="Q1848">
        <v>300</v>
      </c>
      <c r="R1848">
        <v>264</v>
      </c>
      <c r="S1848">
        <v>372</v>
      </c>
      <c r="T1848">
        <v>312</v>
      </c>
      <c r="U1848">
        <v>384</v>
      </c>
      <c r="V1848">
        <v>168</v>
      </c>
      <c r="W1848">
        <v>312</v>
      </c>
      <c r="X1848">
        <v>101</v>
      </c>
      <c r="Y1848">
        <v>180</v>
      </c>
      <c r="Z1848">
        <v>156</v>
      </c>
      <c r="AA1848">
        <v>252</v>
      </c>
      <c r="AB1848">
        <v>240</v>
      </c>
      <c r="AC1848">
        <v>36</v>
      </c>
      <c r="AD1848">
        <v>156</v>
      </c>
      <c r="AF1848">
        <v>108</v>
      </c>
      <c r="AH1848">
        <v>36</v>
      </c>
      <c r="CH1848" t="str">
        <f t="shared" si="28"/>
        <v>JV1-0695-3</v>
      </c>
      <c r="CI1848" s="1" t="s">
        <v>102</v>
      </c>
    </row>
    <row r="1849" spans="1:87">
      <c r="A1849" t="s">
        <v>2946</v>
      </c>
      <c r="B1849">
        <v>3605</v>
      </c>
      <c r="C1849" t="s">
        <v>1167</v>
      </c>
      <c r="D1849" t="s">
        <v>457</v>
      </c>
      <c r="E1849" t="s">
        <v>629</v>
      </c>
      <c r="F1849" t="s">
        <v>672</v>
      </c>
      <c r="G1849" t="s">
        <v>686</v>
      </c>
      <c r="O1849">
        <v>132</v>
      </c>
      <c r="P1849">
        <v>108</v>
      </c>
      <c r="Q1849">
        <v>312</v>
      </c>
      <c r="R1849">
        <v>252</v>
      </c>
      <c r="S1849">
        <v>372</v>
      </c>
      <c r="T1849">
        <v>312</v>
      </c>
      <c r="U1849">
        <v>384</v>
      </c>
      <c r="V1849">
        <v>168</v>
      </c>
      <c r="W1849">
        <v>312</v>
      </c>
      <c r="X1849">
        <v>101</v>
      </c>
      <c r="Y1849">
        <v>192</v>
      </c>
      <c r="Z1849">
        <v>168</v>
      </c>
      <c r="AA1849">
        <v>252</v>
      </c>
      <c r="AB1849">
        <v>228</v>
      </c>
      <c r="AC1849">
        <v>36</v>
      </c>
      <c r="AD1849">
        <v>156</v>
      </c>
      <c r="AF1849">
        <v>96</v>
      </c>
      <c r="AH1849">
        <v>24</v>
      </c>
      <c r="CH1849" t="str">
        <f t="shared" si="28"/>
        <v>JV1-0695-3</v>
      </c>
      <c r="CI1849" s="1" t="s">
        <v>102</v>
      </c>
    </row>
    <row r="1850" spans="1:87">
      <c r="A1850" t="s">
        <v>2947</v>
      </c>
      <c r="B1850">
        <v>3617</v>
      </c>
      <c r="C1850" t="s">
        <v>1167</v>
      </c>
      <c r="D1850" t="s">
        <v>457</v>
      </c>
      <c r="E1850" t="s">
        <v>629</v>
      </c>
      <c r="F1850" t="s">
        <v>672</v>
      </c>
      <c r="G1850" t="s">
        <v>686</v>
      </c>
      <c r="O1850">
        <v>120</v>
      </c>
      <c r="P1850">
        <v>120</v>
      </c>
      <c r="Q1850">
        <v>312</v>
      </c>
      <c r="R1850">
        <v>264</v>
      </c>
      <c r="S1850">
        <v>372</v>
      </c>
      <c r="T1850">
        <v>300</v>
      </c>
      <c r="U1850">
        <v>384</v>
      </c>
      <c r="V1850">
        <v>168</v>
      </c>
      <c r="W1850">
        <v>312</v>
      </c>
      <c r="X1850">
        <v>101</v>
      </c>
      <c r="Y1850">
        <v>180</v>
      </c>
      <c r="Z1850">
        <v>156</v>
      </c>
      <c r="AA1850">
        <v>252</v>
      </c>
      <c r="AB1850">
        <v>240</v>
      </c>
      <c r="AC1850">
        <v>36</v>
      </c>
      <c r="AD1850">
        <v>156</v>
      </c>
      <c r="AF1850">
        <v>108</v>
      </c>
      <c r="AH1850">
        <v>36</v>
      </c>
      <c r="CH1850" t="str">
        <f t="shared" si="28"/>
        <v>JV1-0695-3</v>
      </c>
      <c r="CI1850" s="1" t="s">
        <v>102</v>
      </c>
    </row>
    <row r="1851" spans="1:87">
      <c r="A1851" t="s">
        <v>2948</v>
      </c>
      <c r="B1851">
        <v>833</v>
      </c>
      <c r="C1851" t="s">
        <v>1166</v>
      </c>
      <c r="D1851" t="s">
        <v>457</v>
      </c>
      <c r="E1851" t="s">
        <v>629</v>
      </c>
      <c r="F1851" t="s">
        <v>672</v>
      </c>
      <c r="G1851" t="s">
        <v>673</v>
      </c>
      <c r="N1851">
        <v>36</v>
      </c>
      <c r="O1851">
        <v>78</v>
      </c>
      <c r="P1851">
        <v>42</v>
      </c>
      <c r="Q1851">
        <v>114</v>
      </c>
      <c r="R1851">
        <v>78</v>
      </c>
      <c r="S1851">
        <v>126</v>
      </c>
      <c r="T1851">
        <v>84</v>
      </c>
      <c r="U1851">
        <v>66</v>
      </c>
      <c r="V1851">
        <v>48</v>
      </c>
      <c r="W1851">
        <v>36</v>
      </c>
      <c r="X1851">
        <v>23</v>
      </c>
      <c r="Y1851">
        <v>30</v>
      </c>
      <c r="Z1851">
        <v>24</v>
      </c>
      <c r="AA1851">
        <v>12</v>
      </c>
      <c r="AB1851">
        <v>18</v>
      </c>
      <c r="AC1851">
        <v>6</v>
      </c>
      <c r="AD1851">
        <v>6</v>
      </c>
      <c r="AE1851">
        <v>6</v>
      </c>
      <c r="CH1851" t="str">
        <f t="shared" si="28"/>
        <v>JV1-0695-3</v>
      </c>
      <c r="CI1851" s="1" t="s">
        <v>102</v>
      </c>
    </row>
    <row r="1852" spans="1:87">
      <c r="A1852" t="s">
        <v>2949</v>
      </c>
      <c r="B1852">
        <v>5189</v>
      </c>
      <c r="C1852" t="s">
        <v>1171</v>
      </c>
      <c r="D1852" t="s">
        <v>457</v>
      </c>
      <c r="E1852" t="s">
        <v>629</v>
      </c>
      <c r="F1852" t="s">
        <v>672</v>
      </c>
      <c r="G1852" t="s">
        <v>686</v>
      </c>
      <c r="O1852">
        <v>90</v>
      </c>
      <c r="P1852">
        <v>192</v>
      </c>
      <c r="Q1852">
        <v>288</v>
      </c>
      <c r="R1852">
        <v>474</v>
      </c>
      <c r="S1852">
        <v>396</v>
      </c>
      <c r="T1852">
        <v>228</v>
      </c>
      <c r="U1852">
        <v>120</v>
      </c>
      <c r="V1852">
        <v>444</v>
      </c>
      <c r="W1852">
        <v>660</v>
      </c>
      <c r="X1852">
        <v>311</v>
      </c>
      <c r="Y1852">
        <v>600</v>
      </c>
      <c r="Z1852">
        <v>480</v>
      </c>
      <c r="AA1852">
        <v>216</v>
      </c>
      <c r="AB1852">
        <v>414</v>
      </c>
      <c r="AC1852">
        <v>6</v>
      </c>
      <c r="AD1852">
        <v>246</v>
      </c>
      <c r="AF1852">
        <v>24</v>
      </c>
      <c r="CH1852" t="str">
        <f t="shared" si="28"/>
        <v>JV1-0695-3</v>
      </c>
      <c r="CI1852" s="1" t="s">
        <v>102</v>
      </c>
    </row>
    <row r="1853" spans="1:87">
      <c r="A1853" t="s">
        <v>2950</v>
      </c>
      <c r="B1853">
        <v>1043</v>
      </c>
      <c r="C1853" t="s">
        <v>1166</v>
      </c>
      <c r="D1853" t="s">
        <v>457</v>
      </c>
      <c r="E1853" t="s">
        <v>629</v>
      </c>
      <c r="F1853" t="s">
        <v>672</v>
      </c>
      <c r="G1853" t="s">
        <v>673</v>
      </c>
      <c r="N1853">
        <v>42</v>
      </c>
      <c r="O1853">
        <v>84</v>
      </c>
      <c r="P1853">
        <v>66</v>
      </c>
      <c r="Q1853">
        <v>150</v>
      </c>
      <c r="R1853">
        <v>114</v>
      </c>
      <c r="S1853">
        <v>156</v>
      </c>
      <c r="T1853">
        <v>120</v>
      </c>
      <c r="U1853">
        <v>84</v>
      </c>
      <c r="V1853">
        <v>66</v>
      </c>
      <c r="W1853">
        <v>48</v>
      </c>
      <c r="X1853">
        <v>23</v>
      </c>
      <c r="Y1853">
        <v>30</v>
      </c>
      <c r="Z1853">
        <v>18</v>
      </c>
      <c r="AA1853">
        <v>12</v>
      </c>
      <c r="AB1853">
        <v>12</v>
      </c>
      <c r="AC1853">
        <v>12</v>
      </c>
      <c r="AD1853">
        <v>6</v>
      </c>
      <c r="CH1853" t="str">
        <f t="shared" si="28"/>
        <v>JV1-0695-3</v>
      </c>
      <c r="CI1853" s="1" t="s">
        <v>102</v>
      </c>
    </row>
    <row r="1854" spans="1:87">
      <c r="A1854" t="s">
        <v>2951</v>
      </c>
      <c r="B1854">
        <v>971</v>
      </c>
      <c r="C1854" t="s">
        <v>718</v>
      </c>
      <c r="D1854" t="s">
        <v>457</v>
      </c>
      <c r="E1854" t="s">
        <v>629</v>
      </c>
      <c r="F1854" t="s">
        <v>672</v>
      </c>
      <c r="G1854" t="s">
        <v>673</v>
      </c>
      <c r="N1854">
        <v>12</v>
      </c>
      <c r="O1854">
        <v>24</v>
      </c>
      <c r="P1854">
        <v>36</v>
      </c>
      <c r="Q1854">
        <v>72</v>
      </c>
      <c r="R1854">
        <v>72</v>
      </c>
      <c r="S1854">
        <v>78</v>
      </c>
      <c r="T1854">
        <v>60</v>
      </c>
      <c r="U1854">
        <v>60</v>
      </c>
      <c r="V1854">
        <v>66</v>
      </c>
      <c r="W1854">
        <v>72</v>
      </c>
      <c r="X1854">
        <v>65</v>
      </c>
      <c r="Y1854">
        <v>102</v>
      </c>
      <c r="Z1854">
        <v>84</v>
      </c>
      <c r="AA1854">
        <v>48</v>
      </c>
      <c r="AB1854">
        <v>60</v>
      </c>
      <c r="AC1854">
        <v>24</v>
      </c>
      <c r="AD1854">
        <v>24</v>
      </c>
      <c r="AE1854">
        <v>6</v>
      </c>
      <c r="AF1854">
        <v>6</v>
      </c>
      <c r="CH1854" t="str">
        <f t="shared" si="28"/>
        <v>JV1-0695-3</v>
      </c>
      <c r="CI1854" s="1" t="s">
        <v>102</v>
      </c>
    </row>
    <row r="1855" spans="1:87">
      <c r="A1855" t="s">
        <v>2952</v>
      </c>
      <c r="B1855">
        <v>857</v>
      </c>
      <c r="C1855" t="s">
        <v>1165</v>
      </c>
      <c r="D1855" t="s">
        <v>457</v>
      </c>
      <c r="E1855" t="s">
        <v>629</v>
      </c>
      <c r="F1855" t="s">
        <v>672</v>
      </c>
      <c r="G1855" t="s">
        <v>673</v>
      </c>
      <c r="N1855">
        <v>36</v>
      </c>
      <c r="O1855">
        <v>66</v>
      </c>
      <c r="P1855">
        <v>42</v>
      </c>
      <c r="Q1855">
        <v>108</v>
      </c>
      <c r="R1855">
        <v>96</v>
      </c>
      <c r="S1855">
        <v>114</v>
      </c>
      <c r="T1855">
        <v>72</v>
      </c>
      <c r="U1855">
        <v>72</v>
      </c>
      <c r="V1855">
        <v>66</v>
      </c>
      <c r="W1855">
        <v>54</v>
      </c>
      <c r="X1855">
        <v>23</v>
      </c>
      <c r="Y1855">
        <v>30</v>
      </c>
      <c r="Z1855">
        <v>36</v>
      </c>
      <c r="AA1855">
        <v>18</v>
      </c>
      <c r="AB1855">
        <v>12</v>
      </c>
      <c r="AC1855">
        <v>6</v>
      </c>
      <c r="AD1855">
        <v>6</v>
      </c>
      <c r="CH1855" t="str">
        <f t="shared" si="28"/>
        <v>JV1-0695-3</v>
      </c>
      <c r="CI1855" s="1" t="s">
        <v>102</v>
      </c>
    </row>
    <row r="1856" spans="1:87">
      <c r="A1856" t="s">
        <v>2953</v>
      </c>
      <c r="B1856">
        <v>1139</v>
      </c>
      <c r="C1856" t="s">
        <v>1171</v>
      </c>
      <c r="D1856" t="s">
        <v>457</v>
      </c>
      <c r="E1856" t="s">
        <v>629</v>
      </c>
      <c r="F1856" t="s">
        <v>672</v>
      </c>
      <c r="G1856" t="s">
        <v>686</v>
      </c>
      <c r="N1856">
        <v>36</v>
      </c>
      <c r="O1856">
        <v>54</v>
      </c>
      <c r="P1856">
        <v>78</v>
      </c>
      <c r="Q1856">
        <v>108</v>
      </c>
      <c r="R1856">
        <v>144</v>
      </c>
      <c r="S1856">
        <v>180</v>
      </c>
      <c r="T1856">
        <v>138</v>
      </c>
      <c r="U1856">
        <v>114</v>
      </c>
      <c r="V1856">
        <v>78</v>
      </c>
      <c r="W1856">
        <v>54</v>
      </c>
      <c r="X1856">
        <v>53</v>
      </c>
      <c r="Y1856">
        <v>54</v>
      </c>
      <c r="Z1856">
        <v>30</v>
      </c>
      <c r="AA1856">
        <v>12</v>
      </c>
      <c r="AB1856">
        <v>6</v>
      </c>
      <c r="CH1856" t="str">
        <f t="shared" si="28"/>
        <v>JV1-0695-3</v>
      </c>
      <c r="CI1856" s="1" t="s">
        <v>102</v>
      </c>
    </row>
    <row r="1857" spans="1:87">
      <c r="A1857" t="s">
        <v>2954</v>
      </c>
      <c r="B1857">
        <v>1139</v>
      </c>
      <c r="C1857" t="s">
        <v>1167</v>
      </c>
      <c r="D1857" t="s">
        <v>457</v>
      </c>
      <c r="E1857" t="s">
        <v>629</v>
      </c>
      <c r="F1857" t="s">
        <v>672</v>
      </c>
      <c r="G1857" t="s">
        <v>686</v>
      </c>
      <c r="N1857">
        <v>36</v>
      </c>
      <c r="O1857">
        <v>54</v>
      </c>
      <c r="P1857">
        <v>78</v>
      </c>
      <c r="Q1857">
        <v>108</v>
      </c>
      <c r="R1857">
        <v>144</v>
      </c>
      <c r="S1857">
        <v>180</v>
      </c>
      <c r="T1857">
        <v>138</v>
      </c>
      <c r="U1857">
        <v>114</v>
      </c>
      <c r="V1857">
        <v>78</v>
      </c>
      <c r="W1857">
        <v>54</v>
      </c>
      <c r="X1857">
        <v>53</v>
      </c>
      <c r="Y1857">
        <v>54</v>
      </c>
      <c r="Z1857">
        <v>30</v>
      </c>
      <c r="AA1857">
        <v>12</v>
      </c>
      <c r="AB1857">
        <v>6</v>
      </c>
      <c r="CH1857" t="str">
        <f t="shared" si="28"/>
        <v>JV1-0695-3</v>
      </c>
      <c r="CI1857" s="1" t="s">
        <v>102</v>
      </c>
    </row>
    <row r="1858" spans="1:87">
      <c r="A1858" t="s">
        <v>2955</v>
      </c>
      <c r="B1858">
        <v>383</v>
      </c>
      <c r="C1858" t="s">
        <v>718</v>
      </c>
      <c r="D1858" t="s">
        <v>457</v>
      </c>
      <c r="E1858" t="s">
        <v>629</v>
      </c>
      <c r="F1858" t="s">
        <v>672</v>
      </c>
      <c r="G1858" t="s">
        <v>673</v>
      </c>
      <c r="N1858">
        <v>6</v>
      </c>
      <c r="O1858">
        <v>12</v>
      </c>
      <c r="P1858">
        <v>18</v>
      </c>
      <c r="Q1858">
        <v>30</v>
      </c>
      <c r="R1858">
        <v>30</v>
      </c>
      <c r="S1858">
        <v>36</v>
      </c>
      <c r="T1858">
        <v>24</v>
      </c>
      <c r="U1858">
        <v>18</v>
      </c>
      <c r="V1858">
        <v>18</v>
      </c>
      <c r="W1858">
        <v>24</v>
      </c>
      <c r="X1858">
        <v>35</v>
      </c>
      <c r="Y1858">
        <v>36</v>
      </c>
      <c r="Z1858">
        <v>18</v>
      </c>
      <c r="AA1858">
        <v>18</v>
      </c>
      <c r="AB1858">
        <v>18</v>
      </c>
      <c r="AC1858">
        <v>18</v>
      </c>
      <c r="AD1858">
        <v>12</v>
      </c>
      <c r="AE1858">
        <v>6</v>
      </c>
      <c r="AF1858">
        <v>6</v>
      </c>
      <c r="CH1858" t="str">
        <f t="shared" ref="CH1858:CH1921" si="29">TRIM(IFERROR(IFERROR(MID($D1858,FIND("(D-",$D1858)+1,6),LEFT($D1858,FIND("(",$D1858)-1)),$D1858))</f>
        <v>JV1-0695-3</v>
      </c>
      <c r="CI1858" s="1" t="s">
        <v>102</v>
      </c>
    </row>
    <row r="1859" spans="1:87">
      <c r="A1859" t="s">
        <v>2956</v>
      </c>
      <c r="B1859">
        <v>3503</v>
      </c>
      <c r="C1859" t="s">
        <v>1167</v>
      </c>
      <c r="D1859" t="s">
        <v>457</v>
      </c>
      <c r="E1859" t="s">
        <v>629</v>
      </c>
      <c r="F1859" t="s">
        <v>672</v>
      </c>
      <c r="G1859" t="s">
        <v>686</v>
      </c>
      <c r="N1859">
        <v>108</v>
      </c>
      <c r="O1859">
        <v>174</v>
      </c>
      <c r="P1859">
        <v>246</v>
      </c>
      <c r="Q1859">
        <v>330</v>
      </c>
      <c r="R1859">
        <v>438</v>
      </c>
      <c r="S1859">
        <v>558</v>
      </c>
      <c r="T1859">
        <v>420</v>
      </c>
      <c r="U1859">
        <v>348</v>
      </c>
      <c r="V1859">
        <v>246</v>
      </c>
      <c r="W1859">
        <v>174</v>
      </c>
      <c r="X1859">
        <v>143</v>
      </c>
      <c r="Y1859">
        <v>174</v>
      </c>
      <c r="Z1859">
        <v>90</v>
      </c>
      <c r="AA1859">
        <v>36</v>
      </c>
      <c r="AB1859">
        <v>18</v>
      </c>
      <c r="CH1859" t="str">
        <f t="shared" si="29"/>
        <v>JV1-0695-3</v>
      </c>
      <c r="CI1859" s="1" t="s">
        <v>102</v>
      </c>
    </row>
    <row r="1860" spans="1:87">
      <c r="A1860" t="s">
        <v>2957</v>
      </c>
      <c r="B1860">
        <v>3503</v>
      </c>
      <c r="C1860" t="s">
        <v>1171</v>
      </c>
      <c r="D1860" t="s">
        <v>457</v>
      </c>
      <c r="E1860" t="s">
        <v>629</v>
      </c>
      <c r="F1860" t="s">
        <v>672</v>
      </c>
      <c r="G1860" t="s">
        <v>686</v>
      </c>
      <c r="N1860">
        <v>108</v>
      </c>
      <c r="O1860">
        <v>174</v>
      </c>
      <c r="P1860">
        <v>246</v>
      </c>
      <c r="Q1860">
        <v>330</v>
      </c>
      <c r="R1860">
        <v>438</v>
      </c>
      <c r="S1860">
        <v>558</v>
      </c>
      <c r="T1860">
        <v>420</v>
      </c>
      <c r="U1860">
        <v>348</v>
      </c>
      <c r="V1860">
        <v>246</v>
      </c>
      <c r="W1860">
        <v>174</v>
      </c>
      <c r="X1860">
        <v>143</v>
      </c>
      <c r="Y1860">
        <v>174</v>
      </c>
      <c r="Z1860">
        <v>90</v>
      </c>
      <c r="AA1860">
        <v>36</v>
      </c>
      <c r="AB1860">
        <v>18</v>
      </c>
      <c r="CH1860" t="str">
        <f t="shared" si="29"/>
        <v>JV1-0695-3</v>
      </c>
      <c r="CI1860" s="1" t="s">
        <v>102</v>
      </c>
    </row>
    <row r="1861" spans="1:87">
      <c r="A1861" t="s">
        <v>2958</v>
      </c>
      <c r="B1861">
        <v>995</v>
      </c>
      <c r="C1861" t="s">
        <v>718</v>
      </c>
      <c r="D1861" t="s">
        <v>457</v>
      </c>
      <c r="E1861" t="s">
        <v>629</v>
      </c>
      <c r="F1861" t="s">
        <v>672</v>
      </c>
      <c r="G1861" t="s">
        <v>673</v>
      </c>
      <c r="N1861">
        <v>12</v>
      </c>
      <c r="O1861">
        <v>30</v>
      </c>
      <c r="P1861">
        <v>42</v>
      </c>
      <c r="Q1861">
        <v>72</v>
      </c>
      <c r="R1861">
        <v>84</v>
      </c>
      <c r="S1861">
        <v>96</v>
      </c>
      <c r="T1861">
        <v>66</v>
      </c>
      <c r="U1861">
        <v>48</v>
      </c>
      <c r="V1861">
        <v>42</v>
      </c>
      <c r="W1861">
        <v>60</v>
      </c>
      <c r="X1861">
        <v>77</v>
      </c>
      <c r="Y1861">
        <v>96</v>
      </c>
      <c r="Z1861">
        <v>72</v>
      </c>
      <c r="AA1861">
        <v>48</v>
      </c>
      <c r="AB1861">
        <v>42</v>
      </c>
      <c r="AC1861">
        <v>42</v>
      </c>
      <c r="AD1861">
        <v>30</v>
      </c>
      <c r="AE1861">
        <v>18</v>
      </c>
      <c r="AF1861">
        <v>18</v>
      </c>
      <c r="CH1861" t="str">
        <f t="shared" si="29"/>
        <v>JV1-0695-3</v>
      </c>
      <c r="CI1861" s="1" t="s">
        <v>102</v>
      </c>
    </row>
    <row r="1862" spans="1:87">
      <c r="A1862" t="s">
        <v>2959</v>
      </c>
      <c r="B1862">
        <v>269</v>
      </c>
      <c r="C1862" t="s">
        <v>1166</v>
      </c>
      <c r="D1862" t="s">
        <v>457</v>
      </c>
      <c r="E1862" t="s">
        <v>629</v>
      </c>
      <c r="F1862" t="s">
        <v>672</v>
      </c>
      <c r="G1862" t="s">
        <v>673</v>
      </c>
      <c r="N1862">
        <v>22</v>
      </c>
      <c r="O1862">
        <v>22</v>
      </c>
      <c r="P1862">
        <v>22</v>
      </c>
      <c r="Q1862">
        <v>44</v>
      </c>
      <c r="R1862">
        <v>44</v>
      </c>
      <c r="S1862">
        <v>44</v>
      </c>
      <c r="T1862">
        <v>49</v>
      </c>
      <c r="V1862">
        <v>22</v>
      </c>
      <c r="CH1862" t="str">
        <f t="shared" si="29"/>
        <v>JV1-0695-3</v>
      </c>
      <c r="CI1862" s="1" t="s">
        <v>102</v>
      </c>
    </row>
    <row r="1863" spans="1:87">
      <c r="A1863" t="s">
        <v>2960</v>
      </c>
      <c r="B1863">
        <v>2081</v>
      </c>
      <c r="C1863" t="s">
        <v>1167</v>
      </c>
      <c r="D1863" t="s">
        <v>457</v>
      </c>
      <c r="E1863" t="s">
        <v>629</v>
      </c>
      <c r="F1863" t="s">
        <v>672</v>
      </c>
      <c r="G1863" t="s">
        <v>686</v>
      </c>
      <c r="N1863">
        <v>48</v>
      </c>
      <c r="O1863">
        <v>120</v>
      </c>
      <c r="P1863">
        <v>204</v>
      </c>
      <c r="Q1863">
        <v>270</v>
      </c>
      <c r="R1863">
        <v>258</v>
      </c>
      <c r="S1863">
        <v>216</v>
      </c>
      <c r="T1863">
        <v>150</v>
      </c>
      <c r="U1863">
        <v>120</v>
      </c>
      <c r="V1863">
        <v>108</v>
      </c>
      <c r="W1863">
        <v>108</v>
      </c>
      <c r="X1863">
        <v>107</v>
      </c>
      <c r="Y1863">
        <v>108</v>
      </c>
      <c r="Z1863">
        <v>90</v>
      </c>
      <c r="AA1863">
        <v>66</v>
      </c>
      <c r="AB1863">
        <v>60</v>
      </c>
      <c r="AC1863">
        <v>18</v>
      </c>
      <c r="AD1863">
        <v>24</v>
      </c>
      <c r="AF1863">
        <v>6</v>
      </c>
      <c r="CH1863" t="str">
        <f t="shared" si="29"/>
        <v>JV1-0695-3</v>
      </c>
      <c r="CI1863" s="1" t="s">
        <v>102</v>
      </c>
    </row>
    <row r="1864" spans="1:87">
      <c r="A1864" t="s">
        <v>2961</v>
      </c>
      <c r="B1864">
        <v>2147</v>
      </c>
      <c r="C1864" t="s">
        <v>1167</v>
      </c>
      <c r="D1864" t="s">
        <v>457</v>
      </c>
      <c r="E1864" t="s">
        <v>629</v>
      </c>
      <c r="F1864" t="s">
        <v>672</v>
      </c>
      <c r="G1864" t="s">
        <v>686</v>
      </c>
      <c r="N1864">
        <v>54</v>
      </c>
      <c r="O1864">
        <v>120</v>
      </c>
      <c r="P1864">
        <v>204</v>
      </c>
      <c r="Q1864">
        <v>276</v>
      </c>
      <c r="R1864">
        <v>258</v>
      </c>
      <c r="S1864">
        <v>222</v>
      </c>
      <c r="T1864">
        <v>150</v>
      </c>
      <c r="U1864">
        <v>126</v>
      </c>
      <c r="V1864">
        <v>114</v>
      </c>
      <c r="W1864">
        <v>114</v>
      </c>
      <c r="X1864">
        <v>107</v>
      </c>
      <c r="Y1864">
        <v>108</v>
      </c>
      <c r="Z1864">
        <v>96</v>
      </c>
      <c r="AA1864">
        <v>66</v>
      </c>
      <c r="AB1864">
        <v>66</v>
      </c>
      <c r="AC1864">
        <v>24</v>
      </c>
      <c r="AD1864">
        <v>30</v>
      </c>
      <c r="AF1864">
        <v>12</v>
      </c>
      <c r="CH1864" t="str">
        <f t="shared" si="29"/>
        <v>JV1-0695-3</v>
      </c>
      <c r="CI1864" s="1" t="s">
        <v>102</v>
      </c>
    </row>
    <row r="1865" spans="1:87">
      <c r="A1865" t="s">
        <v>2962</v>
      </c>
      <c r="B1865">
        <v>431</v>
      </c>
      <c r="C1865" t="s">
        <v>1168</v>
      </c>
      <c r="D1865" t="s">
        <v>457</v>
      </c>
      <c r="E1865" t="s">
        <v>629</v>
      </c>
      <c r="F1865" t="s">
        <v>672</v>
      </c>
      <c r="G1865" t="s">
        <v>673</v>
      </c>
      <c r="N1865">
        <v>30</v>
      </c>
      <c r="O1865">
        <v>42</v>
      </c>
      <c r="P1865">
        <v>42</v>
      </c>
      <c r="Q1865">
        <v>54</v>
      </c>
      <c r="R1865">
        <v>60</v>
      </c>
      <c r="S1865">
        <v>60</v>
      </c>
      <c r="T1865">
        <v>42</v>
      </c>
      <c r="U1865">
        <v>30</v>
      </c>
      <c r="V1865">
        <v>30</v>
      </c>
      <c r="W1865">
        <v>12</v>
      </c>
      <c r="X1865">
        <v>11</v>
      </c>
      <c r="Y1865">
        <v>6</v>
      </c>
      <c r="Z1865">
        <v>6</v>
      </c>
      <c r="AB1865">
        <v>6</v>
      </c>
      <c r="CH1865" t="str">
        <f t="shared" si="29"/>
        <v>JV1-0695-3</v>
      </c>
      <c r="CI1865" s="1" t="s">
        <v>102</v>
      </c>
    </row>
    <row r="1866" spans="1:87">
      <c r="A1866" t="s">
        <v>2963</v>
      </c>
      <c r="B1866">
        <v>2249</v>
      </c>
      <c r="C1866" t="s">
        <v>718</v>
      </c>
      <c r="D1866" t="s">
        <v>457</v>
      </c>
      <c r="E1866" t="s">
        <v>629</v>
      </c>
      <c r="F1866" t="s">
        <v>672</v>
      </c>
      <c r="G1866" t="s">
        <v>673</v>
      </c>
      <c r="N1866">
        <v>96</v>
      </c>
      <c r="O1866">
        <v>114</v>
      </c>
      <c r="P1866">
        <v>132</v>
      </c>
      <c r="Q1866">
        <v>144</v>
      </c>
      <c r="R1866">
        <v>144</v>
      </c>
      <c r="S1866">
        <v>138</v>
      </c>
      <c r="T1866">
        <v>114</v>
      </c>
      <c r="U1866">
        <v>132</v>
      </c>
      <c r="V1866">
        <v>132</v>
      </c>
      <c r="W1866">
        <v>144</v>
      </c>
      <c r="X1866">
        <v>179</v>
      </c>
      <c r="Y1866">
        <v>204</v>
      </c>
      <c r="Z1866">
        <v>192</v>
      </c>
      <c r="AA1866">
        <v>126</v>
      </c>
      <c r="AB1866">
        <v>120</v>
      </c>
      <c r="AC1866">
        <v>54</v>
      </c>
      <c r="AD1866">
        <v>60</v>
      </c>
      <c r="AF1866">
        <v>24</v>
      </c>
      <c r="CH1866" t="str">
        <f t="shared" si="29"/>
        <v>JV1-0695-3</v>
      </c>
      <c r="CI1866" s="1" t="s">
        <v>102</v>
      </c>
    </row>
    <row r="1867" spans="1:87">
      <c r="A1867" t="s">
        <v>2964</v>
      </c>
      <c r="B1867">
        <v>1973</v>
      </c>
      <c r="C1867" t="s">
        <v>1166</v>
      </c>
      <c r="D1867" t="s">
        <v>457</v>
      </c>
      <c r="E1867" t="s">
        <v>629</v>
      </c>
      <c r="F1867" t="s">
        <v>672</v>
      </c>
      <c r="G1867" t="s">
        <v>673</v>
      </c>
      <c r="N1867">
        <v>108</v>
      </c>
      <c r="O1867">
        <v>186</v>
      </c>
      <c r="P1867">
        <v>210</v>
      </c>
      <c r="Q1867">
        <v>294</v>
      </c>
      <c r="R1867">
        <v>282</v>
      </c>
      <c r="S1867">
        <v>282</v>
      </c>
      <c r="T1867">
        <v>216</v>
      </c>
      <c r="U1867">
        <v>150</v>
      </c>
      <c r="V1867">
        <v>114</v>
      </c>
      <c r="W1867">
        <v>42</v>
      </c>
      <c r="X1867">
        <v>17</v>
      </c>
      <c r="Y1867">
        <v>18</v>
      </c>
      <c r="Z1867">
        <v>18</v>
      </c>
      <c r="AA1867">
        <v>12</v>
      </c>
      <c r="AB1867">
        <v>12</v>
      </c>
      <c r="AC1867">
        <v>6</v>
      </c>
      <c r="AD1867">
        <v>6</v>
      </c>
      <c r="CH1867" t="str">
        <f t="shared" si="29"/>
        <v>JV1-0695-3</v>
      </c>
      <c r="CI1867" s="1" t="s">
        <v>102</v>
      </c>
    </row>
    <row r="1868" spans="1:87">
      <c r="A1868" t="s">
        <v>2965</v>
      </c>
      <c r="B1868">
        <v>2165</v>
      </c>
      <c r="C1868" t="s">
        <v>1165</v>
      </c>
      <c r="D1868" t="s">
        <v>457</v>
      </c>
      <c r="E1868" t="s">
        <v>629</v>
      </c>
      <c r="F1868" t="s">
        <v>672</v>
      </c>
      <c r="G1868" t="s">
        <v>673</v>
      </c>
      <c r="N1868">
        <v>180</v>
      </c>
      <c r="O1868">
        <v>180</v>
      </c>
      <c r="P1868">
        <v>180</v>
      </c>
      <c r="Q1868">
        <v>360</v>
      </c>
      <c r="R1868">
        <v>360</v>
      </c>
      <c r="S1868">
        <v>360</v>
      </c>
      <c r="T1868">
        <v>365</v>
      </c>
      <c r="V1868">
        <v>180</v>
      </c>
      <c r="CH1868" t="str">
        <f t="shared" si="29"/>
        <v>JV1-0695-3</v>
      </c>
      <c r="CI1868" s="1" t="s">
        <v>102</v>
      </c>
    </row>
    <row r="1869" spans="1:87">
      <c r="A1869" t="s">
        <v>2966</v>
      </c>
      <c r="B1869">
        <v>1817</v>
      </c>
      <c r="C1869" t="s">
        <v>1165</v>
      </c>
      <c r="D1869" t="s">
        <v>457</v>
      </c>
      <c r="E1869" t="s">
        <v>629</v>
      </c>
      <c r="F1869" t="s">
        <v>672</v>
      </c>
      <c r="G1869" t="s">
        <v>673</v>
      </c>
      <c r="N1869">
        <v>198</v>
      </c>
      <c r="O1869">
        <v>234</v>
      </c>
      <c r="P1869">
        <v>114</v>
      </c>
      <c r="Q1869">
        <v>264</v>
      </c>
      <c r="R1869">
        <v>258</v>
      </c>
      <c r="S1869">
        <v>264</v>
      </c>
      <c r="T1869">
        <v>258</v>
      </c>
      <c r="U1869">
        <v>42</v>
      </c>
      <c r="V1869">
        <v>120</v>
      </c>
      <c r="W1869">
        <v>18</v>
      </c>
      <c r="X1869">
        <v>17</v>
      </c>
      <c r="Y1869">
        <v>12</v>
      </c>
      <c r="Z1869">
        <v>12</v>
      </c>
      <c r="AB1869">
        <v>6</v>
      </c>
      <c r="CH1869" t="str">
        <f t="shared" si="29"/>
        <v>JV1-0695-3</v>
      </c>
      <c r="CI1869" s="1" t="s">
        <v>102</v>
      </c>
    </row>
    <row r="1870" spans="1:87">
      <c r="A1870" t="s">
        <v>2967</v>
      </c>
      <c r="B1870">
        <v>1763</v>
      </c>
      <c r="C1870" t="s">
        <v>1166</v>
      </c>
      <c r="D1870" t="s">
        <v>457</v>
      </c>
      <c r="E1870" t="s">
        <v>629</v>
      </c>
      <c r="F1870" t="s">
        <v>672</v>
      </c>
      <c r="G1870" t="s">
        <v>673</v>
      </c>
      <c r="N1870">
        <v>102</v>
      </c>
      <c r="O1870">
        <v>168</v>
      </c>
      <c r="P1870">
        <v>186</v>
      </c>
      <c r="Q1870">
        <v>270</v>
      </c>
      <c r="R1870">
        <v>252</v>
      </c>
      <c r="S1870">
        <v>270</v>
      </c>
      <c r="T1870">
        <v>198</v>
      </c>
      <c r="U1870">
        <v>138</v>
      </c>
      <c r="V1870">
        <v>102</v>
      </c>
      <c r="W1870">
        <v>30</v>
      </c>
      <c r="X1870">
        <v>17</v>
      </c>
      <c r="Y1870">
        <v>12</v>
      </c>
      <c r="Z1870">
        <v>12</v>
      </c>
      <c r="AB1870">
        <v>6</v>
      </c>
      <c r="CH1870" t="str">
        <f t="shared" si="29"/>
        <v>JV1-0695-3</v>
      </c>
      <c r="CI1870" s="1" t="s">
        <v>102</v>
      </c>
    </row>
    <row r="1871" spans="1:87">
      <c r="A1871" t="s">
        <v>2968</v>
      </c>
      <c r="B1871">
        <v>1607</v>
      </c>
      <c r="C1871" t="s">
        <v>1167</v>
      </c>
      <c r="D1871" t="s">
        <v>457</v>
      </c>
      <c r="E1871" t="s">
        <v>629</v>
      </c>
      <c r="F1871" t="s">
        <v>672</v>
      </c>
      <c r="G1871" t="s">
        <v>686</v>
      </c>
      <c r="N1871">
        <v>48</v>
      </c>
      <c r="O1871">
        <v>126</v>
      </c>
      <c r="P1871">
        <v>66</v>
      </c>
      <c r="Q1871">
        <v>240</v>
      </c>
      <c r="R1871">
        <v>126</v>
      </c>
      <c r="S1871">
        <v>444</v>
      </c>
      <c r="T1871">
        <v>78</v>
      </c>
      <c r="U1871">
        <v>252</v>
      </c>
      <c r="V1871">
        <v>48</v>
      </c>
      <c r="W1871">
        <v>108</v>
      </c>
      <c r="X1871">
        <v>23</v>
      </c>
      <c r="Y1871">
        <v>48</v>
      </c>
      <c r="CH1871" t="str">
        <f t="shared" si="29"/>
        <v>JV1-0695-3</v>
      </c>
      <c r="CI1871" s="1" t="s">
        <v>102</v>
      </c>
    </row>
    <row r="1872" spans="1:87">
      <c r="A1872" t="s">
        <v>2969</v>
      </c>
      <c r="B1872">
        <v>2009</v>
      </c>
      <c r="C1872" t="s">
        <v>1171</v>
      </c>
      <c r="D1872" t="s">
        <v>457</v>
      </c>
      <c r="E1872" t="s">
        <v>629</v>
      </c>
      <c r="F1872" t="s">
        <v>672</v>
      </c>
      <c r="G1872" t="s">
        <v>686</v>
      </c>
      <c r="N1872">
        <v>42</v>
      </c>
      <c r="O1872">
        <v>120</v>
      </c>
      <c r="P1872">
        <v>42</v>
      </c>
      <c r="Q1872">
        <v>258</v>
      </c>
      <c r="R1872">
        <v>120</v>
      </c>
      <c r="S1872">
        <v>300</v>
      </c>
      <c r="T1872">
        <v>102</v>
      </c>
      <c r="U1872">
        <v>198</v>
      </c>
      <c r="V1872">
        <v>60</v>
      </c>
      <c r="W1872">
        <v>162</v>
      </c>
      <c r="X1872">
        <v>83</v>
      </c>
      <c r="Y1872">
        <v>138</v>
      </c>
      <c r="Z1872">
        <v>60</v>
      </c>
      <c r="AA1872">
        <v>120</v>
      </c>
      <c r="AB1872">
        <v>60</v>
      </c>
      <c r="AC1872">
        <v>102</v>
      </c>
      <c r="AE1872">
        <v>42</v>
      </c>
      <c r="CH1872" t="str">
        <f t="shared" si="29"/>
        <v>JV1-0695-3</v>
      </c>
      <c r="CI1872" s="1" t="s">
        <v>102</v>
      </c>
    </row>
    <row r="1873" spans="1:87">
      <c r="A1873" t="s">
        <v>2970</v>
      </c>
      <c r="B1873">
        <v>419</v>
      </c>
      <c r="C1873" t="s">
        <v>1171</v>
      </c>
      <c r="D1873" t="s">
        <v>457</v>
      </c>
      <c r="E1873" t="s">
        <v>629</v>
      </c>
      <c r="F1873" t="s">
        <v>672</v>
      </c>
      <c r="G1873" t="s">
        <v>686</v>
      </c>
      <c r="N1873">
        <v>12</v>
      </c>
      <c r="O1873">
        <v>30</v>
      </c>
      <c r="P1873">
        <v>24</v>
      </c>
      <c r="Q1873">
        <v>54</v>
      </c>
      <c r="R1873">
        <v>36</v>
      </c>
      <c r="S1873">
        <v>60</v>
      </c>
      <c r="T1873">
        <v>36</v>
      </c>
      <c r="U1873">
        <v>48</v>
      </c>
      <c r="V1873">
        <v>30</v>
      </c>
      <c r="W1873">
        <v>54</v>
      </c>
      <c r="X1873">
        <v>35</v>
      </c>
      <c r="CH1873" t="str">
        <f t="shared" si="29"/>
        <v>JV1-0695-3</v>
      </c>
      <c r="CI1873" s="1" t="s">
        <v>102</v>
      </c>
    </row>
    <row r="1874" spans="1:87">
      <c r="A1874" t="s">
        <v>2971</v>
      </c>
      <c r="B1874">
        <v>407</v>
      </c>
      <c r="C1874" t="s">
        <v>1170</v>
      </c>
      <c r="D1874" t="s">
        <v>457</v>
      </c>
      <c r="E1874" t="s">
        <v>629</v>
      </c>
      <c r="F1874" t="s">
        <v>672</v>
      </c>
      <c r="G1874" t="s">
        <v>686</v>
      </c>
      <c r="N1874">
        <v>12</v>
      </c>
      <c r="O1874">
        <v>36</v>
      </c>
      <c r="P1874">
        <v>24</v>
      </c>
      <c r="Q1874">
        <v>84</v>
      </c>
      <c r="R1874">
        <v>48</v>
      </c>
      <c r="S1874">
        <v>102</v>
      </c>
      <c r="T1874">
        <v>24</v>
      </c>
      <c r="U1874">
        <v>53</v>
      </c>
      <c r="V1874">
        <v>12</v>
      </c>
      <c r="W1874">
        <v>12</v>
      </c>
      <c r="CH1874" t="str">
        <f t="shared" si="29"/>
        <v>JV1-0695-3</v>
      </c>
      <c r="CI1874" s="1" t="s">
        <v>102</v>
      </c>
    </row>
    <row r="1875" spans="1:87">
      <c r="A1875" t="s">
        <v>3741</v>
      </c>
      <c r="B1875">
        <v>803</v>
      </c>
      <c r="C1875" t="s">
        <v>3404</v>
      </c>
      <c r="D1875" t="s">
        <v>457</v>
      </c>
      <c r="E1875" t="s">
        <v>629</v>
      </c>
      <c r="F1875" t="s">
        <v>672</v>
      </c>
      <c r="G1875" t="s">
        <v>738</v>
      </c>
      <c r="N1875">
        <v>24</v>
      </c>
      <c r="O1875">
        <v>72</v>
      </c>
      <c r="P1875">
        <v>42</v>
      </c>
      <c r="Q1875">
        <v>168</v>
      </c>
      <c r="R1875">
        <v>84</v>
      </c>
      <c r="S1875">
        <v>204</v>
      </c>
      <c r="T1875">
        <v>48</v>
      </c>
      <c r="U1875">
        <v>96</v>
      </c>
      <c r="V1875">
        <v>24</v>
      </c>
      <c r="W1875">
        <v>24</v>
      </c>
      <c r="X1875">
        <v>11</v>
      </c>
      <c r="Y1875">
        <v>6</v>
      </c>
      <c r="CH1875" t="str">
        <f t="shared" si="29"/>
        <v>JV1-0695-3</v>
      </c>
      <c r="CI1875" s="1" t="s">
        <v>102</v>
      </c>
    </row>
    <row r="1876" spans="1:87">
      <c r="A1876" t="s">
        <v>2972</v>
      </c>
      <c r="B1876">
        <v>1103</v>
      </c>
      <c r="C1876" t="s">
        <v>1171</v>
      </c>
      <c r="D1876" t="s">
        <v>457</v>
      </c>
      <c r="E1876" t="s">
        <v>629</v>
      </c>
      <c r="F1876" t="s">
        <v>672</v>
      </c>
      <c r="G1876" t="s">
        <v>686</v>
      </c>
      <c r="N1876">
        <v>24</v>
      </c>
      <c r="O1876">
        <v>96</v>
      </c>
      <c r="P1876">
        <v>60</v>
      </c>
      <c r="Q1876">
        <v>228</v>
      </c>
      <c r="R1876">
        <v>120</v>
      </c>
      <c r="S1876">
        <v>288</v>
      </c>
      <c r="T1876">
        <v>72</v>
      </c>
      <c r="U1876">
        <v>132</v>
      </c>
      <c r="V1876">
        <v>30</v>
      </c>
      <c r="W1876">
        <v>36</v>
      </c>
      <c r="X1876">
        <v>11</v>
      </c>
      <c r="Y1876">
        <v>6</v>
      </c>
      <c r="CH1876" t="str">
        <f t="shared" si="29"/>
        <v>JV1-0695-3</v>
      </c>
      <c r="CI1876" s="1" t="s">
        <v>102</v>
      </c>
    </row>
    <row r="1877" spans="1:87">
      <c r="A1877" t="s">
        <v>2973</v>
      </c>
      <c r="B1877">
        <v>1805</v>
      </c>
      <c r="C1877" t="s">
        <v>1169</v>
      </c>
      <c r="D1877" t="s">
        <v>457</v>
      </c>
      <c r="E1877" t="s">
        <v>629</v>
      </c>
      <c r="F1877" t="s">
        <v>672</v>
      </c>
      <c r="G1877" t="s">
        <v>738</v>
      </c>
      <c r="N1877">
        <v>48</v>
      </c>
      <c r="O1877">
        <v>168</v>
      </c>
      <c r="P1877">
        <v>96</v>
      </c>
      <c r="Q1877">
        <v>372</v>
      </c>
      <c r="R1877">
        <v>192</v>
      </c>
      <c r="S1877">
        <v>468</v>
      </c>
      <c r="T1877">
        <v>120</v>
      </c>
      <c r="U1877">
        <v>228</v>
      </c>
      <c r="V1877">
        <v>42</v>
      </c>
      <c r="W1877">
        <v>48</v>
      </c>
      <c r="X1877">
        <v>17</v>
      </c>
      <c r="Y1877">
        <v>6</v>
      </c>
      <c r="CH1877" t="str">
        <f t="shared" si="29"/>
        <v>JV1-0695-3</v>
      </c>
      <c r="CI1877" s="1" t="s">
        <v>102</v>
      </c>
    </row>
    <row r="1878" spans="1:87">
      <c r="A1878" t="s">
        <v>2974</v>
      </c>
      <c r="B1878">
        <v>395</v>
      </c>
      <c r="C1878" t="s">
        <v>1171</v>
      </c>
      <c r="D1878" t="s">
        <v>457</v>
      </c>
      <c r="E1878" t="s">
        <v>629</v>
      </c>
      <c r="F1878" t="s">
        <v>672</v>
      </c>
      <c r="G1878" t="s">
        <v>686</v>
      </c>
      <c r="N1878">
        <v>12</v>
      </c>
      <c r="O1878">
        <v>30</v>
      </c>
      <c r="P1878">
        <v>30</v>
      </c>
      <c r="Q1878">
        <v>42</v>
      </c>
      <c r="R1878">
        <v>48</v>
      </c>
      <c r="S1878">
        <v>48</v>
      </c>
      <c r="T1878">
        <v>36</v>
      </c>
      <c r="U1878">
        <v>48</v>
      </c>
      <c r="V1878">
        <v>36</v>
      </c>
      <c r="W1878">
        <v>30</v>
      </c>
      <c r="X1878">
        <v>35</v>
      </c>
      <c r="CH1878" t="str">
        <f t="shared" si="29"/>
        <v>JV1-0695-3</v>
      </c>
      <c r="CI1878" s="1" t="s">
        <v>102</v>
      </c>
    </row>
    <row r="1879" spans="1:87">
      <c r="A1879" t="s">
        <v>2975</v>
      </c>
      <c r="B1879">
        <v>1013</v>
      </c>
      <c r="C1879" t="s">
        <v>1166</v>
      </c>
      <c r="D1879" t="s">
        <v>457</v>
      </c>
      <c r="E1879" t="s">
        <v>629</v>
      </c>
      <c r="F1879" t="s">
        <v>672</v>
      </c>
      <c r="G1879" t="s">
        <v>673</v>
      </c>
      <c r="N1879">
        <v>84</v>
      </c>
      <c r="O1879">
        <v>108</v>
      </c>
      <c r="Q1879">
        <v>168</v>
      </c>
      <c r="R1879">
        <v>132</v>
      </c>
      <c r="S1879">
        <v>168</v>
      </c>
      <c r="T1879">
        <v>132</v>
      </c>
      <c r="U1879">
        <v>77</v>
      </c>
      <c r="V1879">
        <v>72</v>
      </c>
      <c r="W1879">
        <v>72</v>
      </c>
      <c r="CH1879" t="str">
        <f t="shared" si="29"/>
        <v>JV1-0695-3</v>
      </c>
      <c r="CI1879" s="1" t="s">
        <v>102</v>
      </c>
    </row>
    <row r="1880" spans="1:87">
      <c r="A1880" t="s">
        <v>2976</v>
      </c>
      <c r="B1880">
        <v>305</v>
      </c>
      <c r="C1880" t="s">
        <v>1165</v>
      </c>
      <c r="D1880" t="s">
        <v>457</v>
      </c>
      <c r="E1880" t="s">
        <v>629</v>
      </c>
      <c r="F1880" t="s">
        <v>672</v>
      </c>
      <c r="G1880" t="s">
        <v>673</v>
      </c>
      <c r="N1880">
        <v>24</v>
      </c>
      <c r="O1880">
        <v>36</v>
      </c>
      <c r="Q1880">
        <v>48</v>
      </c>
      <c r="R1880">
        <v>36</v>
      </c>
      <c r="S1880">
        <v>48</v>
      </c>
      <c r="T1880">
        <v>36</v>
      </c>
      <c r="U1880">
        <v>29</v>
      </c>
      <c r="V1880">
        <v>24</v>
      </c>
      <c r="W1880">
        <v>24</v>
      </c>
      <c r="CH1880" t="str">
        <f t="shared" si="29"/>
        <v>JV1-0695-3</v>
      </c>
      <c r="CI1880" s="1" t="s">
        <v>102</v>
      </c>
    </row>
    <row r="1881" spans="1:87">
      <c r="A1881" t="s">
        <v>2977</v>
      </c>
      <c r="B1881">
        <v>353</v>
      </c>
      <c r="C1881" t="s">
        <v>1166</v>
      </c>
      <c r="D1881" t="s">
        <v>457</v>
      </c>
      <c r="E1881" t="s">
        <v>629</v>
      </c>
      <c r="F1881" t="s">
        <v>672</v>
      </c>
      <c r="G1881" t="s">
        <v>673</v>
      </c>
      <c r="N1881">
        <v>12</v>
      </c>
      <c r="O1881">
        <v>36</v>
      </c>
      <c r="Q1881">
        <v>108</v>
      </c>
      <c r="R1881">
        <v>48</v>
      </c>
      <c r="S1881">
        <v>84</v>
      </c>
      <c r="T1881">
        <v>65</v>
      </c>
      <c r="CH1881" t="str">
        <f t="shared" si="29"/>
        <v>JV1-0695-3</v>
      </c>
      <c r="CI1881" s="1" t="s">
        <v>102</v>
      </c>
    </row>
    <row r="1882" spans="1:87">
      <c r="A1882" t="s">
        <v>2978</v>
      </c>
      <c r="B1882">
        <v>269</v>
      </c>
      <c r="C1882" t="s">
        <v>1168</v>
      </c>
      <c r="D1882" t="s">
        <v>457</v>
      </c>
      <c r="E1882" t="s">
        <v>629</v>
      </c>
      <c r="F1882" t="s">
        <v>672</v>
      </c>
      <c r="G1882" t="s">
        <v>673</v>
      </c>
      <c r="R1882">
        <v>24</v>
      </c>
      <c r="S1882">
        <v>24</v>
      </c>
      <c r="T1882">
        <v>48</v>
      </c>
      <c r="U1882">
        <v>36</v>
      </c>
      <c r="V1882">
        <v>36</v>
      </c>
      <c r="W1882">
        <v>36</v>
      </c>
      <c r="X1882">
        <v>41</v>
      </c>
      <c r="Y1882">
        <v>24</v>
      </c>
      <c r="CH1882" t="str">
        <f t="shared" si="29"/>
        <v>JV1-0695-3</v>
      </c>
      <c r="CI1882" s="1" t="s">
        <v>102</v>
      </c>
    </row>
    <row r="1883" spans="1:87">
      <c r="A1883" t="s">
        <v>2979</v>
      </c>
      <c r="B1883">
        <v>809</v>
      </c>
      <c r="C1883" t="s">
        <v>1165</v>
      </c>
      <c r="D1883" t="s">
        <v>457</v>
      </c>
      <c r="E1883" t="s">
        <v>629</v>
      </c>
      <c r="F1883" t="s">
        <v>672</v>
      </c>
      <c r="G1883" t="s">
        <v>673</v>
      </c>
      <c r="R1883">
        <v>84</v>
      </c>
      <c r="S1883">
        <v>84</v>
      </c>
      <c r="T1883">
        <v>132</v>
      </c>
      <c r="U1883">
        <v>108</v>
      </c>
      <c r="V1883">
        <v>132</v>
      </c>
      <c r="W1883">
        <v>96</v>
      </c>
      <c r="X1883">
        <v>113</v>
      </c>
      <c r="Y1883">
        <v>60</v>
      </c>
      <c r="CH1883" t="str">
        <f t="shared" si="29"/>
        <v>JV1-0695-3</v>
      </c>
      <c r="CI1883" s="1" t="s">
        <v>102</v>
      </c>
    </row>
    <row r="1884" spans="1:87">
      <c r="A1884" t="s">
        <v>2980</v>
      </c>
      <c r="B1884">
        <v>1007</v>
      </c>
      <c r="C1884" t="s">
        <v>1167</v>
      </c>
      <c r="D1884" t="s">
        <v>457</v>
      </c>
      <c r="E1884" t="s">
        <v>629</v>
      </c>
      <c r="F1884" t="s">
        <v>672</v>
      </c>
      <c r="G1884" t="s">
        <v>686</v>
      </c>
      <c r="V1884">
        <v>90</v>
      </c>
      <c r="W1884">
        <v>168</v>
      </c>
      <c r="X1884">
        <v>95</v>
      </c>
      <c r="Y1884">
        <v>186</v>
      </c>
      <c r="Z1884">
        <v>162</v>
      </c>
      <c r="AA1884">
        <v>72</v>
      </c>
      <c r="AB1884">
        <v>138</v>
      </c>
      <c r="AD1884">
        <v>84</v>
      </c>
      <c r="AF1884">
        <v>12</v>
      </c>
      <c r="CH1884" t="str">
        <f t="shared" si="29"/>
        <v>JV1-0695-3</v>
      </c>
      <c r="CI1884" s="1" t="s">
        <v>102</v>
      </c>
    </row>
    <row r="1885" spans="1:87">
      <c r="A1885" t="s">
        <v>2981</v>
      </c>
      <c r="B1885">
        <v>1997</v>
      </c>
      <c r="C1885" t="s">
        <v>1167</v>
      </c>
      <c r="D1885" t="s">
        <v>457</v>
      </c>
      <c r="E1885" t="s">
        <v>629</v>
      </c>
      <c r="F1885" t="s">
        <v>672</v>
      </c>
      <c r="G1885" t="s">
        <v>686</v>
      </c>
      <c r="N1885">
        <v>166</v>
      </c>
      <c r="O1885">
        <v>166</v>
      </c>
      <c r="P1885">
        <v>166</v>
      </c>
      <c r="Q1885">
        <v>332</v>
      </c>
      <c r="R1885">
        <v>166</v>
      </c>
      <c r="S1885">
        <v>332</v>
      </c>
      <c r="T1885">
        <v>332</v>
      </c>
      <c r="U1885">
        <v>171</v>
      </c>
      <c r="V1885">
        <v>166</v>
      </c>
      <c r="CH1885" t="str">
        <f t="shared" si="29"/>
        <v>JV1-0695-3</v>
      </c>
      <c r="CI1885" s="1" t="s">
        <v>102</v>
      </c>
    </row>
    <row r="1886" spans="1:87">
      <c r="A1886" t="s">
        <v>2982</v>
      </c>
      <c r="B1886">
        <v>1007</v>
      </c>
      <c r="C1886" t="s">
        <v>1171</v>
      </c>
      <c r="D1886" t="s">
        <v>457</v>
      </c>
      <c r="E1886" t="s">
        <v>629</v>
      </c>
      <c r="F1886" t="s">
        <v>672</v>
      </c>
      <c r="G1886" t="s">
        <v>686</v>
      </c>
      <c r="V1886">
        <v>90</v>
      </c>
      <c r="W1886">
        <v>168</v>
      </c>
      <c r="X1886">
        <v>95</v>
      </c>
      <c r="Y1886">
        <v>186</v>
      </c>
      <c r="Z1886">
        <v>162</v>
      </c>
      <c r="AA1886">
        <v>72</v>
      </c>
      <c r="AB1886">
        <v>138</v>
      </c>
      <c r="AD1886">
        <v>84</v>
      </c>
      <c r="AF1886">
        <v>12</v>
      </c>
      <c r="CH1886" t="str">
        <f t="shared" si="29"/>
        <v>JV1-0695-3</v>
      </c>
      <c r="CI1886" s="1" t="s">
        <v>102</v>
      </c>
    </row>
    <row r="1887" spans="1:87">
      <c r="A1887" t="s">
        <v>2983</v>
      </c>
      <c r="B1887">
        <v>1007</v>
      </c>
      <c r="C1887" t="s">
        <v>1170</v>
      </c>
      <c r="D1887" t="s">
        <v>457</v>
      </c>
      <c r="E1887" t="s">
        <v>629</v>
      </c>
      <c r="F1887" t="s">
        <v>672</v>
      </c>
      <c r="G1887" t="s">
        <v>686</v>
      </c>
      <c r="N1887">
        <v>48</v>
      </c>
      <c r="O1887">
        <v>96</v>
      </c>
      <c r="P1887">
        <v>84</v>
      </c>
      <c r="Q1887">
        <v>180</v>
      </c>
      <c r="R1887">
        <v>156</v>
      </c>
      <c r="S1887">
        <v>204</v>
      </c>
      <c r="T1887">
        <v>84</v>
      </c>
      <c r="U1887">
        <v>95</v>
      </c>
      <c r="V1887">
        <v>36</v>
      </c>
      <c r="W1887">
        <v>24</v>
      </c>
      <c r="CH1887" t="str">
        <f t="shared" si="29"/>
        <v>JV1-0695-3</v>
      </c>
      <c r="CI1887" s="1" t="s">
        <v>102</v>
      </c>
    </row>
    <row r="1888" spans="1:87">
      <c r="A1888" t="s">
        <v>3742</v>
      </c>
      <c r="B1888">
        <v>2135</v>
      </c>
      <c r="C1888" t="s">
        <v>3404</v>
      </c>
      <c r="D1888" t="s">
        <v>457</v>
      </c>
      <c r="E1888" t="s">
        <v>629</v>
      </c>
      <c r="F1888" t="s">
        <v>672</v>
      </c>
      <c r="G1888" t="s">
        <v>738</v>
      </c>
      <c r="N1888">
        <v>96</v>
      </c>
      <c r="O1888">
        <v>204</v>
      </c>
      <c r="P1888">
        <v>180</v>
      </c>
      <c r="Q1888">
        <v>414</v>
      </c>
      <c r="R1888">
        <v>312</v>
      </c>
      <c r="S1888">
        <v>450</v>
      </c>
      <c r="T1888">
        <v>168</v>
      </c>
      <c r="U1888">
        <v>186</v>
      </c>
      <c r="V1888">
        <v>72</v>
      </c>
      <c r="W1888">
        <v>36</v>
      </c>
      <c r="X1888">
        <v>11</v>
      </c>
      <c r="Y1888">
        <v>6</v>
      </c>
      <c r="CH1888" t="str">
        <f t="shared" si="29"/>
        <v>JV1-0695-3</v>
      </c>
      <c r="CI1888" s="1" t="s">
        <v>102</v>
      </c>
    </row>
    <row r="1889" spans="1:87">
      <c r="A1889" t="s">
        <v>2984</v>
      </c>
      <c r="B1889">
        <v>257</v>
      </c>
      <c r="C1889" t="s">
        <v>1171</v>
      </c>
      <c r="D1889" t="s">
        <v>457</v>
      </c>
      <c r="E1889" t="s">
        <v>629</v>
      </c>
      <c r="F1889" t="s">
        <v>672</v>
      </c>
      <c r="G1889" t="s">
        <v>686</v>
      </c>
      <c r="N1889">
        <v>12</v>
      </c>
      <c r="O1889">
        <v>24</v>
      </c>
      <c r="P1889">
        <v>12</v>
      </c>
      <c r="Q1889">
        <v>42</v>
      </c>
      <c r="R1889">
        <v>24</v>
      </c>
      <c r="S1889">
        <v>72</v>
      </c>
      <c r="T1889">
        <v>12</v>
      </c>
      <c r="U1889">
        <v>35</v>
      </c>
      <c r="V1889">
        <v>12</v>
      </c>
      <c r="W1889">
        <v>12</v>
      </c>
      <c r="CH1889" t="str">
        <f t="shared" si="29"/>
        <v>JV1-0695-3</v>
      </c>
      <c r="CI1889" s="1" t="s">
        <v>102</v>
      </c>
    </row>
    <row r="1890" spans="1:87">
      <c r="A1890" t="s">
        <v>2985</v>
      </c>
      <c r="B1890">
        <v>713</v>
      </c>
      <c r="C1890" t="s">
        <v>1166</v>
      </c>
      <c r="D1890" t="s">
        <v>457</v>
      </c>
      <c r="E1890" t="s">
        <v>629</v>
      </c>
      <c r="F1890" t="s">
        <v>672</v>
      </c>
      <c r="G1890" t="s">
        <v>673</v>
      </c>
      <c r="N1890">
        <v>12</v>
      </c>
      <c r="O1890">
        <v>48</v>
      </c>
      <c r="P1890">
        <v>54</v>
      </c>
      <c r="Q1890">
        <v>102</v>
      </c>
      <c r="R1890">
        <v>96</v>
      </c>
      <c r="S1890">
        <v>126</v>
      </c>
      <c r="T1890">
        <v>90</v>
      </c>
      <c r="U1890">
        <v>101</v>
      </c>
      <c r="V1890">
        <v>30</v>
      </c>
      <c r="W1890">
        <v>48</v>
      </c>
      <c r="Y1890">
        <v>6</v>
      </c>
      <c r="CH1890" t="str">
        <f t="shared" si="29"/>
        <v>JV1-0695-3</v>
      </c>
      <c r="CI1890" s="1" t="s">
        <v>102</v>
      </c>
    </row>
    <row r="1891" spans="1:87">
      <c r="A1891" t="s">
        <v>2986</v>
      </c>
      <c r="B1891">
        <v>1313</v>
      </c>
      <c r="C1891" t="s">
        <v>1166</v>
      </c>
      <c r="D1891" t="s">
        <v>457</v>
      </c>
      <c r="E1891" t="s">
        <v>629</v>
      </c>
      <c r="F1891" t="s">
        <v>672</v>
      </c>
      <c r="G1891" t="s">
        <v>673</v>
      </c>
      <c r="N1891">
        <v>18</v>
      </c>
      <c r="O1891">
        <v>90</v>
      </c>
      <c r="P1891">
        <v>96</v>
      </c>
      <c r="Q1891">
        <v>192</v>
      </c>
      <c r="R1891">
        <v>174</v>
      </c>
      <c r="S1891">
        <v>240</v>
      </c>
      <c r="T1891">
        <v>168</v>
      </c>
      <c r="U1891">
        <v>179</v>
      </c>
      <c r="V1891">
        <v>60</v>
      </c>
      <c r="W1891">
        <v>84</v>
      </c>
      <c r="Y1891">
        <v>12</v>
      </c>
      <c r="CH1891" t="str">
        <f t="shared" si="29"/>
        <v>JV1-0695-3</v>
      </c>
      <c r="CI1891" s="1" t="s">
        <v>102</v>
      </c>
    </row>
    <row r="1892" spans="1:87">
      <c r="A1892" t="s">
        <v>2987</v>
      </c>
      <c r="B1892">
        <v>443</v>
      </c>
      <c r="C1892" t="s">
        <v>1166</v>
      </c>
      <c r="D1892" t="s">
        <v>457</v>
      </c>
      <c r="E1892" t="s">
        <v>629</v>
      </c>
      <c r="F1892" t="s">
        <v>672</v>
      </c>
      <c r="G1892" t="s">
        <v>673</v>
      </c>
      <c r="N1892">
        <v>12</v>
      </c>
      <c r="O1892">
        <v>12</v>
      </c>
      <c r="P1892">
        <v>30</v>
      </c>
      <c r="Q1892">
        <v>42</v>
      </c>
      <c r="R1892">
        <v>42</v>
      </c>
      <c r="S1892">
        <v>54</v>
      </c>
      <c r="T1892">
        <v>42</v>
      </c>
      <c r="U1892">
        <v>42</v>
      </c>
      <c r="V1892">
        <v>36</v>
      </c>
      <c r="W1892">
        <v>36</v>
      </c>
      <c r="X1892">
        <v>35</v>
      </c>
      <c r="Y1892">
        <v>30</v>
      </c>
      <c r="Z1892">
        <v>12</v>
      </c>
      <c r="AA1892">
        <v>12</v>
      </c>
      <c r="AB1892">
        <v>6</v>
      </c>
      <c r="CH1892" t="str">
        <f t="shared" si="29"/>
        <v>JV1-0695-3</v>
      </c>
      <c r="CI1892" s="1" t="s">
        <v>102</v>
      </c>
    </row>
    <row r="1893" spans="1:87">
      <c r="A1893" t="s">
        <v>2988</v>
      </c>
      <c r="B1893">
        <v>1049</v>
      </c>
      <c r="C1893" t="s">
        <v>1166</v>
      </c>
      <c r="D1893" t="s">
        <v>457</v>
      </c>
      <c r="E1893" t="s">
        <v>629</v>
      </c>
      <c r="F1893" t="s">
        <v>672</v>
      </c>
      <c r="G1893" t="s">
        <v>673</v>
      </c>
      <c r="O1893">
        <v>12</v>
      </c>
      <c r="P1893">
        <v>90</v>
      </c>
      <c r="Q1893">
        <v>114</v>
      </c>
      <c r="R1893">
        <v>138</v>
      </c>
      <c r="S1893">
        <v>156</v>
      </c>
      <c r="T1893">
        <v>138</v>
      </c>
      <c r="U1893">
        <v>96</v>
      </c>
      <c r="V1893">
        <v>24</v>
      </c>
      <c r="W1893">
        <v>36</v>
      </c>
      <c r="X1893">
        <v>53</v>
      </c>
      <c r="Y1893">
        <v>54</v>
      </c>
      <c r="Z1893">
        <v>54</v>
      </c>
      <c r="AA1893">
        <v>42</v>
      </c>
      <c r="AB1893">
        <v>30</v>
      </c>
      <c r="AD1893">
        <v>12</v>
      </c>
      <c r="CH1893" t="str">
        <f t="shared" si="29"/>
        <v>JV1-0695-3</v>
      </c>
      <c r="CI1893" s="1" t="s">
        <v>102</v>
      </c>
    </row>
    <row r="1894" spans="1:87">
      <c r="A1894" t="s">
        <v>3743</v>
      </c>
      <c r="B1894">
        <v>167</v>
      </c>
      <c r="C1894" t="s">
        <v>3404</v>
      </c>
      <c r="D1894" t="s">
        <v>457</v>
      </c>
      <c r="E1894" t="s">
        <v>629</v>
      </c>
      <c r="F1894" t="s">
        <v>672</v>
      </c>
      <c r="G1894" t="s">
        <v>738</v>
      </c>
      <c r="O1894">
        <v>18</v>
      </c>
      <c r="P1894">
        <v>12</v>
      </c>
      <c r="Q1894">
        <v>30</v>
      </c>
      <c r="R1894">
        <v>18</v>
      </c>
      <c r="S1894">
        <v>36</v>
      </c>
      <c r="T1894">
        <v>6</v>
      </c>
      <c r="U1894">
        <v>29</v>
      </c>
      <c r="V1894">
        <v>6</v>
      </c>
      <c r="W1894">
        <v>12</v>
      </c>
      <c r="CH1894" t="str">
        <f t="shared" si="29"/>
        <v>JV1-0695-3</v>
      </c>
      <c r="CI1894" s="1" t="s">
        <v>102</v>
      </c>
    </row>
    <row r="1895" spans="1:87">
      <c r="A1895" t="s">
        <v>2989</v>
      </c>
      <c r="B1895">
        <v>4955</v>
      </c>
      <c r="C1895" t="s">
        <v>1166</v>
      </c>
      <c r="D1895" t="s">
        <v>457</v>
      </c>
      <c r="E1895" t="s">
        <v>629</v>
      </c>
      <c r="F1895" t="s">
        <v>672</v>
      </c>
      <c r="G1895" t="s">
        <v>673</v>
      </c>
      <c r="N1895">
        <v>66</v>
      </c>
      <c r="O1895">
        <v>348</v>
      </c>
      <c r="P1895">
        <v>276</v>
      </c>
      <c r="Q1895">
        <v>684</v>
      </c>
      <c r="R1895">
        <v>456</v>
      </c>
      <c r="S1895">
        <v>828</v>
      </c>
      <c r="T1895">
        <v>408</v>
      </c>
      <c r="U1895">
        <v>612</v>
      </c>
      <c r="V1895">
        <v>324</v>
      </c>
      <c r="W1895">
        <v>210</v>
      </c>
      <c r="X1895">
        <v>251</v>
      </c>
      <c r="Y1895">
        <v>6</v>
      </c>
      <c r="Z1895">
        <v>198</v>
      </c>
      <c r="AB1895">
        <v>126</v>
      </c>
      <c r="AD1895">
        <v>72</v>
      </c>
      <c r="AF1895">
        <v>54</v>
      </c>
      <c r="AH1895">
        <v>36</v>
      </c>
      <c r="CH1895" t="str">
        <f t="shared" si="29"/>
        <v>JV1-0695-3</v>
      </c>
      <c r="CI1895" s="1" t="s">
        <v>102</v>
      </c>
    </row>
    <row r="1896" spans="1:87">
      <c r="A1896" t="s">
        <v>2990</v>
      </c>
      <c r="B1896">
        <v>3911</v>
      </c>
      <c r="C1896" t="s">
        <v>1166</v>
      </c>
      <c r="D1896" t="s">
        <v>457</v>
      </c>
      <c r="E1896" t="s">
        <v>629</v>
      </c>
      <c r="F1896" t="s">
        <v>672</v>
      </c>
      <c r="G1896" t="s">
        <v>673</v>
      </c>
      <c r="N1896">
        <v>66</v>
      </c>
      <c r="O1896">
        <v>234</v>
      </c>
      <c r="P1896">
        <v>210</v>
      </c>
      <c r="Q1896">
        <v>498</v>
      </c>
      <c r="R1896">
        <v>348</v>
      </c>
      <c r="S1896">
        <v>576</v>
      </c>
      <c r="T1896">
        <v>360</v>
      </c>
      <c r="U1896">
        <v>450</v>
      </c>
      <c r="V1896">
        <v>288</v>
      </c>
      <c r="W1896">
        <v>138</v>
      </c>
      <c r="X1896">
        <v>251</v>
      </c>
      <c r="Y1896">
        <v>6</v>
      </c>
      <c r="Z1896">
        <v>198</v>
      </c>
      <c r="AB1896">
        <v>126</v>
      </c>
      <c r="AD1896">
        <v>72</v>
      </c>
      <c r="AF1896">
        <v>54</v>
      </c>
      <c r="AH1896">
        <v>36</v>
      </c>
      <c r="CH1896" t="str">
        <f t="shared" si="29"/>
        <v>JV1-0695-3</v>
      </c>
      <c r="CI1896" s="1" t="s">
        <v>102</v>
      </c>
    </row>
    <row r="1897" spans="1:87">
      <c r="A1897" t="s">
        <v>2991</v>
      </c>
      <c r="B1897">
        <v>1271</v>
      </c>
      <c r="C1897" t="s">
        <v>1169</v>
      </c>
      <c r="D1897" t="s">
        <v>457</v>
      </c>
      <c r="E1897" t="s">
        <v>629</v>
      </c>
      <c r="F1897" t="s">
        <v>672</v>
      </c>
      <c r="G1897" t="s">
        <v>738</v>
      </c>
      <c r="O1897">
        <v>138</v>
      </c>
      <c r="P1897">
        <v>72</v>
      </c>
      <c r="Q1897">
        <v>228</v>
      </c>
      <c r="R1897">
        <v>126</v>
      </c>
      <c r="S1897">
        <v>318</v>
      </c>
      <c r="T1897">
        <v>54</v>
      </c>
      <c r="U1897">
        <v>209</v>
      </c>
      <c r="V1897">
        <v>42</v>
      </c>
      <c r="W1897">
        <v>84</v>
      </c>
      <c r="CH1897" t="str">
        <f t="shared" si="29"/>
        <v>JV1-0695-3</v>
      </c>
      <c r="CI1897" s="1" t="s">
        <v>102</v>
      </c>
    </row>
    <row r="1898" spans="1:87">
      <c r="A1898" t="s">
        <v>2992</v>
      </c>
      <c r="B1898">
        <v>833</v>
      </c>
      <c r="C1898" t="s">
        <v>1165</v>
      </c>
      <c r="D1898" t="s">
        <v>457</v>
      </c>
      <c r="E1898" t="s">
        <v>629</v>
      </c>
      <c r="F1898" t="s">
        <v>672</v>
      </c>
      <c r="G1898" t="s">
        <v>673</v>
      </c>
      <c r="N1898">
        <v>30</v>
      </c>
      <c r="O1898">
        <v>60</v>
      </c>
      <c r="P1898">
        <v>96</v>
      </c>
      <c r="Q1898">
        <v>120</v>
      </c>
      <c r="R1898">
        <v>102</v>
      </c>
      <c r="S1898">
        <v>108</v>
      </c>
      <c r="T1898">
        <v>72</v>
      </c>
      <c r="U1898">
        <v>54</v>
      </c>
      <c r="V1898">
        <v>48</v>
      </c>
      <c r="W1898">
        <v>48</v>
      </c>
      <c r="X1898">
        <v>41</v>
      </c>
      <c r="Y1898">
        <v>24</v>
      </c>
      <c r="Z1898">
        <v>24</v>
      </c>
      <c r="AA1898">
        <v>6</v>
      </c>
      <c r="CH1898" t="str">
        <f t="shared" si="29"/>
        <v>JV1-0695-3</v>
      </c>
      <c r="CI1898" s="1" t="s">
        <v>102</v>
      </c>
    </row>
    <row r="1899" spans="1:87">
      <c r="A1899" t="s">
        <v>2993</v>
      </c>
      <c r="B1899">
        <v>1559</v>
      </c>
      <c r="C1899" t="s">
        <v>1166</v>
      </c>
      <c r="D1899" t="s">
        <v>457</v>
      </c>
      <c r="E1899" t="s">
        <v>629</v>
      </c>
      <c r="F1899" t="s">
        <v>672</v>
      </c>
      <c r="G1899" t="s">
        <v>673</v>
      </c>
      <c r="N1899">
        <v>42</v>
      </c>
      <c r="O1899">
        <v>126</v>
      </c>
      <c r="P1899">
        <v>204</v>
      </c>
      <c r="Q1899">
        <v>258</v>
      </c>
      <c r="R1899">
        <v>222</v>
      </c>
      <c r="S1899">
        <v>222</v>
      </c>
      <c r="T1899">
        <v>156</v>
      </c>
      <c r="U1899">
        <v>102</v>
      </c>
      <c r="V1899">
        <v>54</v>
      </c>
      <c r="W1899">
        <v>60</v>
      </c>
      <c r="X1899">
        <v>47</v>
      </c>
      <c r="Y1899">
        <v>30</v>
      </c>
      <c r="Z1899">
        <v>24</v>
      </c>
      <c r="AA1899">
        <v>6</v>
      </c>
      <c r="AB1899">
        <v>6</v>
      </c>
      <c r="CH1899" t="str">
        <f t="shared" si="29"/>
        <v>JV1-0695-3</v>
      </c>
      <c r="CI1899" s="1" t="s">
        <v>102</v>
      </c>
    </row>
    <row r="1900" spans="1:87">
      <c r="A1900" t="s">
        <v>3744</v>
      </c>
      <c r="B1900">
        <v>113</v>
      </c>
      <c r="C1900" t="s">
        <v>3404</v>
      </c>
      <c r="D1900" t="s">
        <v>457</v>
      </c>
      <c r="E1900" t="s">
        <v>629</v>
      </c>
      <c r="F1900" t="s">
        <v>672</v>
      </c>
      <c r="G1900" t="s">
        <v>738</v>
      </c>
      <c r="N1900">
        <v>6</v>
      </c>
      <c r="O1900">
        <v>18</v>
      </c>
      <c r="P1900">
        <v>18</v>
      </c>
      <c r="Q1900">
        <v>24</v>
      </c>
      <c r="R1900">
        <v>18</v>
      </c>
      <c r="S1900">
        <v>18</v>
      </c>
      <c r="T1900">
        <v>11</v>
      </c>
      <c r="CH1900" t="str">
        <f t="shared" si="29"/>
        <v>JV1-0695-3</v>
      </c>
      <c r="CI1900" s="1" t="s">
        <v>102</v>
      </c>
    </row>
    <row r="1901" spans="1:87">
      <c r="A1901" t="s">
        <v>2994</v>
      </c>
      <c r="B1901">
        <v>335</v>
      </c>
      <c r="C1901" t="s">
        <v>1167</v>
      </c>
      <c r="D1901" t="s">
        <v>457</v>
      </c>
      <c r="E1901" t="s">
        <v>629</v>
      </c>
      <c r="F1901" t="s">
        <v>672</v>
      </c>
      <c r="G1901" t="s">
        <v>686</v>
      </c>
      <c r="O1901">
        <v>6</v>
      </c>
      <c r="P1901">
        <v>6</v>
      </c>
      <c r="Q1901">
        <v>24</v>
      </c>
      <c r="R1901">
        <v>36</v>
      </c>
      <c r="S1901">
        <v>36</v>
      </c>
      <c r="T1901">
        <v>24</v>
      </c>
      <c r="U1901">
        <v>18</v>
      </c>
      <c r="V1901">
        <v>18</v>
      </c>
      <c r="W1901">
        <v>18</v>
      </c>
      <c r="X1901">
        <v>23</v>
      </c>
      <c r="Y1901">
        <v>24</v>
      </c>
      <c r="Z1901">
        <v>30</v>
      </c>
      <c r="AA1901">
        <v>30</v>
      </c>
      <c r="AB1901">
        <v>18</v>
      </c>
      <c r="AC1901">
        <v>12</v>
      </c>
      <c r="AD1901">
        <v>6</v>
      </c>
      <c r="AF1901">
        <v>6</v>
      </c>
      <c r="CH1901" t="str">
        <f t="shared" si="29"/>
        <v>JV1-0695-3</v>
      </c>
      <c r="CI1901" s="1" t="s">
        <v>102</v>
      </c>
    </row>
    <row r="1902" spans="1:87">
      <c r="A1902" t="s">
        <v>2995</v>
      </c>
      <c r="B1902">
        <v>509</v>
      </c>
      <c r="C1902" t="s">
        <v>1166</v>
      </c>
      <c r="D1902" t="s">
        <v>457</v>
      </c>
      <c r="E1902" t="s">
        <v>629</v>
      </c>
      <c r="F1902" t="s">
        <v>672</v>
      </c>
      <c r="G1902" t="s">
        <v>673</v>
      </c>
      <c r="N1902">
        <v>18</v>
      </c>
      <c r="O1902">
        <v>42</v>
      </c>
      <c r="P1902">
        <v>18</v>
      </c>
      <c r="Q1902">
        <v>78</v>
      </c>
      <c r="R1902">
        <v>42</v>
      </c>
      <c r="S1902">
        <v>138</v>
      </c>
      <c r="T1902">
        <v>24</v>
      </c>
      <c r="U1902">
        <v>78</v>
      </c>
      <c r="V1902">
        <v>12</v>
      </c>
      <c r="W1902">
        <v>36</v>
      </c>
      <c r="X1902">
        <v>11</v>
      </c>
      <c r="Y1902">
        <v>12</v>
      </c>
      <c r="CH1902" t="str">
        <f t="shared" si="29"/>
        <v>JV1-0695-3</v>
      </c>
      <c r="CI1902" s="1" t="s">
        <v>102</v>
      </c>
    </row>
    <row r="1903" spans="1:87">
      <c r="A1903" t="s">
        <v>2996</v>
      </c>
      <c r="B1903">
        <v>1001</v>
      </c>
      <c r="C1903" t="s">
        <v>1166</v>
      </c>
      <c r="D1903" t="s">
        <v>457</v>
      </c>
      <c r="E1903" t="s">
        <v>629</v>
      </c>
      <c r="F1903" t="s">
        <v>672</v>
      </c>
      <c r="G1903" t="s">
        <v>673</v>
      </c>
      <c r="N1903">
        <v>30</v>
      </c>
      <c r="O1903">
        <v>78</v>
      </c>
      <c r="P1903">
        <v>42</v>
      </c>
      <c r="Q1903">
        <v>150</v>
      </c>
      <c r="R1903">
        <v>78</v>
      </c>
      <c r="S1903">
        <v>276</v>
      </c>
      <c r="T1903">
        <v>48</v>
      </c>
      <c r="U1903">
        <v>156</v>
      </c>
      <c r="V1903">
        <v>30</v>
      </c>
      <c r="W1903">
        <v>66</v>
      </c>
      <c r="X1903">
        <v>17</v>
      </c>
      <c r="Y1903">
        <v>30</v>
      </c>
      <c r="CH1903" t="str">
        <f t="shared" si="29"/>
        <v>JV1-0695-3</v>
      </c>
      <c r="CI1903" s="1" t="s">
        <v>102</v>
      </c>
    </row>
    <row r="1904" spans="1:87">
      <c r="A1904" t="s">
        <v>2997</v>
      </c>
      <c r="B1904">
        <v>407</v>
      </c>
      <c r="C1904" t="s">
        <v>1170</v>
      </c>
      <c r="D1904" t="s">
        <v>457</v>
      </c>
      <c r="E1904" t="s">
        <v>629</v>
      </c>
      <c r="F1904" t="s">
        <v>672</v>
      </c>
      <c r="G1904" t="s">
        <v>686</v>
      </c>
      <c r="N1904">
        <v>12</v>
      </c>
      <c r="O1904">
        <v>36</v>
      </c>
      <c r="P1904">
        <v>24</v>
      </c>
      <c r="Q1904">
        <v>84</v>
      </c>
      <c r="R1904">
        <v>48</v>
      </c>
      <c r="S1904">
        <v>108</v>
      </c>
      <c r="T1904">
        <v>24</v>
      </c>
      <c r="U1904">
        <v>47</v>
      </c>
      <c r="V1904">
        <v>12</v>
      </c>
      <c r="W1904">
        <v>12</v>
      </c>
      <c r="CH1904" t="str">
        <f t="shared" si="29"/>
        <v>JV1-0695-3</v>
      </c>
      <c r="CI1904" s="1" t="s">
        <v>102</v>
      </c>
    </row>
    <row r="1905" spans="1:87">
      <c r="A1905" t="s">
        <v>2998</v>
      </c>
      <c r="B1905">
        <v>725</v>
      </c>
      <c r="C1905" t="s">
        <v>1171</v>
      </c>
      <c r="D1905" t="s">
        <v>457</v>
      </c>
      <c r="E1905" t="s">
        <v>629</v>
      </c>
      <c r="F1905" t="s">
        <v>672</v>
      </c>
      <c r="G1905" t="s">
        <v>686</v>
      </c>
      <c r="N1905">
        <v>24</v>
      </c>
      <c r="O1905">
        <v>66</v>
      </c>
      <c r="P1905">
        <v>36</v>
      </c>
      <c r="Q1905">
        <v>144</v>
      </c>
      <c r="R1905">
        <v>72</v>
      </c>
      <c r="S1905">
        <v>192</v>
      </c>
      <c r="T1905">
        <v>48</v>
      </c>
      <c r="U1905">
        <v>90</v>
      </c>
      <c r="V1905">
        <v>12</v>
      </c>
      <c r="W1905">
        <v>24</v>
      </c>
      <c r="X1905">
        <v>11</v>
      </c>
      <c r="Y1905">
        <v>6</v>
      </c>
      <c r="CH1905" t="str">
        <f t="shared" si="29"/>
        <v>JV1-0695-3</v>
      </c>
      <c r="CI1905" s="1" t="s">
        <v>102</v>
      </c>
    </row>
    <row r="1906" spans="1:87">
      <c r="A1906" t="s">
        <v>2999</v>
      </c>
      <c r="B1906">
        <v>503</v>
      </c>
      <c r="C1906" t="s">
        <v>1169</v>
      </c>
      <c r="D1906" t="s">
        <v>457</v>
      </c>
      <c r="E1906" t="s">
        <v>629</v>
      </c>
      <c r="F1906" t="s">
        <v>672</v>
      </c>
      <c r="G1906" t="s">
        <v>738</v>
      </c>
      <c r="N1906">
        <v>12</v>
      </c>
      <c r="O1906">
        <v>48</v>
      </c>
      <c r="P1906">
        <v>24</v>
      </c>
      <c r="Q1906">
        <v>108</v>
      </c>
      <c r="R1906">
        <v>54</v>
      </c>
      <c r="S1906">
        <v>132</v>
      </c>
      <c r="T1906">
        <v>36</v>
      </c>
      <c r="U1906">
        <v>65</v>
      </c>
      <c r="V1906">
        <v>12</v>
      </c>
      <c r="W1906">
        <v>12</v>
      </c>
      <c r="CH1906" t="str">
        <f t="shared" si="29"/>
        <v>JV1-0695-3</v>
      </c>
      <c r="CI1906" s="1" t="s">
        <v>102</v>
      </c>
    </row>
    <row r="1907" spans="1:87">
      <c r="A1907" t="s">
        <v>3000</v>
      </c>
      <c r="B1907">
        <v>2165</v>
      </c>
      <c r="C1907" t="s">
        <v>1171</v>
      </c>
      <c r="D1907" t="s">
        <v>457</v>
      </c>
      <c r="E1907" t="s">
        <v>629</v>
      </c>
      <c r="F1907" t="s">
        <v>672</v>
      </c>
      <c r="G1907" t="s">
        <v>686</v>
      </c>
      <c r="N1907">
        <v>108</v>
      </c>
      <c r="O1907">
        <v>150</v>
      </c>
      <c r="P1907">
        <v>174</v>
      </c>
      <c r="Q1907">
        <v>330</v>
      </c>
      <c r="R1907">
        <v>306</v>
      </c>
      <c r="S1907">
        <v>306</v>
      </c>
      <c r="T1907">
        <v>216</v>
      </c>
      <c r="U1907">
        <v>150</v>
      </c>
      <c r="V1907">
        <v>108</v>
      </c>
      <c r="W1907">
        <v>66</v>
      </c>
      <c r="X1907">
        <v>71</v>
      </c>
      <c r="Y1907">
        <v>66</v>
      </c>
      <c r="Z1907">
        <v>42</v>
      </c>
      <c r="AA1907">
        <v>18</v>
      </c>
      <c r="AB1907">
        <v>18</v>
      </c>
      <c r="AC1907">
        <v>18</v>
      </c>
      <c r="AD1907">
        <v>18</v>
      </c>
      <c r="CH1907" t="str">
        <f t="shared" si="29"/>
        <v>JV1-0695-3</v>
      </c>
      <c r="CI1907" s="1" t="s">
        <v>102</v>
      </c>
    </row>
    <row r="1908" spans="1:87">
      <c r="A1908" t="s">
        <v>3001</v>
      </c>
      <c r="B1908">
        <v>1175</v>
      </c>
      <c r="C1908" t="s">
        <v>1168</v>
      </c>
      <c r="D1908" t="s">
        <v>457</v>
      </c>
      <c r="E1908" t="s">
        <v>629</v>
      </c>
      <c r="F1908" t="s">
        <v>672</v>
      </c>
      <c r="G1908" t="s">
        <v>673</v>
      </c>
      <c r="N1908">
        <v>24</v>
      </c>
      <c r="O1908">
        <v>36</v>
      </c>
      <c r="P1908">
        <v>48</v>
      </c>
      <c r="Q1908">
        <v>78</v>
      </c>
      <c r="R1908">
        <v>78</v>
      </c>
      <c r="S1908">
        <v>78</v>
      </c>
      <c r="T1908">
        <v>72</v>
      </c>
      <c r="U1908">
        <v>72</v>
      </c>
      <c r="V1908">
        <v>78</v>
      </c>
      <c r="W1908">
        <v>90</v>
      </c>
      <c r="X1908">
        <v>77</v>
      </c>
      <c r="Y1908">
        <v>132</v>
      </c>
      <c r="Z1908">
        <v>96</v>
      </c>
      <c r="AA1908">
        <v>48</v>
      </c>
      <c r="AB1908">
        <v>60</v>
      </c>
      <c r="AC1908">
        <v>36</v>
      </c>
      <c r="AD1908">
        <v>36</v>
      </c>
      <c r="AF1908">
        <v>24</v>
      </c>
      <c r="AH1908">
        <v>6</v>
      </c>
      <c r="AJ1908">
        <v>6</v>
      </c>
      <c r="CH1908" t="str">
        <f t="shared" si="29"/>
        <v>JV1-0695-3</v>
      </c>
      <c r="CI1908" s="1" t="s">
        <v>102</v>
      </c>
    </row>
    <row r="1909" spans="1:87">
      <c r="A1909" t="s">
        <v>3002</v>
      </c>
      <c r="B1909">
        <v>377</v>
      </c>
      <c r="C1909" t="s">
        <v>1166</v>
      </c>
      <c r="D1909" t="s">
        <v>457</v>
      </c>
      <c r="E1909" t="s">
        <v>629</v>
      </c>
      <c r="F1909" t="s">
        <v>672</v>
      </c>
      <c r="G1909" t="s">
        <v>673</v>
      </c>
      <c r="N1909">
        <v>6</v>
      </c>
      <c r="O1909">
        <v>12</v>
      </c>
      <c r="P1909">
        <v>18</v>
      </c>
      <c r="Q1909">
        <v>24</v>
      </c>
      <c r="R1909">
        <v>24</v>
      </c>
      <c r="S1909">
        <v>24</v>
      </c>
      <c r="T1909">
        <v>24</v>
      </c>
      <c r="U1909">
        <v>24</v>
      </c>
      <c r="V1909">
        <v>24</v>
      </c>
      <c r="W1909">
        <v>30</v>
      </c>
      <c r="X1909">
        <v>29</v>
      </c>
      <c r="Y1909">
        <v>48</v>
      </c>
      <c r="Z1909">
        <v>30</v>
      </c>
      <c r="AA1909">
        <v>12</v>
      </c>
      <c r="AB1909">
        <v>18</v>
      </c>
      <c r="AC1909">
        <v>12</v>
      </c>
      <c r="AD1909">
        <v>12</v>
      </c>
      <c r="AF1909">
        <v>6</v>
      </c>
      <c r="CH1909" t="str">
        <f t="shared" si="29"/>
        <v>JV1-0695-3</v>
      </c>
      <c r="CI1909" s="1" t="s">
        <v>102</v>
      </c>
    </row>
    <row r="1910" spans="1:87">
      <c r="A1910" t="s">
        <v>3003</v>
      </c>
      <c r="B1910">
        <v>1739</v>
      </c>
      <c r="C1910" t="s">
        <v>1166</v>
      </c>
      <c r="D1910" t="s">
        <v>457</v>
      </c>
      <c r="E1910" t="s">
        <v>629</v>
      </c>
      <c r="F1910" t="s">
        <v>672</v>
      </c>
      <c r="G1910" t="s">
        <v>673</v>
      </c>
      <c r="N1910">
        <v>36</v>
      </c>
      <c r="O1910">
        <v>48</v>
      </c>
      <c r="P1910">
        <v>78</v>
      </c>
      <c r="Q1910">
        <v>120</v>
      </c>
      <c r="R1910">
        <v>120</v>
      </c>
      <c r="S1910">
        <v>120</v>
      </c>
      <c r="T1910">
        <v>102</v>
      </c>
      <c r="U1910">
        <v>102</v>
      </c>
      <c r="V1910">
        <v>120</v>
      </c>
      <c r="W1910">
        <v>138</v>
      </c>
      <c r="X1910">
        <v>107</v>
      </c>
      <c r="Y1910">
        <v>192</v>
      </c>
      <c r="Z1910">
        <v>138</v>
      </c>
      <c r="AA1910">
        <v>72</v>
      </c>
      <c r="AB1910">
        <v>84</v>
      </c>
      <c r="AC1910">
        <v>54</v>
      </c>
      <c r="AD1910">
        <v>54</v>
      </c>
      <c r="AF1910">
        <v>36</v>
      </c>
      <c r="AH1910">
        <v>12</v>
      </c>
      <c r="AJ1910">
        <v>6</v>
      </c>
      <c r="CH1910" t="str">
        <f t="shared" si="29"/>
        <v>JV1-0695-3</v>
      </c>
      <c r="CI1910" s="1" t="s">
        <v>102</v>
      </c>
    </row>
    <row r="1911" spans="1:87">
      <c r="A1911" t="s">
        <v>3004</v>
      </c>
      <c r="B1911">
        <v>377</v>
      </c>
      <c r="C1911" t="s">
        <v>1166</v>
      </c>
      <c r="D1911" t="s">
        <v>457</v>
      </c>
      <c r="E1911" t="s">
        <v>629</v>
      </c>
      <c r="F1911" t="s">
        <v>672</v>
      </c>
      <c r="G1911" t="s">
        <v>673</v>
      </c>
      <c r="N1911">
        <v>6</v>
      </c>
      <c r="O1911">
        <v>12</v>
      </c>
      <c r="P1911">
        <v>18</v>
      </c>
      <c r="Q1911">
        <v>24</v>
      </c>
      <c r="R1911">
        <v>24</v>
      </c>
      <c r="S1911">
        <v>24</v>
      </c>
      <c r="T1911">
        <v>24</v>
      </c>
      <c r="U1911">
        <v>24</v>
      </c>
      <c r="V1911">
        <v>24</v>
      </c>
      <c r="W1911">
        <v>30</v>
      </c>
      <c r="X1911">
        <v>29</v>
      </c>
      <c r="Y1911">
        <v>48</v>
      </c>
      <c r="Z1911">
        <v>30</v>
      </c>
      <c r="AA1911">
        <v>12</v>
      </c>
      <c r="AB1911">
        <v>18</v>
      </c>
      <c r="AC1911">
        <v>12</v>
      </c>
      <c r="AD1911">
        <v>12</v>
      </c>
      <c r="AF1911">
        <v>6</v>
      </c>
      <c r="CH1911" t="str">
        <f t="shared" si="29"/>
        <v>JV1-0695-3</v>
      </c>
      <c r="CI1911" s="1" t="s">
        <v>102</v>
      </c>
    </row>
    <row r="1912" spans="1:87">
      <c r="A1912" t="s">
        <v>3005</v>
      </c>
      <c r="B1912">
        <v>311</v>
      </c>
      <c r="C1912" t="s">
        <v>1167</v>
      </c>
      <c r="D1912" t="s">
        <v>457</v>
      </c>
      <c r="E1912" t="s">
        <v>629</v>
      </c>
      <c r="F1912" t="s">
        <v>672</v>
      </c>
      <c r="G1912" t="s">
        <v>686</v>
      </c>
      <c r="N1912">
        <v>12</v>
      </c>
      <c r="O1912">
        <v>24</v>
      </c>
      <c r="P1912">
        <v>24</v>
      </c>
      <c r="Q1912">
        <v>54</v>
      </c>
      <c r="R1912">
        <v>48</v>
      </c>
      <c r="S1912">
        <v>48</v>
      </c>
      <c r="T1912">
        <v>36</v>
      </c>
      <c r="U1912">
        <v>24</v>
      </c>
      <c r="V1912">
        <v>12</v>
      </c>
      <c r="W1912">
        <v>6</v>
      </c>
      <c r="X1912">
        <v>11</v>
      </c>
      <c r="Y1912">
        <v>6</v>
      </c>
      <c r="Z1912">
        <v>6</v>
      </c>
      <c r="CH1912" t="str">
        <f t="shared" si="29"/>
        <v>JV1-0695-3</v>
      </c>
      <c r="CI1912" s="1" t="s">
        <v>102</v>
      </c>
    </row>
    <row r="1913" spans="1:87">
      <c r="A1913" t="s">
        <v>3006</v>
      </c>
      <c r="B1913">
        <v>1073</v>
      </c>
      <c r="C1913" t="s">
        <v>718</v>
      </c>
      <c r="D1913" t="s">
        <v>457</v>
      </c>
      <c r="E1913" t="s">
        <v>629</v>
      </c>
      <c r="F1913" t="s">
        <v>672</v>
      </c>
      <c r="G1913" t="s">
        <v>673</v>
      </c>
      <c r="N1913">
        <v>18</v>
      </c>
      <c r="O1913">
        <v>24</v>
      </c>
      <c r="P1913">
        <v>30</v>
      </c>
      <c r="Q1913">
        <v>66</v>
      </c>
      <c r="R1913">
        <v>66</v>
      </c>
      <c r="S1913">
        <v>72</v>
      </c>
      <c r="T1913">
        <v>66</v>
      </c>
      <c r="U1913">
        <v>66</v>
      </c>
      <c r="V1913">
        <v>66</v>
      </c>
      <c r="W1913">
        <v>78</v>
      </c>
      <c r="X1913">
        <v>77</v>
      </c>
      <c r="Y1913">
        <v>114</v>
      </c>
      <c r="Z1913">
        <v>90</v>
      </c>
      <c r="AA1913">
        <v>54</v>
      </c>
      <c r="AB1913">
        <v>60</v>
      </c>
      <c r="AC1913">
        <v>42</v>
      </c>
      <c r="AD1913">
        <v>42</v>
      </c>
      <c r="AF1913">
        <v>30</v>
      </c>
      <c r="AH1913">
        <v>6</v>
      </c>
      <c r="AJ1913">
        <v>6</v>
      </c>
      <c r="CH1913" t="str">
        <f t="shared" si="29"/>
        <v>JV1-0695-3</v>
      </c>
      <c r="CI1913" s="1" t="s">
        <v>102</v>
      </c>
    </row>
    <row r="1914" spans="1:87">
      <c r="A1914" t="s">
        <v>3007</v>
      </c>
      <c r="B1914">
        <v>1421</v>
      </c>
      <c r="C1914" t="s">
        <v>1167</v>
      </c>
      <c r="D1914" t="s">
        <v>457</v>
      </c>
      <c r="E1914" t="s">
        <v>629</v>
      </c>
      <c r="F1914" t="s">
        <v>672</v>
      </c>
      <c r="G1914" t="s">
        <v>686</v>
      </c>
      <c r="N1914">
        <v>72</v>
      </c>
      <c r="O1914">
        <v>96</v>
      </c>
      <c r="P1914">
        <v>114</v>
      </c>
      <c r="Q1914">
        <v>216</v>
      </c>
      <c r="R1914">
        <v>204</v>
      </c>
      <c r="S1914">
        <v>204</v>
      </c>
      <c r="T1914">
        <v>144</v>
      </c>
      <c r="U1914">
        <v>96</v>
      </c>
      <c r="V1914">
        <v>72</v>
      </c>
      <c r="W1914">
        <v>42</v>
      </c>
      <c r="X1914">
        <v>47</v>
      </c>
      <c r="Y1914">
        <v>42</v>
      </c>
      <c r="Z1914">
        <v>24</v>
      </c>
      <c r="AA1914">
        <v>12</v>
      </c>
      <c r="AB1914">
        <v>12</v>
      </c>
      <c r="AC1914">
        <v>12</v>
      </c>
      <c r="AD1914">
        <v>12</v>
      </c>
      <c r="CH1914" t="str">
        <f t="shared" si="29"/>
        <v>JV1-0695-3</v>
      </c>
      <c r="CI1914" s="1" t="s">
        <v>102</v>
      </c>
    </row>
    <row r="1915" spans="1:87">
      <c r="A1915" t="s">
        <v>3008</v>
      </c>
      <c r="B1915">
        <v>311</v>
      </c>
      <c r="C1915" t="s">
        <v>1165</v>
      </c>
      <c r="D1915" t="s">
        <v>457</v>
      </c>
      <c r="E1915" t="s">
        <v>629</v>
      </c>
      <c r="F1915" t="s">
        <v>672</v>
      </c>
      <c r="G1915" t="s">
        <v>673</v>
      </c>
      <c r="N1915">
        <v>6</v>
      </c>
      <c r="O1915">
        <v>6</v>
      </c>
      <c r="P1915">
        <v>12</v>
      </c>
      <c r="Q1915">
        <v>24</v>
      </c>
      <c r="R1915">
        <v>24</v>
      </c>
      <c r="S1915">
        <v>24</v>
      </c>
      <c r="T1915">
        <v>18</v>
      </c>
      <c r="U1915">
        <v>18</v>
      </c>
      <c r="V1915">
        <v>24</v>
      </c>
      <c r="W1915">
        <v>24</v>
      </c>
      <c r="X1915">
        <v>23</v>
      </c>
      <c r="Y1915">
        <v>36</v>
      </c>
      <c r="Z1915">
        <v>24</v>
      </c>
      <c r="AA1915">
        <v>12</v>
      </c>
      <c r="AB1915">
        <v>18</v>
      </c>
      <c r="AC1915">
        <v>6</v>
      </c>
      <c r="AD1915">
        <v>6</v>
      </c>
      <c r="AF1915">
        <v>6</v>
      </c>
      <c r="CH1915" t="str">
        <f t="shared" si="29"/>
        <v>JV1-0695-3</v>
      </c>
      <c r="CI1915" s="1" t="s">
        <v>102</v>
      </c>
    </row>
    <row r="1916" spans="1:87">
      <c r="A1916" t="s">
        <v>3009</v>
      </c>
      <c r="B1916">
        <v>485</v>
      </c>
      <c r="C1916" t="s">
        <v>1171</v>
      </c>
      <c r="D1916" t="s">
        <v>457</v>
      </c>
      <c r="E1916" t="s">
        <v>629</v>
      </c>
      <c r="F1916" t="s">
        <v>672</v>
      </c>
      <c r="G1916" t="s">
        <v>686</v>
      </c>
      <c r="N1916">
        <v>24</v>
      </c>
      <c r="O1916">
        <v>36</v>
      </c>
      <c r="P1916">
        <v>42</v>
      </c>
      <c r="Q1916">
        <v>78</v>
      </c>
      <c r="R1916">
        <v>72</v>
      </c>
      <c r="S1916">
        <v>72</v>
      </c>
      <c r="T1916">
        <v>54</v>
      </c>
      <c r="U1916">
        <v>36</v>
      </c>
      <c r="V1916">
        <v>24</v>
      </c>
      <c r="W1916">
        <v>12</v>
      </c>
      <c r="X1916">
        <v>17</v>
      </c>
      <c r="Y1916">
        <v>12</v>
      </c>
      <c r="Z1916">
        <v>6</v>
      </c>
      <c r="CH1916" t="str">
        <f t="shared" si="29"/>
        <v>JV1-0695-3</v>
      </c>
      <c r="CI1916" s="1" t="s">
        <v>102</v>
      </c>
    </row>
    <row r="1917" spans="1:87">
      <c r="A1917" t="s">
        <v>3010</v>
      </c>
      <c r="B1917">
        <v>1739</v>
      </c>
      <c r="C1917" t="s">
        <v>1166</v>
      </c>
      <c r="D1917" t="s">
        <v>457</v>
      </c>
      <c r="E1917" t="s">
        <v>629</v>
      </c>
      <c r="F1917" t="s">
        <v>672</v>
      </c>
      <c r="G1917" t="s">
        <v>673</v>
      </c>
      <c r="N1917">
        <v>36</v>
      </c>
      <c r="O1917">
        <v>48</v>
      </c>
      <c r="P1917">
        <v>78</v>
      </c>
      <c r="Q1917">
        <v>120</v>
      </c>
      <c r="R1917">
        <v>120</v>
      </c>
      <c r="S1917">
        <v>120</v>
      </c>
      <c r="T1917">
        <v>102</v>
      </c>
      <c r="U1917">
        <v>102</v>
      </c>
      <c r="V1917">
        <v>120</v>
      </c>
      <c r="W1917">
        <v>138</v>
      </c>
      <c r="X1917">
        <v>107</v>
      </c>
      <c r="Y1917">
        <v>192</v>
      </c>
      <c r="Z1917">
        <v>138</v>
      </c>
      <c r="AA1917">
        <v>72</v>
      </c>
      <c r="AB1917">
        <v>84</v>
      </c>
      <c r="AC1917">
        <v>54</v>
      </c>
      <c r="AD1917">
        <v>54</v>
      </c>
      <c r="AF1917">
        <v>36</v>
      </c>
      <c r="AH1917">
        <v>12</v>
      </c>
      <c r="AJ1917">
        <v>6</v>
      </c>
      <c r="CH1917" t="str">
        <f t="shared" si="29"/>
        <v>JV1-0695-3</v>
      </c>
      <c r="CI1917" s="1" t="s">
        <v>102</v>
      </c>
    </row>
    <row r="1918" spans="1:87">
      <c r="A1918" t="s">
        <v>3011</v>
      </c>
      <c r="B1918">
        <v>1073</v>
      </c>
      <c r="C1918" t="s">
        <v>718</v>
      </c>
      <c r="D1918" t="s">
        <v>457</v>
      </c>
      <c r="E1918" t="s">
        <v>629</v>
      </c>
      <c r="F1918" t="s">
        <v>672</v>
      </c>
      <c r="G1918" t="s">
        <v>673</v>
      </c>
      <c r="N1918">
        <v>36</v>
      </c>
      <c r="O1918">
        <v>48</v>
      </c>
      <c r="P1918">
        <v>54</v>
      </c>
      <c r="Q1918">
        <v>96</v>
      </c>
      <c r="R1918">
        <v>102</v>
      </c>
      <c r="S1918">
        <v>108</v>
      </c>
      <c r="T1918">
        <v>78</v>
      </c>
      <c r="U1918">
        <v>78</v>
      </c>
      <c r="V1918">
        <v>66</v>
      </c>
      <c r="W1918">
        <v>66</v>
      </c>
      <c r="X1918">
        <v>59</v>
      </c>
      <c r="Y1918">
        <v>84</v>
      </c>
      <c r="Z1918">
        <v>54</v>
      </c>
      <c r="AA1918">
        <v>30</v>
      </c>
      <c r="AB1918">
        <v>42</v>
      </c>
      <c r="AC1918">
        <v>24</v>
      </c>
      <c r="AD1918">
        <v>30</v>
      </c>
      <c r="AF1918">
        <v>18</v>
      </c>
      <c r="CH1918" t="str">
        <f t="shared" si="29"/>
        <v>JV1-0695-3</v>
      </c>
      <c r="CI1918" s="1" t="s">
        <v>102</v>
      </c>
    </row>
    <row r="1919" spans="1:87">
      <c r="A1919" t="s">
        <v>3012</v>
      </c>
      <c r="B1919">
        <v>4007</v>
      </c>
      <c r="C1919" t="s">
        <v>1169</v>
      </c>
      <c r="D1919" t="s">
        <v>457</v>
      </c>
      <c r="E1919" t="s">
        <v>629</v>
      </c>
      <c r="F1919" t="s">
        <v>672</v>
      </c>
      <c r="G1919" t="s">
        <v>738</v>
      </c>
      <c r="N1919">
        <v>192</v>
      </c>
      <c r="O1919">
        <v>372</v>
      </c>
      <c r="P1919">
        <v>348</v>
      </c>
      <c r="Q1919">
        <v>732</v>
      </c>
      <c r="R1919">
        <v>612</v>
      </c>
      <c r="S1919">
        <v>840</v>
      </c>
      <c r="T1919">
        <v>324</v>
      </c>
      <c r="U1919">
        <v>336</v>
      </c>
      <c r="V1919">
        <v>132</v>
      </c>
      <c r="W1919">
        <v>72</v>
      </c>
      <c r="X1919">
        <v>29</v>
      </c>
      <c r="Y1919">
        <v>18</v>
      </c>
      <c r="CH1919" t="str">
        <f t="shared" si="29"/>
        <v>JV1-0695-3</v>
      </c>
      <c r="CI1919" s="1" t="s">
        <v>102</v>
      </c>
    </row>
    <row r="1920" spans="1:87">
      <c r="A1920" t="s">
        <v>3013</v>
      </c>
      <c r="B1920">
        <v>1457</v>
      </c>
      <c r="C1920" t="s">
        <v>1165</v>
      </c>
      <c r="D1920" t="s">
        <v>457</v>
      </c>
      <c r="E1920" t="s">
        <v>629</v>
      </c>
      <c r="F1920" t="s">
        <v>672</v>
      </c>
      <c r="G1920" t="s">
        <v>673</v>
      </c>
      <c r="N1920">
        <v>30</v>
      </c>
      <c r="O1920">
        <v>48</v>
      </c>
      <c r="P1920">
        <v>66</v>
      </c>
      <c r="Q1920">
        <v>96</v>
      </c>
      <c r="R1920">
        <v>96</v>
      </c>
      <c r="S1920">
        <v>96</v>
      </c>
      <c r="T1920">
        <v>84</v>
      </c>
      <c r="U1920">
        <v>90</v>
      </c>
      <c r="V1920">
        <v>96</v>
      </c>
      <c r="W1920">
        <v>114</v>
      </c>
      <c r="X1920">
        <v>89</v>
      </c>
      <c r="Y1920">
        <v>162</v>
      </c>
      <c r="Z1920">
        <v>114</v>
      </c>
      <c r="AA1920">
        <v>60</v>
      </c>
      <c r="AB1920">
        <v>72</v>
      </c>
      <c r="AC1920">
        <v>48</v>
      </c>
      <c r="AD1920">
        <v>48</v>
      </c>
      <c r="AF1920">
        <v>30</v>
      </c>
      <c r="AH1920">
        <v>12</v>
      </c>
      <c r="AJ1920">
        <v>6</v>
      </c>
      <c r="CH1920" t="str">
        <f t="shared" si="29"/>
        <v>JV1-0695-3</v>
      </c>
      <c r="CI1920" s="1" t="s">
        <v>102</v>
      </c>
    </row>
    <row r="1921" spans="1:87">
      <c r="A1921" t="s">
        <v>3014</v>
      </c>
      <c r="B1921">
        <v>1493</v>
      </c>
      <c r="C1921" t="s">
        <v>1171</v>
      </c>
      <c r="D1921" t="s">
        <v>457</v>
      </c>
      <c r="E1921" t="s">
        <v>629</v>
      </c>
      <c r="F1921" t="s">
        <v>672</v>
      </c>
      <c r="G1921" t="s">
        <v>686</v>
      </c>
      <c r="N1921">
        <v>72</v>
      </c>
      <c r="O1921">
        <v>144</v>
      </c>
      <c r="P1921">
        <v>132</v>
      </c>
      <c r="Q1921">
        <v>276</v>
      </c>
      <c r="R1921">
        <v>228</v>
      </c>
      <c r="S1921">
        <v>312</v>
      </c>
      <c r="T1921">
        <v>120</v>
      </c>
      <c r="U1921">
        <v>120</v>
      </c>
      <c r="V1921">
        <v>48</v>
      </c>
      <c r="W1921">
        <v>24</v>
      </c>
      <c r="X1921">
        <v>17</v>
      </c>
      <c r="CH1921" t="str">
        <f t="shared" si="29"/>
        <v>JV1-0695-3</v>
      </c>
      <c r="CI1921" s="1" t="s">
        <v>102</v>
      </c>
    </row>
    <row r="1922" spans="1:87">
      <c r="A1922" t="s">
        <v>3745</v>
      </c>
      <c r="B1922">
        <v>2003</v>
      </c>
      <c r="C1922" t="s">
        <v>3404</v>
      </c>
      <c r="D1922" t="s">
        <v>457</v>
      </c>
      <c r="E1922" t="s">
        <v>629</v>
      </c>
      <c r="F1922" t="s">
        <v>672</v>
      </c>
      <c r="G1922" t="s">
        <v>738</v>
      </c>
      <c r="N1922">
        <v>90</v>
      </c>
      <c r="O1922">
        <v>192</v>
      </c>
      <c r="P1922">
        <v>180</v>
      </c>
      <c r="Q1922">
        <v>372</v>
      </c>
      <c r="R1922">
        <v>300</v>
      </c>
      <c r="S1922">
        <v>420</v>
      </c>
      <c r="T1922">
        <v>156</v>
      </c>
      <c r="U1922">
        <v>168</v>
      </c>
      <c r="V1922">
        <v>72</v>
      </c>
      <c r="W1922">
        <v>30</v>
      </c>
      <c r="X1922">
        <v>17</v>
      </c>
      <c r="Y1922">
        <v>6</v>
      </c>
      <c r="CH1922" t="str">
        <f t="shared" ref="CH1922:CH1985" si="30">TRIM(IFERROR(IFERROR(MID($D1922,FIND("(D-",$D1922)+1,6),LEFT($D1922,FIND("(",$D1922)-1)),$D1922))</f>
        <v>JV1-0695-3</v>
      </c>
      <c r="CI1922" s="1" t="s">
        <v>102</v>
      </c>
    </row>
    <row r="1923" spans="1:87">
      <c r="A1923" t="s">
        <v>3015</v>
      </c>
      <c r="B1923">
        <v>305</v>
      </c>
      <c r="C1923" t="s">
        <v>1170</v>
      </c>
      <c r="D1923" t="s">
        <v>457</v>
      </c>
      <c r="E1923" t="s">
        <v>629</v>
      </c>
      <c r="F1923" t="s">
        <v>672</v>
      </c>
      <c r="G1923" t="s">
        <v>686</v>
      </c>
      <c r="N1923">
        <v>12</v>
      </c>
      <c r="O1923">
        <v>30</v>
      </c>
      <c r="P1923">
        <v>24</v>
      </c>
      <c r="Q1923">
        <v>60</v>
      </c>
      <c r="R1923">
        <v>48</v>
      </c>
      <c r="S1923">
        <v>60</v>
      </c>
      <c r="T1923">
        <v>24</v>
      </c>
      <c r="U1923">
        <v>35</v>
      </c>
      <c r="V1923">
        <v>12</v>
      </c>
      <c r="CH1923" t="str">
        <f t="shared" si="30"/>
        <v>JV1-0695-3</v>
      </c>
      <c r="CI1923" s="1" t="s">
        <v>102</v>
      </c>
    </row>
    <row r="1924" spans="1:87">
      <c r="A1924" t="s">
        <v>3016</v>
      </c>
      <c r="B1924">
        <v>4403</v>
      </c>
      <c r="C1924" t="s">
        <v>1171</v>
      </c>
      <c r="D1924" t="s">
        <v>457</v>
      </c>
      <c r="E1924" t="s">
        <v>629</v>
      </c>
      <c r="F1924" t="s">
        <v>672</v>
      </c>
      <c r="G1924" t="s">
        <v>686</v>
      </c>
      <c r="N1924">
        <v>216</v>
      </c>
      <c r="O1924">
        <v>420</v>
      </c>
      <c r="P1924">
        <v>384</v>
      </c>
      <c r="Q1924">
        <v>804</v>
      </c>
      <c r="R1924">
        <v>672</v>
      </c>
      <c r="S1924">
        <v>924</v>
      </c>
      <c r="T1924">
        <v>348</v>
      </c>
      <c r="U1924">
        <v>372</v>
      </c>
      <c r="V1924">
        <v>144</v>
      </c>
      <c r="W1924">
        <v>78</v>
      </c>
      <c r="X1924">
        <v>29</v>
      </c>
      <c r="Y1924">
        <v>12</v>
      </c>
      <c r="CH1924" t="str">
        <f t="shared" si="30"/>
        <v>JV1-0695-3</v>
      </c>
      <c r="CI1924" s="1" t="s">
        <v>102</v>
      </c>
    </row>
    <row r="1925" spans="1:87">
      <c r="A1925" t="s">
        <v>3017</v>
      </c>
      <c r="B1925">
        <v>1403</v>
      </c>
      <c r="C1925" t="s">
        <v>1169</v>
      </c>
      <c r="D1925" t="s">
        <v>457</v>
      </c>
      <c r="E1925" t="s">
        <v>629</v>
      </c>
      <c r="F1925" t="s">
        <v>672</v>
      </c>
      <c r="G1925" t="s">
        <v>738</v>
      </c>
      <c r="N1925">
        <v>72</v>
      </c>
      <c r="O1925">
        <v>132</v>
      </c>
      <c r="P1925">
        <v>120</v>
      </c>
      <c r="Q1925">
        <v>252</v>
      </c>
      <c r="R1925">
        <v>216</v>
      </c>
      <c r="S1925">
        <v>288</v>
      </c>
      <c r="T1925">
        <v>108</v>
      </c>
      <c r="U1925">
        <v>120</v>
      </c>
      <c r="V1925">
        <v>48</v>
      </c>
      <c r="W1925">
        <v>24</v>
      </c>
      <c r="X1925">
        <v>17</v>
      </c>
      <c r="Y1925">
        <v>6</v>
      </c>
      <c r="CH1925" t="str">
        <f t="shared" si="30"/>
        <v>JV1-0695-3</v>
      </c>
      <c r="CI1925" s="1" t="s">
        <v>102</v>
      </c>
    </row>
    <row r="1926" spans="1:87">
      <c r="A1926" t="s">
        <v>3018</v>
      </c>
      <c r="B1926">
        <v>401</v>
      </c>
      <c r="C1926" t="s">
        <v>1166</v>
      </c>
      <c r="D1926" t="s">
        <v>457</v>
      </c>
      <c r="E1926" t="s">
        <v>629</v>
      </c>
      <c r="F1926" t="s">
        <v>672</v>
      </c>
      <c r="G1926" t="s">
        <v>673</v>
      </c>
      <c r="U1926">
        <v>29</v>
      </c>
      <c r="W1926">
        <v>48</v>
      </c>
      <c r="Y1926">
        <v>90</v>
      </c>
      <c r="AA1926">
        <v>96</v>
      </c>
      <c r="AC1926">
        <v>90</v>
      </c>
      <c r="AF1926">
        <v>48</v>
      </c>
      <c r="CH1926" t="str">
        <f t="shared" si="30"/>
        <v>JV1-0695-3</v>
      </c>
      <c r="CI1926" s="1" t="s">
        <v>102</v>
      </c>
    </row>
    <row r="1927" spans="1:87">
      <c r="A1927" t="s">
        <v>3019</v>
      </c>
      <c r="B1927">
        <v>1307</v>
      </c>
      <c r="C1927" t="s">
        <v>1166</v>
      </c>
      <c r="D1927" t="s">
        <v>457</v>
      </c>
      <c r="E1927" t="s">
        <v>629</v>
      </c>
      <c r="F1927" t="s">
        <v>672</v>
      </c>
      <c r="G1927" t="s">
        <v>673</v>
      </c>
      <c r="N1927">
        <v>60</v>
      </c>
      <c r="O1927">
        <v>114</v>
      </c>
      <c r="P1927">
        <v>84</v>
      </c>
      <c r="Q1927">
        <v>186</v>
      </c>
      <c r="R1927">
        <v>144</v>
      </c>
      <c r="S1927">
        <v>204</v>
      </c>
      <c r="T1927">
        <v>144</v>
      </c>
      <c r="U1927">
        <v>102</v>
      </c>
      <c r="V1927">
        <v>78</v>
      </c>
      <c r="W1927">
        <v>54</v>
      </c>
      <c r="X1927">
        <v>29</v>
      </c>
      <c r="Y1927">
        <v>36</v>
      </c>
      <c r="Z1927">
        <v>30</v>
      </c>
      <c r="AA1927">
        <v>18</v>
      </c>
      <c r="AB1927">
        <v>12</v>
      </c>
      <c r="AC1927">
        <v>6</v>
      </c>
      <c r="AD1927">
        <v>6</v>
      </c>
      <c r="CH1927" t="str">
        <f t="shared" si="30"/>
        <v>JV1-0695-3</v>
      </c>
      <c r="CI1927" s="1" t="s">
        <v>102</v>
      </c>
    </row>
    <row r="1928" spans="1:87">
      <c r="A1928" t="s">
        <v>3020</v>
      </c>
      <c r="B1928">
        <v>605</v>
      </c>
      <c r="C1928" t="s">
        <v>1166</v>
      </c>
      <c r="D1928" t="s">
        <v>457</v>
      </c>
      <c r="E1928" t="s">
        <v>629</v>
      </c>
      <c r="F1928" t="s">
        <v>672</v>
      </c>
      <c r="G1928" t="s">
        <v>673</v>
      </c>
      <c r="O1928">
        <v>30</v>
      </c>
      <c r="P1928">
        <v>42</v>
      </c>
      <c r="Q1928">
        <v>66</v>
      </c>
      <c r="R1928">
        <v>78</v>
      </c>
      <c r="S1928">
        <v>108</v>
      </c>
      <c r="T1928">
        <v>84</v>
      </c>
      <c r="U1928">
        <v>78</v>
      </c>
      <c r="V1928">
        <v>54</v>
      </c>
      <c r="W1928">
        <v>42</v>
      </c>
      <c r="X1928">
        <v>11</v>
      </c>
      <c r="Y1928">
        <v>12</v>
      </c>
      <c r="CH1928" t="str">
        <f t="shared" si="30"/>
        <v>JV1-0695-3</v>
      </c>
      <c r="CI1928" s="1" t="s">
        <v>102</v>
      </c>
    </row>
    <row r="1929" spans="1:87">
      <c r="A1929" t="s">
        <v>3021</v>
      </c>
      <c r="B1929">
        <v>1919</v>
      </c>
      <c r="C1929" t="s">
        <v>1171</v>
      </c>
      <c r="D1929" t="s">
        <v>457</v>
      </c>
      <c r="E1929" t="s">
        <v>629</v>
      </c>
      <c r="F1929" t="s">
        <v>672</v>
      </c>
      <c r="G1929" t="s">
        <v>686</v>
      </c>
      <c r="N1929">
        <v>60</v>
      </c>
      <c r="O1929">
        <v>108</v>
      </c>
      <c r="P1929">
        <v>120</v>
      </c>
      <c r="Q1929">
        <v>216</v>
      </c>
      <c r="R1929">
        <v>180</v>
      </c>
      <c r="S1929">
        <v>228</v>
      </c>
      <c r="T1929">
        <v>180</v>
      </c>
      <c r="U1929">
        <v>144</v>
      </c>
      <c r="V1929">
        <v>144</v>
      </c>
      <c r="W1929">
        <v>96</v>
      </c>
      <c r="X1929">
        <v>113</v>
      </c>
      <c r="Y1929">
        <v>42</v>
      </c>
      <c r="Z1929">
        <v>102</v>
      </c>
      <c r="AA1929">
        <v>30</v>
      </c>
      <c r="AB1929">
        <v>72</v>
      </c>
      <c r="AC1929">
        <v>12</v>
      </c>
      <c r="AD1929">
        <v>42</v>
      </c>
      <c r="AF1929">
        <v>24</v>
      </c>
      <c r="AH1929">
        <v>6</v>
      </c>
      <c r="CH1929" t="str">
        <f t="shared" si="30"/>
        <v>JV1-0695-3</v>
      </c>
      <c r="CI1929" s="1" t="s">
        <v>102</v>
      </c>
    </row>
    <row r="1930" spans="1:87">
      <c r="A1930" t="s">
        <v>3746</v>
      </c>
      <c r="B1930">
        <v>1319</v>
      </c>
      <c r="C1930" t="s">
        <v>3404</v>
      </c>
      <c r="D1930" t="s">
        <v>457</v>
      </c>
      <c r="E1930" t="s">
        <v>629</v>
      </c>
      <c r="F1930" t="s">
        <v>672</v>
      </c>
      <c r="G1930" t="s">
        <v>738</v>
      </c>
      <c r="O1930">
        <v>144</v>
      </c>
      <c r="P1930">
        <v>78</v>
      </c>
      <c r="Q1930">
        <v>252</v>
      </c>
      <c r="R1930">
        <v>132</v>
      </c>
      <c r="S1930">
        <v>312</v>
      </c>
      <c r="T1930">
        <v>54</v>
      </c>
      <c r="U1930">
        <v>215</v>
      </c>
      <c r="V1930">
        <v>42</v>
      </c>
      <c r="W1930">
        <v>90</v>
      </c>
      <c r="CH1930" t="str">
        <f t="shared" si="30"/>
        <v>JV1-0695-3</v>
      </c>
      <c r="CI1930" s="1" t="s">
        <v>102</v>
      </c>
    </row>
    <row r="1931" spans="1:87">
      <c r="A1931" t="s">
        <v>3022</v>
      </c>
      <c r="B1931">
        <v>4505</v>
      </c>
      <c r="C1931" t="s">
        <v>1166</v>
      </c>
      <c r="D1931" t="s">
        <v>457</v>
      </c>
      <c r="E1931" t="s">
        <v>629</v>
      </c>
      <c r="F1931" t="s">
        <v>672</v>
      </c>
      <c r="G1931" t="s">
        <v>673</v>
      </c>
      <c r="O1931">
        <v>348</v>
      </c>
      <c r="P1931">
        <v>336</v>
      </c>
      <c r="Q1931">
        <v>630</v>
      </c>
      <c r="R1931">
        <v>714</v>
      </c>
      <c r="S1931">
        <v>702</v>
      </c>
      <c r="T1931">
        <v>726</v>
      </c>
      <c r="U1931">
        <v>551</v>
      </c>
      <c r="V1931">
        <v>222</v>
      </c>
      <c r="W1931">
        <v>198</v>
      </c>
      <c r="Y1931">
        <v>78</v>
      </c>
      <c r="CH1931" t="str">
        <f t="shared" si="30"/>
        <v>JV1-0695-3</v>
      </c>
      <c r="CI1931" s="1" t="s">
        <v>102</v>
      </c>
    </row>
    <row r="1932" spans="1:87">
      <c r="A1932" t="s">
        <v>3023</v>
      </c>
      <c r="B1932">
        <v>509</v>
      </c>
      <c r="C1932" t="s">
        <v>718</v>
      </c>
      <c r="D1932" t="s">
        <v>457</v>
      </c>
      <c r="E1932" t="s">
        <v>629</v>
      </c>
      <c r="F1932" t="s">
        <v>672</v>
      </c>
      <c r="G1932" t="s">
        <v>673</v>
      </c>
      <c r="O1932">
        <v>36</v>
      </c>
      <c r="P1932">
        <v>42</v>
      </c>
      <c r="Q1932">
        <v>72</v>
      </c>
      <c r="R1932">
        <v>78</v>
      </c>
      <c r="S1932">
        <v>78</v>
      </c>
      <c r="T1932">
        <v>84</v>
      </c>
      <c r="U1932">
        <v>65</v>
      </c>
      <c r="V1932">
        <v>24</v>
      </c>
      <c r="W1932">
        <v>24</v>
      </c>
      <c r="Y1932">
        <v>6</v>
      </c>
      <c r="CH1932" t="str">
        <f t="shared" si="30"/>
        <v>JV1-0695-3</v>
      </c>
      <c r="CI1932" s="1" t="s">
        <v>102</v>
      </c>
    </row>
    <row r="1933" spans="1:87">
      <c r="A1933" t="s">
        <v>3024</v>
      </c>
      <c r="B1933">
        <v>1415</v>
      </c>
      <c r="C1933" t="s">
        <v>1167</v>
      </c>
      <c r="D1933" t="s">
        <v>457</v>
      </c>
      <c r="E1933" t="s">
        <v>629</v>
      </c>
      <c r="F1933" t="s">
        <v>672</v>
      </c>
      <c r="G1933" t="s">
        <v>686</v>
      </c>
      <c r="N1933">
        <v>42</v>
      </c>
      <c r="O1933">
        <v>114</v>
      </c>
      <c r="P1933">
        <v>54</v>
      </c>
      <c r="Q1933">
        <v>210</v>
      </c>
      <c r="R1933">
        <v>114</v>
      </c>
      <c r="S1933">
        <v>390</v>
      </c>
      <c r="T1933">
        <v>72</v>
      </c>
      <c r="U1933">
        <v>216</v>
      </c>
      <c r="V1933">
        <v>42</v>
      </c>
      <c r="W1933">
        <v>96</v>
      </c>
      <c r="X1933">
        <v>23</v>
      </c>
      <c r="Y1933">
        <v>42</v>
      </c>
      <c r="CH1933" t="str">
        <f t="shared" si="30"/>
        <v>JV1-0695-3</v>
      </c>
      <c r="CI1933" s="1" t="s">
        <v>102</v>
      </c>
    </row>
    <row r="1934" spans="1:87">
      <c r="A1934" t="s">
        <v>3025</v>
      </c>
      <c r="B1934">
        <v>1001</v>
      </c>
      <c r="C1934" t="s">
        <v>1171</v>
      </c>
      <c r="D1934" t="s">
        <v>457</v>
      </c>
      <c r="E1934" t="s">
        <v>629</v>
      </c>
      <c r="F1934" t="s">
        <v>672</v>
      </c>
      <c r="G1934" t="s">
        <v>686</v>
      </c>
      <c r="N1934">
        <v>30</v>
      </c>
      <c r="O1934">
        <v>78</v>
      </c>
      <c r="P1934">
        <v>42</v>
      </c>
      <c r="Q1934">
        <v>150</v>
      </c>
      <c r="R1934">
        <v>78</v>
      </c>
      <c r="S1934">
        <v>276</v>
      </c>
      <c r="T1934">
        <v>48</v>
      </c>
      <c r="U1934">
        <v>156</v>
      </c>
      <c r="V1934">
        <v>30</v>
      </c>
      <c r="W1934">
        <v>66</v>
      </c>
      <c r="X1934">
        <v>17</v>
      </c>
      <c r="Y1934">
        <v>30</v>
      </c>
      <c r="CH1934" t="str">
        <f t="shared" si="30"/>
        <v>JV1-0695-3</v>
      </c>
      <c r="CI1934" s="1" t="s">
        <v>102</v>
      </c>
    </row>
    <row r="1935" spans="1:87">
      <c r="A1935" t="s">
        <v>3026</v>
      </c>
      <c r="B1935">
        <v>929</v>
      </c>
      <c r="C1935" t="s">
        <v>1166</v>
      </c>
      <c r="D1935" t="s">
        <v>457</v>
      </c>
      <c r="E1935" t="s">
        <v>629</v>
      </c>
      <c r="F1935" t="s">
        <v>672</v>
      </c>
      <c r="G1935" t="s">
        <v>673</v>
      </c>
      <c r="P1935">
        <v>36</v>
      </c>
      <c r="Q1935">
        <v>60</v>
      </c>
      <c r="R1935">
        <v>120</v>
      </c>
      <c r="S1935">
        <v>108</v>
      </c>
      <c r="T1935">
        <v>132</v>
      </c>
      <c r="U1935">
        <v>120</v>
      </c>
      <c r="V1935">
        <v>132</v>
      </c>
      <c r="W1935">
        <v>108</v>
      </c>
      <c r="X1935">
        <v>113</v>
      </c>
      <c r="CH1935" t="str">
        <f t="shared" si="30"/>
        <v>JV1-0695-3</v>
      </c>
      <c r="CI1935" s="1" t="s">
        <v>102</v>
      </c>
    </row>
    <row r="1936" spans="1:87">
      <c r="A1936" t="s">
        <v>3747</v>
      </c>
      <c r="B1936">
        <v>707</v>
      </c>
      <c r="C1936" t="s">
        <v>3404</v>
      </c>
      <c r="D1936" t="s">
        <v>457</v>
      </c>
      <c r="E1936" t="s">
        <v>629</v>
      </c>
      <c r="F1936" t="s">
        <v>672</v>
      </c>
      <c r="G1936" t="s">
        <v>738</v>
      </c>
      <c r="N1936">
        <v>24</v>
      </c>
      <c r="O1936">
        <v>36</v>
      </c>
      <c r="P1936">
        <v>54</v>
      </c>
      <c r="Q1936">
        <v>78</v>
      </c>
      <c r="R1936">
        <v>72</v>
      </c>
      <c r="S1936">
        <v>54</v>
      </c>
      <c r="T1936">
        <v>42</v>
      </c>
      <c r="U1936">
        <v>54</v>
      </c>
      <c r="V1936">
        <v>42</v>
      </c>
      <c r="W1936">
        <v>66</v>
      </c>
      <c r="X1936">
        <v>53</v>
      </c>
      <c r="Y1936">
        <v>60</v>
      </c>
      <c r="Z1936">
        <v>42</v>
      </c>
      <c r="AA1936">
        <v>30</v>
      </c>
      <c r="CH1936" t="str">
        <f t="shared" si="30"/>
        <v>JV1-0695-3</v>
      </c>
      <c r="CI1936" s="1" t="s">
        <v>102</v>
      </c>
    </row>
    <row r="1937" spans="1:87">
      <c r="A1937" t="s">
        <v>3027</v>
      </c>
      <c r="B1937">
        <v>149</v>
      </c>
      <c r="C1937" t="s">
        <v>1170</v>
      </c>
      <c r="D1937" t="s">
        <v>457</v>
      </c>
      <c r="E1937" t="s">
        <v>629</v>
      </c>
      <c r="F1937" t="s">
        <v>672</v>
      </c>
      <c r="G1937" t="s">
        <v>686</v>
      </c>
      <c r="T1937">
        <v>18</v>
      </c>
      <c r="U1937">
        <v>18</v>
      </c>
      <c r="V1937">
        <v>36</v>
      </c>
      <c r="W1937">
        <v>30</v>
      </c>
      <c r="X1937">
        <v>17</v>
      </c>
      <c r="Y1937">
        <v>24</v>
      </c>
      <c r="Z1937">
        <v>6</v>
      </c>
      <c r="CH1937" t="str">
        <f t="shared" si="30"/>
        <v>JV1-0695-3</v>
      </c>
      <c r="CI1937" s="1" t="s">
        <v>102</v>
      </c>
    </row>
    <row r="1938" spans="1:87">
      <c r="A1938" t="s">
        <v>3028</v>
      </c>
      <c r="B1938">
        <v>245</v>
      </c>
      <c r="C1938" t="s">
        <v>1170</v>
      </c>
      <c r="D1938" t="s">
        <v>457</v>
      </c>
      <c r="E1938" t="s">
        <v>629</v>
      </c>
      <c r="F1938" t="s">
        <v>672</v>
      </c>
      <c r="G1938" t="s">
        <v>686</v>
      </c>
      <c r="V1938">
        <v>12</v>
      </c>
      <c r="W1938">
        <v>24</v>
      </c>
      <c r="X1938">
        <v>41</v>
      </c>
      <c r="Y1938">
        <v>36</v>
      </c>
      <c r="Z1938">
        <v>36</v>
      </c>
      <c r="AA1938">
        <v>24</v>
      </c>
      <c r="AB1938">
        <v>24</v>
      </c>
      <c r="AC1938">
        <v>24</v>
      </c>
      <c r="AD1938">
        <v>24</v>
      </c>
      <c r="CH1938" t="str">
        <f t="shared" si="30"/>
        <v>JV1-0695-3</v>
      </c>
      <c r="CI1938" s="1" t="s">
        <v>102</v>
      </c>
    </row>
    <row r="1939" spans="1:87">
      <c r="A1939" t="s">
        <v>3029</v>
      </c>
      <c r="B1939">
        <v>149</v>
      </c>
      <c r="C1939" t="s">
        <v>1170</v>
      </c>
      <c r="D1939" t="s">
        <v>457</v>
      </c>
      <c r="E1939" t="s">
        <v>629</v>
      </c>
      <c r="F1939" t="s">
        <v>672</v>
      </c>
      <c r="G1939" t="s">
        <v>686</v>
      </c>
      <c r="S1939">
        <v>12</v>
      </c>
      <c r="T1939">
        <v>12</v>
      </c>
      <c r="U1939">
        <v>36</v>
      </c>
      <c r="V1939">
        <v>30</v>
      </c>
      <c r="W1939">
        <v>12</v>
      </c>
      <c r="X1939">
        <v>35</v>
      </c>
      <c r="Z1939">
        <v>12</v>
      </c>
      <c r="CH1939" t="str">
        <f t="shared" si="30"/>
        <v>JV1-0695-3</v>
      </c>
      <c r="CI1939" s="1" t="s">
        <v>102</v>
      </c>
    </row>
    <row r="1940" spans="1:87">
      <c r="A1940" t="s">
        <v>3030</v>
      </c>
      <c r="B1940">
        <v>149</v>
      </c>
      <c r="C1940" t="s">
        <v>1170</v>
      </c>
      <c r="D1940" t="s">
        <v>457</v>
      </c>
      <c r="E1940" t="s">
        <v>629</v>
      </c>
      <c r="F1940" t="s">
        <v>672</v>
      </c>
      <c r="G1940" t="s">
        <v>686</v>
      </c>
      <c r="T1940">
        <v>6</v>
      </c>
      <c r="U1940">
        <v>6</v>
      </c>
      <c r="V1940">
        <v>6</v>
      </c>
      <c r="W1940">
        <v>12</v>
      </c>
      <c r="X1940">
        <v>17</v>
      </c>
      <c r="Y1940">
        <v>24</v>
      </c>
      <c r="Z1940">
        <v>30</v>
      </c>
      <c r="AA1940">
        <v>18</v>
      </c>
      <c r="AB1940">
        <v>12</v>
      </c>
      <c r="AC1940">
        <v>12</v>
      </c>
      <c r="AD1940">
        <v>6</v>
      </c>
      <c r="CH1940" t="str">
        <f t="shared" si="30"/>
        <v>JV1-0695-3</v>
      </c>
      <c r="CI1940" s="1" t="s">
        <v>102</v>
      </c>
    </row>
    <row r="1941" spans="1:87">
      <c r="A1941" t="s">
        <v>3031</v>
      </c>
      <c r="B1941">
        <v>329</v>
      </c>
      <c r="C1941" t="s">
        <v>1167</v>
      </c>
      <c r="D1941" t="s">
        <v>457</v>
      </c>
      <c r="E1941" t="s">
        <v>629</v>
      </c>
      <c r="F1941" t="s">
        <v>672</v>
      </c>
      <c r="G1941" t="s">
        <v>686</v>
      </c>
      <c r="P1941">
        <v>12</v>
      </c>
      <c r="Q1941">
        <v>24</v>
      </c>
      <c r="R1941">
        <v>24</v>
      </c>
      <c r="S1941">
        <v>24</v>
      </c>
      <c r="T1941">
        <v>24</v>
      </c>
      <c r="U1941">
        <v>24</v>
      </c>
      <c r="V1941">
        <v>12</v>
      </c>
      <c r="W1941">
        <v>24</v>
      </c>
      <c r="X1941">
        <v>29</v>
      </c>
      <c r="Y1941">
        <v>24</v>
      </c>
      <c r="Z1941">
        <v>24</v>
      </c>
      <c r="AA1941">
        <v>24</v>
      </c>
      <c r="AB1941">
        <v>24</v>
      </c>
      <c r="AC1941">
        <v>24</v>
      </c>
      <c r="AD1941">
        <v>12</v>
      </c>
      <c r="CH1941" t="str">
        <f t="shared" si="30"/>
        <v>JV1-0695-3</v>
      </c>
      <c r="CI1941" s="1" t="s">
        <v>102</v>
      </c>
    </row>
    <row r="1942" spans="1:87">
      <c r="A1942" t="s">
        <v>3748</v>
      </c>
      <c r="B1942">
        <v>341</v>
      </c>
      <c r="C1942" t="s">
        <v>3404</v>
      </c>
      <c r="D1942" t="s">
        <v>457</v>
      </c>
      <c r="E1942" t="s">
        <v>629</v>
      </c>
      <c r="F1942" t="s">
        <v>672</v>
      </c>
      <c r="G1942" t="s">
        <v>738</v>
      </c>
      <c r="N1942">
        <v>12</v>
      </c>
      <c r="O1942">
        <v>18</v>
      </c>
      <c r="P1942">
        <v>24</v>
      </c>
      <c r="Q1942">
        <v>42</v>
      </c>
      <c r="R1942">
        <v>30</v>
      </c>
      <c r="S1942">
        <v>24</v>
      </c>
      <c r="T1942">
        <v>18</v>
      </c>
      <c r="U1942">
        <v>18</v>
      </c>
      <c r="V1942">
        <v>24</v>
      </c>
      <c r="W1942">
        <v>36</v>
      </c>
      <c r="X1942">
        <v>29</v>
      </c>
      <c r="Y1942">
        <v>30</v>
      </c>
      <c r="Z1942">
        <v>18</v>
      </c>
      <c r="AA1942">
        <v>18</v>
      </c>
      <c r="CH1942" t="str">
        <f t="shared" si="30"/>
        <v>JV1-0695-3</v>
      </c>
      <c r="CI1942" s="1" t="s">
        <v>102</v>
      </c>
    </row>
    <row r="1943" spans="1:87">
      <c r="A1943" t="s">
        <v>3032</v>
      </c>
      <c r="B1943">
        <v>191</v>
      </c>
      <c r="C1943" t="s">
        <v>718</v>
      </c>
      <c r="D1943" t="s">
        <v>457</v>
      </c>
      <c r="E1943" t="s">
        <v>629</v>
      </c>
      <c r="F1943" t="s">
        <v>672</v>
      </c>
      <c r="G1943" t="s">
        <v>673</v>
      </c>
      <c r="T1943">
        <v>18</v>
      </c>
      <c r="V1943">
        <v>24</v>
      </c>
      <c r="W1943">
        <v>24</v>
      </c>
      <c r="X1943">
        <v>35</v>
      </c>
      <c r="Y1943">
        <v>24</v>
      </c>
      <c r="Z1943">
        <v>36</v>
      </c>
      <c r="AB1943">
        <v>24</v>
      </c>
      <c r="AD1943">
        <v>6</v>
      </c>
      <c r="CH1943" t="str">
        <f t="shared" si="30"/>
        <v>JV1-0695-3</v>
      </c>
      <c r="CI1943" s="1" t="s">
        <v>102</v>
      </c>
    </row>
    <row r="1944" spans="1:87">
      <c r="A1944" t="s">
        <v>3033</v>
      </c>
      <c r="B1944">
        <v>131</v>
      </c>
      <c r="C1944" t="s">
        <v>1168</v>
      </c>
      <c r="D1944" t="s">
        <v>457</v>
      </c>
      <c r="E1944" t="s">
        <v>629</v>
      </c>
      <c r="F1944" t="s">
        <v>672</v>
      </c>
      <c r="G1944" t="s">
        <v>673</v>
      </c>
      <c r="U1944">
        <v>18</v>
      </c>
      <c r="V1944">
        <v>6</v>
      </c>
      <c r="W1944">
        <v>24</v>
      </c>
      <c r="X1944">
        <v>23</v>
      </c>
      <c r="Y1944">
        <v>24</v>
      </c>
      <c r="Z1944">
        <v>24</v>
      </c>
      <c r="AB1944">
        <v>6</v>
      </c>
      <c r="AD1944">
        <v>6</v>
      </c>
      <c r="CH1944" t="str">
        <f t="shared" si="30"/>
        <v>JV1-0695-3</v>
      </c>
      <c r="CI1944" s="1" t="s">
        <v>102</v>
      </c>
    </row>
    <row r="1945" spans="1:87">
      <c r="A1945" t="s">
        <v>3034</v>
      </c>
      <c r="B1945">
        <v>437</v>
      </c>
      <c r="C1945" t="s">
        <v>1168</v>
      </c>
      <c r="D1945" t="s">
        <v>457</v>
      </c>
      <c r="E1945" t="s">
        <v>629</v>
      </c>
      <c r="F1945" t="s">
        <v>672</v>
      </c>
      <c r="G1945" t="s">
        <v>673</v>
      </c>
      <c r="U1945">
        <v>36</v>
      </c>
      <c r="V1945">
        <v>72</v>
      </c>
      <c r="W1945">
        <v>72</v>
      </c>
      <c r="X1945">
        <v>77</v>
      </c>
      <c r="Y1945">
        <v>72</v>
      </c>
      <c r="Z1945">
        <v>36</v>
      </c>
      <c r="AA1945">
        <v>36</v>
      </c>
      <c r="AB1945">
        <v>36</v>
      </c>
      <c r="CH1945" t="str">
        <f t="shared" si="30"/>
        <v>JV1-0695-3</v>
      </c>
      <c r="CI1945" s="1" t="s">
        <v>102</v>
      </c>
    </row>
    <row r="1946" spans="1:87">
      <c r="A1946" t="s">
        <v>3035</v>
      </c>
      <c r="B1946">
        <v>221</v>
      </c>
      <c r="C1946" t="s">
        <v>1166</v>
      </c>
      <c r="D1946" t="s">
        <v>457</v>
      </c>
      <c r="E1946" t="s">
        <v>629</v>
      </c>
      <c r="F1946" t="s">
        <v>672</v>
      </c>
      <c r="G1946" t="s">
        <v>673</v>
      </c>
      <c r="N1946">
        <v>18</v>
      </c>
      <c r="O1946">
        <v>36</v>
      </c>
      <c r="Q1946">
        <v>54</v>
      </c>
      <c r="S1946">
        <v>54</v>
      </c>
      <c r="T1946">
        <v>41</v>
      </c>
      <c r="V1946">
        <v>18</v>
      </c>
      <c r="CH1946" t="str">
        <f t="shared" si="30"/>
        <v>JV1-0695-3</v>
      </c>
      <c r="CI1946" s="1" t="s">
        <v>102</v>
      </c>
    </row>
    <row r="1947" spans="1:87">
      <c r="A1947" t="s">
        <v>3036</v>
      </c>
      <c r="B1947">
        <v>689</v>
      </c>
      <c r="C1947" t="s">
        <v>1166</v>
      </c>
      <c r="D1947" t="s">
        <v>457</v>
      </c>
      <c r="E1947" t="s">
        <v>629</v>
      </c>
      <c r="F1947" t="s">
        <v>672</v>
      </c>
      <c r="G1947" t="s">
        <v>673</v>
      </c>
      <c r="N1947">
        <v>57</v>
      </c>
      <c r="O1947">
        <v>114</v>
      </c>
      <c r="Q1947">
        <v>171</v>
      </c>
      <c r="S1947">
        <v>171</v>
      </c>
      <c r="T1947">
        <v>119</v>
      </c>
      <c r="V1947">
        <v>57</v>
      </c>
      <c r="CH1947" t="str">
        <f t="shared" si="30"/>
        <v>JV1-0695-3</v>
      </c>
      <c r="CI1947" s="1" t="s">
        <v>102</v>
      </c>
    </row>
    <row r="1948" spans="1:87">
      <c r="A1948" t="s">
        <v>3037</v>
      </c>
      <c r="B1948">
        <v>449</v>
      </c>
      <c r="C1948" t="s">
        <v>1168</v>
      </c>
      <c r="D1948" t="s">
        <v>457</v>
      </c>
      <c r="E1948" t="s">
        <v>629</v>
      </c>
      <c r="F1948" t="s">
        <v>672</v>
      </c>
      <c r="G1948" t="s">
        <v>673</v>
      </c>
      <c r="U1948">
        <v>36</v>
      </c>
      <c r="V1948">
        <v>78</v>
      </c>
      <c r="W1948">
        <v>78</v>
      </c>
      <c r="X1948">
        <v>41</v>
      </c>
      <c r="Y1948">
        <v>72</v>
      </c>
      <c r="Z1948">
        <v>72</v>
      </c>
      <c r="AA1948">
        <v>36</v>
      </c>
      <c r="AB1948">
        <v>36</v>
      </c>
      <c r="CH1948" t="str">
        <f t="shared" si="30"/>
        <v>JV1-0695-3</v>
      </c>
      <c r="CI1948" s="1" t="s">
        <v>102</v>
      </c>
    </row>
    <row r="1949" spans="1:87">
      <c r="A1949" t="s">
        <v>3038</v>
      </c>
      <c r="B1949">
        <v>773</v>
      </c>
      <c r="C1949" t="s">
        <v>1168</v>
      </c>
      <c r="D1949" t="s">
        <v>457</v>
      </c>
      <c r="E1949" t="s">
        <v>629</v>
      </c>
      <c r="F1949" t="s">
        <v>672</v>
      </c>
      <c r="G1949" t="s">
        <v>673</v>
      </c>
      <c r="U1949">
        <v>64</v>
      </c>
      <c r="V1949">
        <v>128</v>
      </c>
      <c r="W1949">
        <v>128</v>
      </c>
      <c r="X1949">
        <v>69</v>
      </c>
      <c r="Y1949">
        <v>128</v>
      </c>
      <c r="Z1949">
        <v>128</v>
      </c>
      <c r="AA1949">
        <v>64</v>
      </c>
      <c r="AB1949">
        <v>64</v>
      </c>
      <c r="CH1949" t="str">
        <f t="shared" si="30"/>
        <v>JV1-0695-3</v>
      </c>
      <c r="CI1949" s="1" t="s">
        <v>102</v>
      </c>
    </row>
    <row r="1950" spans="1:87">
      <c r="A1950" t="s">
        <v>3039</v>
      </c>
      <c r="B1950">
        <v>1207</v>
      </c>
      <c r="C1950" t="s">
        <v>3040</v>
      </c>
      <c r="D1950" t="s">
        <v>3041</v>
      </c>
      <c r="E1950" t="s">
        <v>676</v>
      </c>
      <c r="F1950" t="s">
        <v>3042</v>
      </c>
      <c r="G1950" t="s">
        <v>3043</v>
      </c>
      <c r="P1950">
        <v>36</v>
      </c>
      <c r="R1950">
        <v>108</v>
      </c>
      <c r="S1950">
        <v>132</v>
      </c>
      <c r="T1950">
        <v>120</v>
      </c>
      <c r="U1950">
        <v>96</v>
      </c>
      <c r="V1950">
        <v>60</v>
      </c>
      <c r="W1950">
        <v>60</v>
      </c>
      <c r="X1950">
        <v>115</v>
      </c>
      <c r="Y1950">
        <v>144</v>
      </c>
      <c r="Z1950">
        <v>120</v>
      </c>
      <c r="AA1950">
        <v>84</v>
      </c>
      <c r="AB1950">
        <v>84</v>
      </c>
      <c r="AD1950">
        <v>48</v>
      </c>
      <c r="CH1950" t="str">
        <f t="shared" si="30"/>
        <v>D-0673</v>
      </c>
      <c r="CI1950" s="1" t="s">
        <v>102</v>
      </c>
    </row>
    <row r="1951" spans="1:87">
      <c r="A1951" t="s">
        <v>3044</v>
      </c>
      <c r="B1951">
        <v>2163</v>
      </c>
      <c r="C1951" t="s">
        <v>3040</v>
      </c>
      <c r="D1951" t="s">
        <v>3041</v>
      </c>
      <c r="E1951" t="s">
        <v>676</v>
      </c>
      <c r="F1951" t="s">
        <v>3042</v>
      </c>
      <c r="G1951" t="s">
        <v>3043</v>
      </c>
      <c r="N1951">
        <v>12</v>
      </c>
      <c r="P1951">
        <v>25</v>
      </c>
      <c r="R1951">
        <v>39</v>
      </c>
      <c r="S1951">
        <v>8</v>
      </c>
      <c r="T1951">
        <v>128</v>
      </c>
      <c r="U1951">
        <v>46</v>
      </c>
      <c r="V1951">
        <v>216</v>
      </c>
      <c r="W1951">
        <v>93</v>
      </c>
      <c r="X1951">
        <v>363</v>
      </c>
      <c r="Y1951">
        <v>182</v>
      </c>
      <c r="Z1951">
        <v>379</v>
      </c>
      <c r="AA1951">
        <v>166</v>
      </c>
      <c r="AB1951">
        <v>256</v>
      </c>
      <c r="AC1951">
        <v>40</v>
      </c>
      <c r="AD1951">
        <v>143</v>
      </c>
      <c r="AF1951">
        <v>55</v>
      </c>
      <c r="AH1951">
        <v>12</v>
      </c>
      <c r="CH1951" t="str">
        <f t="shared" si="30"/>
        <v>D-0673</v>
      </c>
      <c r="CI1951" s="1" t="s">
        <v>102</v>
      </c>
    </row>
    <row r="1952" spans="1:87">
      <c r="A1952" t="s">
        <v>3045</v>
      </c>
      <c r="B1952">
        <v>4717</v>
      </c>
      <c r="C1952" t="s">
        <v>3040</v>
      </c>
      <c r="D1952" t="s">
        <v>3041</v>
      </c>
      <c r="E1952" t="s">
        <v>676</v>
      </c>
      <c r="F1952" t="s">
        <v>3042</v>
      </c>
      <c r="G1952" t="s">
        <v>3043</v>
      </c>
      <c r="N1952">
        <v>2</v>
      </c>
      <c r="P1952">
        <v>16</v>
      </c>
      <c r="Q1952">
        <v>15</v>
      </c>
      <c r="R1952">
        <v>114</v>
      </c>
      <c r="S1952">
        <v>89</v>
      </c>
      <c r="T1952">
        <v>155</v>
      </c>
      <c r="U1952">
        <v>149</v>
      </c>
      <c r="V1952">
        <v>275</v>
      </c>
      <c r="W1952">
        <v>375</v>
      </c>
      <c r="X1952">
        <v>520</v>
      </c>
      <c r="Y1952">
        <v>541</v>
      </c>
      <c r="Z1952">
        <v>712</v>
      </c>
      <c r="AA1952">
        <v>483</v>
      </c>
      <c r="AB1952">
        <v>538</v>
      </c>
      <c r="AC1952">
        <v>257</v>
      </c>
      <c r="AD1952">
        <v>317</v>
      </c>
      <c r="AF1952">
        <v>128</v>
      </c>
      <c r="AH1952">
        <v>31</v>
      </c>
      <c r="CH1952" t="str">
        <f t="shared" si="30"/>
        <v>D-0673</v>
      </c>
      <c r="CI1952" s="1" t="s">
        <v>102</v>
      </c>
    </row>
    <row r="1953" spans="1:87">
      <c r="A1953" t="s">
        <v>3046</v>
      </c>
      <c r="B1953">
        <v>5015</v>
      </c>
      <c r="C1953" t="s">
        <v>3040</v>
      </c>
      <c r="D1953" t="s">
        <v>3041</v>
      </c>
      <c r="E1953" t="s">
        <v>676</v>
      </c>
      <c r="F1953" t="s">
        <v>3042</v>
      </c>
      <c r="G1953" t="s">
        <v>3043</v>
      </c>
      <c r="N1953">
        <v>8</v>
      </c>
      <c r="O1953">
        <v>4</v>
      </c>
      <c r="P1953">
        <v>21</v>
      </c>
      <c r="Q1953">
        <v>16</v>
      </c>
      <c r="R1953">
        <v>27</v>
      </c>
      <c r="S1953">
        <v>26</v>
      </c>
      <c r="T1953">
        <v>48</v>
      </c>
      <c r="U1953">
        <v>52</v>
      </c>
      <c r="V1953">
        <v>198</v>
      </c>
      <c r="W1953">
        <v>213</v>
      </c>
      <c r="X1953">
        <v>565</v>
      </c>
      <c r="Y1953">
        <v>619</v>
      </c>
      <c r="Z1953">
        <v>609</v>
      </c>
      <c r="AA1953">
        <v>610</v>
      </c>
      <c r="AB1953">
        <v>630</v>
      </c>
      <c r="AC1953">
        <v>317</v>
      </c>
      <c r="AD1953">
        <v>612</v>
      </c>
      <c r="AF1953">
        <v>338</v>
      </c>
      <c r="AH1953">
        <v>102</v>
      </c>
      <c r="CH1953" t="str">
        <f t="shared" si="30"/>
        <v>D-0673</v>
      </c>
      <c r="CI1953" s="1" t="s">
        <v>102</v>
      </c>
    </row>
    <row r="1954" spans="1:87">
      <c r="A1954" t="s">
        <v>3047</v>
      </c>
      <c r="B1954">
        <v>4719</v>
      </c>
      <c r="C1954" t="s">
        <v>3040</v>
      </c>
      <c r="D1954" t="s">
        <v>3041</v>
      </c>
      <c r="E1954" t="s">
        <v>676</v>
      </c>
      <c r="F1954" t="s">
        <v>3042</v>
      </c>
      <c r="G1954" t="s">
        <v>3043</v>
      </c>
      <c r="N1954">
        <v>3</v>
      </c>
      <c r="O1954">
        <v>3</v>
      </c>
      <c r="P1954">
        <v>15</v>
      </c>
      <c r="Q1954">
        <v>13</v>
      </c>
      <c r="R1954">
        <v>27</v>
      </c>
      <c r="S1954">
        <v>29</v>
      </c>
      <c r="T1954">
        <v>42</v>
      </c>
      <c r="U1954">
        <v>46</v>
      </c>
      <c r="V1954">
        <v>188</v>
      </c>
      <c r="W1954">
        <v>204</v>
      </c>
      <c r="X1954">
        <v>509</v>
      </c>
      <c r="Y1954">
        <v>587</v>
      </c>
      <c r="Z1954">
        <v>594</v>
      </c>
      <c r="AA1954">
        <v>608</v>
      </c>
      <c r="AB1954">
        <v>590</v>
      </c>
      <c r="AC1954">
        <v>281</v>
      </c>
      <c r="AD1954">
        <v>564</v>
      </c>
      <c r="AF1954">
        <v>327</v>
      </c>
      <c r="AH1954">
        <v>89</v>
      </c>
      <c r="CH1954" t="str">
        <f t="shared" si="30"/>
        <v>D-0673</v>
      </c>
      <c r="CI1954" s="1" t="s">
        <v>102</v>
      </c>
    </row>
    <row r="1955" spans="1:87">
      <c r="A1955" t="s">
        <v>3048</v>
      </c>
      <c r="B1955">
        <v>498</v>
      </c>
      <c r="C1955" t="s">
        <v>1520</v>
      </c>
      <c r="D1955" t="s">
        <v>413</v>
      </c>
      <c r="E1955" t="s">
        <v>642</v>
      </c>
      <c r="F1955" t="s">
        <v>657</v>
      </c>
      <c r="G1955" t="s">
        <v>3049</v>
      </c>
      <c r="P1955">
        <v>14</v>
      </c>
      <c r="Q1955">
        <v>37</v>
      </c>
      <c r="R1955">
        <v>48</v>
      </c>
      <c r="S1955">
        <v>59</v>
      </c>
      <c r="T1955">
        <v>65</v>
      </c>
      <c r="U1955">
        <v>62</v>
      </c>
      <c r="V1955">
        <v>51</v>
      </c>
      <c r="W1955">
        <v>36</v>
      </c>
      <c r="X1955">
        <v>27</v>
      </c>
      <c r="Y1955">
        <v>20</v>
      </c>
      <c r="Z1955">
        <v>20</v>
      </c>
      <c r="AA1955">
        <v>22</v>
      </c>
      <c r="AB1955">
        <v>20</v>
      </c>
      <c r="AC1955">
        <v>5</v>
      </c>
      <c r="AD1955">
        <v>12</v>
      </c>
      <c r="CH1955" t="str">
        <f t="shared" si="30"/>
        <v>D-0594</v>
      </c>
      <c r="CI1955" s="1" t="s">
        <v>102</v>
      </c>
    </row>
    <row r="1956" spans="1:87">
      <c r="A1956" t="s">
        <v>3050</v>
      </c>
      <c r="B1956">
        <v>23</v>
      </c>
      <c r="C1956" t="s">
        <v>1520</v>
      </c>
      <c r="D1956" t="s">
        <v>413</v>
      </c>
      <c r="E1956" t="s">
        <v>642</v>
      </c>
      <c r="F1956" t="s">
        <v>657</v>
      </c>
      <c r="G1956" t="s">
        <v>3049</v>
      </c>
      <c r="R1956">
        <v>2</v>
      </c>
      <c r="S1956">
        <v>2</v>
      </c>
      <c r="T1956">
        <v>3</v>
      </c>
      <c r="U1956">
        <v>3</v>
      </c>
      <c r="V1956">
        <v>4</v>
      </c>
      <c r="W1956">
        <v>3</v>
      </c>
      <c r="X1956">
        <v>2</v>
      </c>
      <c r="Y1956">
        <v>2</v>
      </c>
      <c r="Z1956">
        <v>2</v>
      </c>
      <c r="CH1956" t="str">
        <f t="shared" si="30"/>
        <v>D-0594</v>
      </c>
      <c r="CI1956" s="1" t="s">
        <v>102</v>
      </c>
    </row>
    <row r="1957" spans="1:87">
      <c r="A1957" t="s">
        <v>3051</v>
      </c>
      <c r="B1957">
        <v>320</v>
      </c>
      <c r="C1957" t="s">
        <v>1520</v>
      </c>
      <c r="D1957" t="s">
        <v>413</v>
      </c>
      <c r="E1957" t="s">
        <v>642</v>
      </c>
      <c r="F1957" t="s">
        <v>657</v>
      </c>
      <c r="G1957" t="s">
        <v>3049</v>
      </c>
      <c r="P1957">
        <v>3</v>
      </c>
      <c r="Q1957">
        <v>5</v>
      </c>
      <c r="R1957">
        <v>18</v>
      </c>
      <c r="S1957">
        <v>22</v>
      </c>
      <c r="T1957">
        <v>34</v>
      </c>
      <c r="U1957">
        <v>35</v>
      </c>
      <c r="V1957">
        <v>43</v>
      </c>
      <c r="W1957">
        <v>37</v>
      </c>
      <c r="X1957">
        <v>31</v>
      </c>
      <c r="Y1957">
        <v>23</v>
      </c>
      <c r="Z1957">
        <v>22</v>
      </c>
      <c r="AA1957">
        <v>9</v>
      </c>
      <c r="AB1957">
        <v>11</v>
      </c>
      <c r="AC1957">
        <v>5</v>
      </c>
      <c r="AD1957">
        <v>6</v>
      </c>
      <c r="AE1957">
        <v>4</v>
      </c>
      <c r="AF1957">
        <v>4</v>
      </c>
      <c r="AG1957">
        <v>4</v>
      </c>
      <c r="AH1957">
        <v>1</v>
      </c>
      <c r="AI1957">
        <v>3</v>
      </c>
      <c r="CH1957" t="str">
        <f t="shared" si="30"/>
        <v>D-0594</v>
      </c>
      <c r="CI1957" s="1" t="s">
        <v>102</v>
      </c>
    </row>
    <row r="1958" spans="1:87">
      <c r="A1958" t="s">
        <v>3052</v>
      </c>
      <c r="B1958">
        <v>59</v>
      </c>
      <c r="C1958" t="s">
        <v>1523</v>
      </c>
      <c r="D1958" t="s">
        <v>413</v>
      </c>
      <c r="E1958" t="s">
        <v>642</v>
      </c>
      <c r="F1958" t="s">
        <v>657</v>
      </c>
      <c r="G1958" t="s">
        <v>3049</v>
      </c>
      <c r="AA1958">
        <v>22</v>
      </c>
      <c r="AB1958">
        <v>20</v>
      </c>
      <c r="AC1958">
        <v>5</v>
      </c>
      <c r="AD1958">
        <v>12</v>
      </c>
      <c r="CH1958" t="str">
        <f t="shared" si="30"/>
        <v>D-0594</v>
      </c>
      <c r="CI1958" s="1" t="s">
        <v>102</v>
      </c>
    </row>
    <row r="1959" spans="1:87">
      <c r="A1959" t="s">
        <v>3053</v>
      </c>
      <c r="B1959">
        <v>439</v>
      </c>
      <c r="C1959" t="s">
        <v>1523</v>
      </c>
      <c r="D1959" t="s">
        <v>413</v>
      </c>
      <c r="E1959" t="s">
        <v>642</v>
      </c>
      <c r="F1959" t="s">
        <v>657</v>
      </c>
      <c r="G1959" t="s">
        <v>3049</v>
      </c>
      <c r="P1959">
        <v>14</v>
      </c>
      <c r="Q1959">
        <v>37</v>
      </c>
      <c r="R1959">
        <v>48</v>
      </c>
      <c r="S1959">
        <v>59</v>
      </c>
      <c r="T1959">
        <v>65</v>
      </c>
      <c r="U1959">
        <v>62</v>
      </c>
      <c r="V1959">
        <v>51</v>
      </c>
      <c r="W1959">
        <v>36</v>
      </c>
      <c r="X1959">
        <v>27</v>
      </c>
      <c r="Y1959">
        <v>20</v>
      </c>
      <c r="Z1959">
        <v>20</v>
      </c>
      <c r="CH1959" t="str">
        <f t="shared" si="30"/>
        <v>D-0594</v>
      </c>
      <c r="CI1959" s="1" t="s">
        <v>102</v>
      </c>
    </row>
    <row r="1960" spans="1:87">
      <c r="A1960" t="s">
        <v>3054</v>
      </c>
      <c r="B1960">
        <v>45</v>
      </c>
      <c r="C1960" t="s">
        <v>1523</v>
      </c>
      <c r="D1960" t="s">
        <v>413</v>
      </c>
      <c r="E1960" t="s">
        <v>642</v>
      </c>
      <c r="F1960" t="s">
        <v>657</v>
      </c>
      <c r="G1960" t="s">
        <v>3049</v>
      </c>
      <c r="R1960">
        <v>3</v>
      </c>
      <c r="S1960">
        <v>3</v>
      </c>
      <c r="T1960">
        <v>6</v>
      </c>
      <c r="U1960">
        <v>6</v>
      </c>
      <c r="V1960">
        <v>7</v>
      </c>
      <c r="W1960">
        <v>7</v>
      </c>
      <c r="X1960">
        <v>6</v>
      </c>
      <c r="Y1960">
        <v>4</v>
      </c>
      <c r="Z1960">
        <v>3</v>
      </c>
      <c r="CH1960" t="str">
        <f t="shared" si="30"/>
        <v>D-0594</v>
      </c>
      <c r="CI1960" s="1" t="s">
        <v>102</v>
      </c>
    </row>
    <row r="1961" spans="1:87">
      <c r="A1961" t="s">
        <v>3055</v>
      </c>
      <c r="B1961">
        <v>320</v>
      </c>
      <c r="C1961" t="s">
        <v>1523</v>
      </c>
      <c r="D1961" t="s">
        <v>413</v>
      </c>
      <c r="E1961" t="s">
        <v>642</v>
      </c>
      <c r="F1961" t="s">
        <v>657</v>
      </c>
      <c r="G1961" t="s">
        <v>3049</v>
      </c>
      <c r="P1961">
        <v>3</v>
      </c>
      <c r="Q1961">
        <v>5</v>
      </c>
      <c r="R1961">
        <v>18</v>
      </c>
      <c r="S1961">
        <v>22</v>
      </c>
      <c r="T1961">
        <v>34</v>
      </c>
      <c r="U1961">
        <v>35</v>
      </c>
      <c r="V1961">
        <v>43</v>
      </c>
      <c r="W1961">
        <v>37</v>
      </c>
      <c r="X1961">
        <v>31</v>
      </c>
      <c r="Y1961">
        <v>23</v>
      </c>
      <c r="Z1961">
        <v>22</v>
      </c>
      <c r="AA1961">
        <v>9</v>
      </c>
      <c r="AB1961">
        <v>11</v>
      </c>
      <c r="AC1961">
        <v>5</v>
      </c>
      <c r="AD1961">
        <v>6</v>
      </c>
      <c r="AE1961">
        <v>4</v>
      </c>
      <c r="AF1961">
        <v>4</v>
      </c>
      <c r="AG1961">
        <v>4</v>
      </c>
      <c r="AH1961">
        <v>1</v>
      </c>
      <c r="AI1961">
        <v>3</v>
      </c>
      <c r="CH1961" t="str">
        <f t="shared" si="30"/>
        <v>D-0594</v>
      </c>
      <c r="CI1961" s="1" t="s">
        <v>102</v>
      </c>
    </row>
    <row r="1962" spans="1:87">
      <c r="A1962" t="s">
        <v>5155</v>
      </c>
      <c r="B1962">
        <v>1707</v>
      </c>
      <c r="C1962" t="s">
        <v>5152</v>
      </c>
      <c r="D1962" t="s">
        <v>5153</v>
      </c>
      <c r="E1962" t="s">
        <v>642</v>
      </c>
      <c r="F1962" t="s">
        <v>5146</v>
      </c>
      <c r="G1962" t="s">
        <v>2702</v>
      </c>
      <c r="P1962">
        <v>18</v>
      </c>
      <c r="Q1962">
        <v>32</v>
      </c>
      <c r="R1962">
        <v>166</v>
      </c>
      <c r="S1962">
        <v>233</v>
      </c>
      <c r="T1962">
        <v>327</v>
      </c>
      <c r="U1962">
        <v>257</v>
      </c>
      <c r="V1962">
        <v>253</v>
      </c>
      <c r="W1962">
        <v>120</v>
      </c>
      <c r="X1962">
        <v>112</v>
      </c>
      <c r="Y1962">
        <v>50</v>
      </c>
      <c r="Z1962">
        <v>56</v>
      </c>
      <c r="AA1962">
        <v>18</v>
      </c>
      <c r="AB1962">
        <v>31</v>
      </c>
      <c r="AC1962">
        <v>15</v>
      </c>
      <c r="AD1962">
        <v>19</v>
      </c>
      <c r="CH1962" t="str">
        <f t="shared" si="30"/>
        <v>D-0514</v>
      </c>
      <c r="CI1962" s="1" t="s">
        <v>102</v>
      </c>
    </row>
    <row r="1963" spans="1:87">
      <c r="A1963" t="s">
        <v>5156</v>
      </c>
      <c r="B1963">
        <v>332</v>
      </c>
      <c r="C1963" t="s">
        <v>5152</v>
      </c>
      <c r="D1963" t="s">
        <v>5153</v>
      </c>
      <c r="E1963" t="s">
        <v>642</v>
      </c>
      <c r="F1963" t="s">
        <v>5146</v>
      </c>
      <c r="G1963" t="s">
        <v>2702</v>
      </c>
      <c r="P1963">
        <v>9</v>
      </c>
      <c r="Q1963">
        <v>13</v>
      </c>
      <c r="R1963">
        <v>18</v>
      </c>
      <c r="S1963">
        <v>23</v>
      </c>
      <c r="T1963">
        <v>36</v>
      </c>
      <c r="U1963">
        <v>29</v>
      </c>
      <c r="V1963">
        <v>38</v>
      </c>
      <c r="W1963">
        <v>34</v>
      </c>
      <c r="X1963">
        <v>36</v>
      </c>
      <c r="Y1963">
        <v>26</v>
      </c>
      <c r="Z1963">
        <v>24</v>
      </c>
      <c r="AA1963">
        <v>15</v>
      </c>
      <c r="AB1963">
        <v>14</v>
      </c>
      <c r="AC1963">
        <v>10</v>
      </c>
      <c r="AD1963">
        <v>7</v>
      </c>
      <c r="CH1963" t="str">
        <f t="shared" si="30"/>
        <v>D-0514</v>
      </c>
      <c r="CI1963" s="1" t="s">
        <v>102</v>
      </c>
    </row>
    <row r="1964" spans="1:87">
      <c r="A1964" t="s">
        <v>5157</v>
      </c>
      <c r="B1964">
        <v>181</v>
      </c>
      <c r="C1964" t="s">
        <v>5152</v>
      </c>
      <c r="D1964" t="s">
        <v>5153</v>
      </c>
      <c r="E1964" t="s">
        <v>642</v>
      </c>
      <c r="F1964" t="s">
        <v>5146</v>
      </c>
      <c r="G1964" t="s">
        <v>2702</v>
      </c>
      <c r="P1964">
        <v>2</v>
      </c>
      <c r="Q1964">
        <v>5</v>
      </c>
      <c r="R1964">
        <v>10</v>
      </c>
      <c r="S1964">
        <v>17</v>
      </c>
      <c r="T1964">
        <v>23</v>
      </c>
      <c r="U1964">
        <v>19</v>
      </c>
      <c r="V1964">
        <v>29</v>
      </c>
      <c r="W1964">
        <v>23</v>
      </c>
      <c r="X1964">
        <v>13</v>
      </c>
      <c r="Y1964">
        <v>15</v>
      </c>
      <c r="Z1964">
        <v>9</v>
      </c>
      <c r="AA1964">
        <v>5</v>
      </c>
      <c r="AB1964">
        <v>5</v>
      </c>
      <c r="AC1964">
        <v>4</v>
      </c>
      <c r="AD1964">
        <v>2</v>
      </c>
      <c r="CH1964" t="str">
        <f t="shared" si="30"/>
        <v>D-0514</v>
      </c>
      <c r="CI1964" s="1" t="s">
        <v>102</v>
      </c>
    </row>
    <row r="1965" spans="1:87">
      <c r="A1965" t="s">
        <v>5158</v>
      </c>
      <c r="B1965">
        <v>181</v>
      </c>
      <c r="C1965" t="s">
        <v>5152</v>
      </c>
      <c r="D1965" t="s">
        <v>5153</v>
      </c>
      <c r="E1965" t="s">
        <v>642</v>
      </c>
      <c r="F1965" t="s">
        <v>5146</v>
      </c>
      <c r="G1965" t="s">
        <v>2702</v>
      </c>
      <c r="P1965">
        <v>2</v>
      </c>
      <c r="Q1965">
        <v>5</v>
      </c>
      <c r="R1965">
        <v>10</v>
      </c>
      <c r="S1965">
        <v>17</v>
      </c>
      <c r="T1965">
        <v>23</v>
      </c>
      <c r="U1965">
        <v>19</v>
      </c>
      <c r="V1965">
        <v>29</v>
      </c>
      <c r="W1965">
        <v>23</v>
      </c>
      <c r="X1965">
        <v>13</v>
      </c>
      <c r="Y1965">
        <v>15</v>
      </c>
      <c r="Z1965">
        <v>9</v>
      </c>
      <c r="AA1965">
        <v>5</v>
      </c>
      <c r="AB1965">
        <v>5</v>
      </c>
      <c r="AC1965">
        <v>4</v>
      </c>
      <c r="AD1965">
        <v>2</v>
      </c>
      <c r="CH1965" t="str">
        <f t="shared" si="30"/>
        <v>D-0514</v>
      </c>
      <c r="CI1965" s="1" t="s">
        <v>102</v>
      </c>
    </row>
    <row r="1966" spans="1:87">
      <c r="A1966" t="s">
        <v>5159</v>
      </c>
      <c r="B1966">
        <v>181</v>
      </c>
      <c r="C1966" t="s">
        <v>5152</v>
      </c>
      <c r="D1966" t="s">
        <v>5153</v>
      </c>
      <c r="E1966" t="s">
        <v>642</v>
      </c>
      <c r="F1966" t="s">
        <v>5146</v>
      </c>
      <c r="G1966" t="s">
        <v>2702</v>
      </c>
      <c r="P1966">
        <v>2</v>
      </c>
      <c r="Q1966">
        <v>5</v>
      </c>
      <c r="R1966">
        <v>10</v>
      </c>
      <c r="S1966">
        <v>17</v>
      </c>
      <c r="T1966">
        <v>23</v>
      </c>
      <c r="U1966">
        <v>19</v>
      </c>
      <c r="V1966">
        <v>29</v>
      </c>
      <c r="W1966">
        <v>23</v>
      </c>
      <c r="X1966">
        <v>13</v>
      </c>
      <c r="Y1966">
        <v>15</v>
      </c>
      <c r="Z1966">
        <v>9</v>
      </c>
      <c r="AA1966">
        <v>5</v>
      </c>
      <c r="AB1966">
        <v>5</v>
      </c>
      <c r="AC1966">
        <v>4</v>
      </c>
      <c r="AD1966">
        <v>2</v>
      </c>
      <c r="CH1966" t="str">
        <f t="shared" si="30"/>
        <v>D-0514</v>
      </c>
      <c r="CI1966" s="1" t="s">
        <v>102</v>
      </c>
    </row>
    <row r="1967" spans="1:87">
      <c r="A1967" t="s">
        <v>5160</v>
      </c>
      <c r="B1967">
        <v>181</v>
      </c>
      <c r="C1967" t="s">
        <v>5152</v>
      </c>
      <c r="D1967" t="s">
        <v>5153</v>
      </c>
      <c r="E1967" t="s">
        <v>642</v>
      </c>
      <c r="F1967" t="s">
        <v>5146</v>
      </c>
      <c r="G1967" t="s">
        <v>2702</v>
      </c>
      <c r="P1967">
        <v>2</v>
      </c>
      <c r="Q1967">
        <v>5</v>
      </c>
      <c r="R1967">
        <v>10</v>
      </c>
      <c r="S1967">
        <v>17</v>
      </c>
      <c r="T1967">
        <v>23</v>
      </c>
      <c r="U1967">
        <v>19</v>
      </c>
      <c r="V1967">
        <v>29</v>
      </c>
      <c r="W1967">
        <v>23</v>
      </c>
      <c r="X1967">
        <v>13</v>
      </c>
      <c r="Y1967">
        <v>15</v>
      </c>
      <c r="Z1967">
        <v>9</v>
      </c>
      <c r="AA1967">
        <v>5</v>
      </c>
      <c r="AB1967">
        <v>5</v>
      </c>
      <c r="AC1967">
        <v>4</v>
      </c>
      <c r="AD1967">
        <v>2</v>
      </c>
      <c r="CH1967" t="str">
        <f t="shared" si="30"/>
        <v>D-0514</v>
      </c>
      <c r="CI1967" s="1" t="s">
        <v>102</v>
      </c>
    </row>
    <row r="1968" spans="1:87">
      <c r="A1968" t="s">
        <v>5161</v>
      </c>
      <c r="B1968">
        <v>181</v>
      </c>
      <c r="C1968" t="s">
        <v>5152</v>
      </c>
      <c r="D1968" t="s">
        <v>5153</v>
      </c>
      <c r="E1968" t="s">
        <v>642</v>
      </c>
      <c r="F1968" t="s">
        <v>5146</v>
      </c>
      <c r="G1968" t="s">
        <v>2702</v>
      </c>
      <c r="P1968">
        <v>2</v>
      </c>
      <c r="Q1968">
        <v>5</v>
      </c>
      <c r="R1968">
        <v>10</v>
      </c>
      <c r="S1968">
        <v>17</v>
      </c>
      <c r="T1968">
        <v>23</v>
      </c>
      <c r="U1968">
        <v>19</v>
      </c>
      <c r="V1968">
        <v>29</v>
      </c>
      <c r="W1968">
        <v>23</v>
      </c>
      <c r="X1968">
        <v>13</v>
      </c>
      <c r="Y1968">
        <v>15</v>
      </c>
      <c r="Z1968">
        <v>9</v>
      </c>
      <c r="AA1968">
        <v>5</v>
      </c>
      <c r="AB1968">
        <v>5</v>
      </c>
      <c r="AC1968">
        <v>4</v>
      </c>
      <c r="AD1968">
        <v>2</v>
      </c>
      <c r="CH1968" t="str">
        <f t="shared" si="30"/>
        <v>D-0514</v>
      </c>
      <c r="CI1968" s="1" t="s">
        <v>102</v>
      </c>
    </row>
    <row r="1969" spans="1:87">
      <c r="A1969" t="s">
        <v>3083</v>
      </c>
      <c r="B1969">
        <v>12</v>
      </c>
      <c r="C1969" t="s">
        <v>1024</v>
      </c>
      <c r="D1969" t="s">
        <v>291</v>
      </c>
      <c r="E1969" t="s">
        <v>642</v>
      </c>
      <c r="F1969" t="s">
        <v>661</v>
      </c>
      <c r="G1969" t="s">
        <v>3084</v>
      </c>
      <c r="AB1969">
        <v>12</v>
      </c>
      <c r="CH1969" t="str">
        <f t="shared" si="30"/>
        <v>D-0419</v>
      </c>
      <c r="CI1969" s="1" t="s">
        <v>102</v>
      </c>
    </row>
    <row r="1970" spans="1:87">
      <c r="A1970" t="s">
        <v>3085</v>
      </c>
      <c r="B1970">
        <v>48</v>
      </c>
      <c r="C1970" t="s">
        <v>1024</v>
      </c>
      <c r="D1970" t="s">
        <v>291</v>
      </c>
      <c r="E1970" t="s">
        <v>642</v>
      </c>
      <c r="F1970" t="s">
        <v>661</v>
      </c>
      <c r="G1970" t="s">
        <v>3084</v>
      </c>
      <c r="Z1970">
        <v>48</v>
      </c>
      <c r="CH1970" t="str">
        <f t="shared" si="30"/>
        <v>D-0419</v>
      </c>
      <c r="CI1970" s="1" t="s">
        <v>102</v>
      </c>
    </row>
    <row r="1971" spans="1:87">
      <c r="A1971" t="s">
        <v>3086</v>
      </c>
      <c r="B1971">
        <v>90</v>
      </c>
      <c r="C1971" t="s">
        <v>1024</v>
      </c>
      <c r="D1971" t="s">
        <v>291</v>
      </c>
      <c r="E1971" t="s">
        <v>642</v>
      </c>
      <c r="F1971" t="s">
        <v>661</v>
      </c>
      <c r="G1971" t="s">
        <v>3084</v>
      </c>
      <c r="Y1971">
        <v>90</v>
      </c>
      <c r="CH1971" t="str">
        <f t="shared" si="30"/>
        <v>D-0419</v>
      </c>
      <c r="CI1971" s="1" t="s">
        <v>102</v>
      </c>
    </row>
    <row r="1972" spans="1:87">
      <c r="A1972" t="s">
        <v>3087</v>
      </c>
      <c r="B1972">
        <v>96</v>
      </c>
      <c r="C1972" t="s">
        <v>1024</v>
      </c>
      <c r="D1972" t="s">
        <v>291</v>
      </c>
      <c r="E1972" t="s">
        <v>642</v>
      </c>
      <c r="F1972" t="s">
        <v>661</v>
      </c>
      <c r="G1972" t="s">
        <v>3084</v>
      </c>
      <c r="X1972">
        <v>96</v>
      </c>
      <c r="CH1972" t="str">
        <f t="shared" si="30"/>
        <v>D-0419</v>
      </c>
      <c r="CI1972" s="1" t="s">
        <v>102</v>
      </c>
    </row>
    <row r="1973" spans="1:87">
      <c r="A1973" t="s">
        <v>3088</v>
      </c>
      <c r="B1973">
        <v>163</v>
      </c>
      <c r="C1973" t="s">
        <v>1024</v>
      </c>
      <c r="D1973" t="s">
        <v>291</v>
      </c>
      <c r="E1973" t="s">
        <v>642</v>
      </c>
      <c r="F1973" t="s">
        <v>661</v>
      </c>
      <c r="G1973" t="s">
        <v>3084</v>
      </c>
      <c r="W1973">
        <v>163</v>
      </c>
      <c r="CH1973" t="str">
        <f t="shared" si="30"/>
        <v>D-0419</v>
      </c>
      <c r="CI1973" s="1" t="s">
        <v>102</v>
      </c>
    </row>
    <row r="1974" spans="1:87">
      <c r="A1974" t="s">
        <v>3089</v>
      </c>
      <c r="B1974">
        <v>163</v>
      </c>
      <c r="C1974" t="s">
        <v>1024</v>
      </c>
      <c r="D1974" t="s">
        <v>291</v>
      </c>
      <c r="E1974" t="s">
        <v>642</v>
      </c>
      <c r="F1974" t="s">
        <v>661</v>
      </c>
      <c r="G1974" t="s">
        <v>3084</v>
      </c>
      <c r="V1974">
        <v>163</v>
      </c>
      <c r="CH1974" t="str">
        <f t="shared" si="30"/>
        <v>D-0419</v>
      </c>
      <c r="CI1974" s="1" t="s">
        <v>102</v>
      </c>
    </row>
    <row r="1975" spans="1:87">
      <c r="A1975" t="s">
        <v>3090</v>
      </c>
      <c r="B1975">
        <v>139</v>
      </c>
      <c r="C1975" t="s">
        <v>1024</v>
      </c>
      <c r="D1975" t="s">
        <v>291</v>
      </c>
      <c r="E1975" t="s">
        <v>642</v>
      </c>
      <c r="F1975" t="s">
        <v>661</v>
      </c>
      <c r="G1975" t="s">
        <v>3084</v>
      </c>
      <c r="U1975">
        <v>139</v>
      </c>
      <c r="CH1975" t="str">
        <f t="shared" si="30"/>
        <v>D-0419</v>
      </c>
      <c r="CI1975" s="1" t="s">
        <v>102</v>
      </c>
    </row>
    <row r="1976" spans="1:87">
      <c r="A1976" t="s">
        <v>3091</v>
      </c>
      <c r="B1976">
        <v>121</v>
      </c>
      <c r="C1976" t="s">
        <v>1024</v>
      </c>
      <c r="D1976" t="s">
        <v>291</v>
      </c>
      <c r="E1976" t="s">
        <v>642</v>
      </c>
      <c r="F1976" t="s">
        <v>661</v>
      </c>
      <c r="G1976" t="s">
        <v>3084</v>
      </c>
      <c r="T1976">
        <v>121</v>
      </c>
      <c r="CH1976" t="str">
        <f t="shared" si="30"/>
        <v>D-0419</v>
      </c>
      <c r="CI1976" s="1" t="s">
        <v>102</v>
      </c>
    </row>
    <row r="1977" spans="1:87">
      <c r="A1977" t="s">
        <v>3092</v>
      </c>
      <c r="B1977">
        <v>66</v>
      </c>
      <c r="C1977" t="s">
        <v>1024</v>
      </c>
      <c r="D1977" t="s">
        <v>291</v>
      </c>
      <c r="E1977" t="s">
        <v>642</v>
      </c>
      <c r="F1977" t="s">
        <v>661</v>
      </c>
      <c r="G1977" t="s">
        <v>3084</v>
      </c>
      <c r="S1977">
        <v>66</v>
      </c>
      <c r="CH1977" t="str">
        <f t="shared" si="30"/>
        <v>D-0419</v>
      </c>
      <c r="CI1977" s="1" t="s">
        <v>102</v>
      </c>
    </row>
    <row r="1978" spans="1:87">
      <c r="A1978" t="s">
        <v>3093</v>
      </c>
      <c r="B1978">
        <v>54</v>
      </c>
      <c r="C1978" t="s">
        <v>1024</v>
      </c>
      <c r="D1978" t="s">
        <v>291</v>
      </c>
      <c r="E1978" t="s">
        <v>642</v>
      </c>
      <c r="F1978" t="s">
        <v>661</v>
      </c>
      <c r="G1978" t="s">
        <v>3084</v>
      </c>
      <c r="R1978">
        <v>54</v>
      </c>
      <c r="CH1978" t="str">
        <f t="shared" si="30"/>
        <v>D-0419</v>
      </c>
      <c r="CI1978" s="1" t="s">
        <v>102</v>
      </c>
    </row>
    <row r="1979" spans="1:87">
      <c r="A1979" t="s">
        <v>3094</v>
      </c>
      <c r="B1979">
        <v>42</v>
      </c>
      <c r="C1979" t="s">
        <v>1024</v>
      </c>
      <c r="D1979" t="s">
        <v>291</v>
      </c>
      <c r="E1979" t="s">
        <v>642</v>
      </c>
      <c r="F1979" t="s">
        <v>661</v>
      </c>
      <c r="G1979" t="s">
        <v>3084</v>
      </c>
      <c r="Z1979">
        <v>42</v>
      </c>
      <c r="CH1979" t="str">
        <f t="shared" si="30"/>
        <v>D-0419</v>
      </c>
      <c r="CI1979" s="1" t="s">
        <v>102</v>
      </c>
    </row>
    <row r="1980" spans="1:87">
      <c r="A1980" t="s">
        <v>3095</v>
      </c>
      <c r="B1980">
        <v>6</v>
      </c>
      <c r="C1980" t="s">
        <v>1024</v>
      </c>
      <c r="D1980" t="s">
        <v>291</v>
      </c>
      <c r="E1980" t="s">
        <v>642</v>
      </c>
      <c r="F1980" t="s">
        <v>661</v>
      </c>
      <c r="G1980" t="s">
        <v>3084</v>
      </c>
      <c r="Y1980">
        <v>6</v>
      </c>
      <c r="CH1980" t="str">
        <f t="shared" si="30"/>
        <v>D-0419</v>
      </c>
      <c r="CI1980" s="1" t="s">
        <v>102</v>
      </c>
    </row>
    <row r="1981" spans="1:87">
      <c r="A1981" t="s">
        <v>3096</v>
      </c>
      <c r="B1981">
        <v>54</v>
      </c>
      <c r="C1981" t="s">
        <v>1024</v>
      </c>
      <c r="D1981" t="s">
        <v>291</v>
      </c>
      <c r="E1981" t="s">
        <v>642</v>
      </c>
      <c r="F1981" t="s">
        <v>661</v>
      </c>
      <c r="G1981" t="s">
        <v>3084</v>
      </c>
      <c r="X1981">
        <v>54</v>
      </c>
      <c r="CH1981" t="str">
        <f t="shared" si="30"/>
        <v>D-0419</v>
      </c>
      <c r="CI1981" s="1" t="s">
        <v>102</v>
      </c>
    </row>
    <row r="1982" spans="1:87">
      <c r="A1982" t="s">
        <v>3097</v>
      </c>
      <c r="B1982">
        <v>18</v>
      </c>
      <c r="C1982" t="s">
        <v>1024</v>
      </c>
      <c r="D1982" t="s">
        <v>291</v>
      </c>
      <c r="E1982" t="s">
        <v>642</v>
      </c>
      <c r="F1982" t="s">
        <v>661</v>
      </c>
      <c r="G1982" t="s">
        <v>3084</v>
      </c>
      <c r="V1982">
        <v>18</v>
      </c>
      <c r="CH1982" t="str">
        <f t="shared" si="30"/>
        <v>D-0419</v>
      </c>
      <c r="CI1982" s="1" t="s">
        <v>102</v>
      </c>
    </row>
    <row r="1983" spans="1:87">
      <c r="A1983" t="s">
        <v>3098</v>
      </c>
      <c r="B1983">
        <v>30</v>
      </c>
      <c r="C1983" t="s">
        <v>1024</v>
      </c>
      <c r="D1983" t="s">
        <v>291</v>
      </c>
      <c r="E1983" t="s">
        <v>642</v>
      </c>
      <c r="F1983" t="s">
        <v>661</v>
      </c>
      <c r="G1983" t="s">
        <v>3084</v>
      </c>
      <c r="AB1983">
        <v>30</v>
      </c>
      <c r="CH1983" t="str">
        <f t="shared" si="30"/>
        <v>D-0419</v>
      </c>
      <c r="CI1983" s="1" t="s">
        <v>102</v>
      </c>
    </row>
    <row r="1984" spans="1:87">
      <c r="A1984" t="s">
        <v>3099</v>
      </c>
      <c r="B1984">
        <v>93</v>
      </c>
      <c r="C1984" t="s">
        <v>1026</v>
      </c>
      <c r="D1984" t="s">
        <v>291</v>
      </c>
      <c r="E1984" t="s">
        <v>642</v>
      </c>
      <c r="F1984" t="s">
        <v>661</v>
      </c>
      <c r="G1984" t="s">
        <v>3100</v>
      </c>
      <c r="R1984">
        <v>93</v>
      </c>
      <c r="CH1984" t="str">
        <f t="shared" si="30"/>
        <v>D-0419</v>
      </c>
      <c r="CI1984" s="1" t="s">
        <v>102</v>
      </c>
    </row>
    <row r="1985" spans="1:87">
      <c r="A1985" t="s">
        <v>3101</v>
      </c>
      <c r="B1985">
        <v>202</v>
      </c>
      <c r="C1985" t="s">
        <v>1026</v>
      </c>
      <c r="D1985" t="s">
        <v>291</v>
      </c>
      <c r="E1985" t="s">
        <v>642</v>
      </c>
      <c r="F1985" t="s">
        <v>661</v>
      </c>
      <c r="G1985" t="s">
        <v>3100</v>
      </c>
      <c r="T1985">
        <v>202</v>
      </c>
      <c r="CH1985" t="str">
        <f t="shared" si="30"/>
        <v>D-0419</v>
      </c>
      <c r="CI1985" s="1" t="s">
        <v>102</v>
      </c>
    </row>
    <row r="1986" spans="1:87">
      <c r="A1986" t="s">
        <v>3102</v>
      </c>
      <c r="B1986">
        <v>123</v>
      </c>
      <c r="C1986" t="s">
        <v>1026</v>
      </c>
      <c r="D1986" t="s">
        <v>291</v>
      </c>
      <c r="E1986" t="s">
        <v>642</v>
      </c>
      <c r="F1986" t="s">
        <v>661</v>
      </c>
      <c r="G1986" t="s">
        <v>3100</v>
      </c>
      <c r="Z1986">
        <v>123</v>
      </c>
      <c r="CH1986" t="str">
        <f t="shared" ref="CH1986:CH2049" si="31">TRIM(IFERROR(IFERROR(MID($D1986,FIND("(D-",$D1986)+1,6),LEFT($D1986,FIND("(",$D1986)-1)),$D1986))</f>
        <v>D-0419</v>
      </c>
      <c r="CI1986" s="1" t="s">
        <v>102</v>
      </c>
    </row>
    <row r="1987" spans="1:87">
      <c r="A1987" t="s">
        <v>3103</v>
      </c>
      <c r="B1987">
        <v>14</v>
      </c>
      <c r="C1987" t="s">
        <v>1026</v>
      </c>
      <c r="D1987" t="s">
        <v>291</v>
      </c>
      <c r="E1987" t="s">
        <v>642</v>
      </c>
      <c r="F1987" t="s">
        <v>661</v>
      </c>
      <c r="G1987" t="s">
        <v>3100</v>
      </c>
      <c r="AA1987">
        <v>14</v>
      </c>
      <c r="CH1987" t="str">
        <f t="shared" si="31"/>
        <v>D-0419</v>
      </c>
      <c r="CI1987" s="1" t="s">
        <v>102</v>
      </c>
    </row>
    <row r="1988" spans="1:87">
      <c r="A1988" t="s">
        <v>3104</v>
      </c>
      <c r="B1988">
        <v>220</v>
      </c>
      <c r="C1988" t="s">
        <v>1026</v>
      </c>
      <c r="D1988" t="s">
        <v>291</v>
      </c>
      <c r="E1988" t="s">
        <v>642</v>
      </c>
      <c r="F1988" t="s">
        <v>661</v>
      </c>
      <c r="G1988" t="s">
        <v>3100</v>
      </c>
      <c r="X1988">
        <v>220</v>
      </c>
      <c r="CH1988" t="str">
        <f t="shared" si="31"/>
        <v>D-0419</v>
      </c>
      <c r="CI1988" s="1" t="s">
        <v>102</v>
      </c>
    </row>
    <row r="1989" spans="1:87">
      <c r="A1989" t="s">
        <v>3105</v>
      </c>
      <c r="B1989">
        <v>266</v>
      </c>
      <c r="C1989" t="s">
        <v>1026</v>
      </c>
      <c r="D1989" t="s">
        <v>291</v>
      </c>
      <c r="E1989" t="s">
        <v>642</v>
      </c>
      <c r="F1989" t="s">
        <v>661</v>
      </c>
      <c r="G1989" t="s">
        <v>3100</v>
      </c>
      <c r="V1989">
        <v>266</v>
      </c>
      <c r="CH1989" t="str">
        <f t="shared" si="31"/>
        <v>D-0419</v>
      </c>
      <c r="CI1989" s="1" t="s">
        <v>102</v>
      </c>
    </row>
    <row r="1990" spans="1:87">
      <c r="A1990" t="s">
        <v>3106</v>
      </c>
      <c r="B1990">
        <v>208</v>
      </c>
      <c r="C1990" t="s">
        <v>1026</v>
      </c>
      <c r="D1990" t="s">
        <v>291</v>
      </c>
      <c r="E1990" t="s">
        <v>642</v>
      </c>
      <c r="F1990" t="s">
        <v>661</v>
      </c>
      <c r="G1990" t="s">
        <v>3100</v>
      </c>
      <c r="U1990">
        <v>208</v>
      </c>
      <c r="CH1990" t="str">
        <f t="shared" si="31"/>
        <v>D-0419</v>
      </c>
      <c r="CI1990" s="1" t="s">
        <v>102</v>
      </c>
    </row>
    <row r="1991" spans="1:87">
      <c r="A1991" t="s">
        <v>3107</v>
      </c>
      <c r="B1991">
        <v>112</v>
      </c>
      <c r="C1991" t="s">
        <v>1026</v>
      </c>
      <c r="D1991" t="s">
        <v>291</v>
      </c>
      <c r="E1991" t="s">
        <v>642</v>
      </c>
      <c r="F1991" t="s">
        <v>661</v>
      </c>
      <c r="G1991" t="s">
        <v>3100</v>
      </c>
      <c r="S1991">
        <v>112</v>
      </c>
      <c r="CH1991" t="str">
        <f t="shared" si="31"/>
        <v>D-0419</v>
      </c>
      <c r="CI1991" s="1" t="s">
        <v>102</v>
      </c>
    </row>
    <row r="1992" spans="1:87">
      <c r="A1992" t="s">
        <v>3108</v>
      </c>
      <c r="B1992">
        <v>14</v>
      </c>
      <c r="C1992" t="s">
        <v>1026</v>
      </c>
      <c r="D1992" t="s">
        <v>291</v>
      </c>
      <c r="E1992" t="s">
        <v>642</v>
      </c>
      <c r="F1992" t="s">
        <v>661</v>
      </c>
      <c r="G1992" t="s">
        <v>3100</v>
      </c>
      <c r="Q1992">
        <v>14</v>
      </c>
      <c r="CH1992" t="str">
        <f t="shared" si="31"/>
        <v>D-0419</v>
      </c>
      <c r="CI1992" s="1" t="s">
        <v>102</v>
      </c>
    </row>
    <row r="1993" spans="1:87">
      <c r="A1993" t="s">
        <v>3109</v>
      </c>
      <c r="B1993">
        <v>9</v>
      </c>
      <c r="C1993" t="s">
        <v>1026</v>
      </c>
      <c r="D1993" t="s">
        <v>291</v>
      </c>
      <c r="E1993" t="s">
        <v>642</v>
      </c>
      <c r="F1993" t="s">
        <v>661</v>
      </c>
      <c r="G1993" t="s">
        <v>3100</v>
      </c>
      <c r="P1993">
        <v>9</v>
      </c>
      <c r="CH1993" t="str">
        <f t="shared" si="31"/>
        <v>D-0419</v>
      </c>
      <c r="CI1993" s="1" t="s">
        <v>102</v>
      </c>
    </row>
    <row r="1994" spans="1:87">
      <c r="A1994" t="s">
        <v>3110</v>
      </c>
      <c r="B1994">
        <v>233</v>
      </c>
      <c r="C1994" t="s">
        <v>1026</v>
      </c>
      <c r="D1994" t="s">
        <v>291</v>
      </c>
      <c r="E1994" t="s">
        <v>642</v>
      </c>
      <c r="F1994" t="s">
        <v>661</v>
      </c>
      <c r="G1994" t="s">
        <v>3100</v>
      </c>
      <c r="W1994">
        <v>233</v>
      </c>
      <c r="CH1994" t="str">
        <f t="shared" si="31"/>
        <v>D-0419</v>
      </c>
      <c r="CI1994" s="1" t="s">
        <v>102</v>
      </c>
    </row>
    <row r="1995" spans="1:87">
      <c r="A1995" t="s">
        <v>3111</v>
      </c>
      <c r="B1995">
        <v>132</v>
      </c>
      <c r="C1995" t="s">
        <v>1026</v>
      </c>
      <c r="D1995" t="s">
        <v>291</v>
      </c>
      <c r="E1995" t="s">
        <v>642</v>
      </c>
      <c r="F1995" t="s">
        <v>661</v>
      </c>
      <c r="G1995" t="s">
        <v>3100</v>
      </c>
      <c r="Y1995">
        <v>132</v>
      </c>
      <c r="CH1995" t="str">
        <f t="shared" si="31"/>
        <v>D-0419</v>
      </c>
      <c r="CI1995" s="1" t="s">
        <v>102</v>
      </c>
    </row>
    <row r="1996" spans="1:87">
      <c r="A1996" t="s">
        <v>3112</v>
      </c>
      <c r="B1996">
        <v>51</v>
      </c>
      <c r="C1996" t="s">
        <v>1026</v>
      </c>
      <c r="D1996" t="s">
        <v>291</v>
      </c>
      <c r="E1996" t="s">
        <v>642</v>
      </c>
      <c r="F1996" t="s">
        <v>661</v>
      </c>
      <c r="G1996" t="s">
        <v>3100</v>
      </c>
      <c r="AB1996">
        <v>51</v>
      </c>
      <c r="CH1996" t="str">
        <f t="shared" si="31"/>
        <v>D-0419</v>
      </c>
      <c r="CI1996" s="1" t="s">
        <v>102</v>
      </c>
    </row>
    <row r="1997" spans="1:87">
      <c r="A1997" t="s">
        <v>3113</v>
      </c>
      <c r="B1997">
        <v>5</v>
      </c>
      <c r="C1997" t="s">
        <v>1026</v>
      </c>
      <c r="D1997" t="s">
        <v>291</v>
      </c>
      <c r="E1997" t="s">
        <v>642</v>
      </c>
      <c r="F1997" t="s">
        <v>661</v>
      </c>
      <c r="G1997" t="s">
        <v>3100</v>
      </c>
      <c r="AC1997">
        <v>5</v>
      </c>
      <c r="CH1997" t="str">
        <f t="shared" si="31"/>
        <v>D-0419</v>
      </c>
      <c r="CI1997" s="1" t="s">
        <v>102</v>
      </c>
    </row>
    <row r="1998" spans="1:87">
      <c r="A1998" t="s">
        <v>3114</v>
      </c>
      <c r="B1998">
        <v>6</v>
      </c>
      <c r="C1998" t="s">
        <v>1026</v>
      </c>
      <c r="D1998" t="s">
        <v>291</v>
      </c>
      <c r="E1998" t="s">
        <v>642</v>
      </c>
      <c r="F1998" t="s">
        <v>661</v>
      </c>
      <c r="G1998" t="s">
        <v>3100</v>
      </c>
      <c r="AD1998">
        <v>6</v>
      </c>
      <c r="CH1998" t="str">
        <f t="shared" si="31"/>
        <v>D-0419</v>
      </c>
      <c r="CI1998" s="1" t="s">
        <v>102</v>
      </c>
    </row>
    <row r="1999" spans="1:87">
      <c r="A1999" t="s">
        <v>3139</v>
      </c>
      <c r="B1999">
        <v>26</v>
      </c>
      <c r="C1999" t="s">
        <v>989</v>
      </c>
      <c r="D1999" t="s">
        <v>233</v>
      </c>
      <c r="E1999" t="s">
        <v>642</v>
      </c>
      <c r="F1999" t="s">
        <v>657</v>
      </c>
      <c r="G1999" t="s">
        <v>3137</v>
      </c>
      <c r="W1999">
        <v>26</v>
      </c>
      <c r="CH1999" t="str">
        <f t="shared" si="31"/>
        <v>D-0265</v>
      </c>
      <c r="CI1999" s="1" t="s">
        <v>102</v>
      </c>
    </row>
    <row r="2000" spans="1:87">
      <c r="A2000" t="s">
        <v>3140</v>
      </c>
      <c r="B2000">
        <v>40</v>
      </c>
      <c r="C2000" t="s">
        <v>989</v>
      </c>
      <c r="D2000" t="s">
        <v>233</v>
      </c>
      <c r="E2000" t="s">
        <v>642</v>
      </c>
      <c r="F2000" t="s">
        <v>657</v>
      </c>
      <c r="G2000" t="s">
        <v>3137</v>
      </c>
      <c r="V2000">
        <v>40</v>
      </c>
      <c r="CH2000" t="str">
        <f t="shared" si="31"/>
        <v>D-0265</v>
      </c>
      <c r="CI2000" s="1" t="s">
        <v>102</v>
      </c>
    </row>
    <row r="2001" spans="1:87">
      <c r="A2001" t="s">
        <v>3141</v>
      </c>
      <c r="B2001">
        <v>35</v>
      </c>
      <c r="C2001" t="s">
        <v>989</v>
      </c>
      <c r="D2001" t="s">
        <v>233</v>
      </c>
      <c r="E2001" t="s">
        <v>642</v>
      </c>
      <c r="F2001" t="s">
        <v>657</v>
      </c>
      <c r="G2001" t="s">
        <v>3137</v>
      </c>
      <c r="U2001">
        <v>35</v>
      </c>
      <c r="CH2001" t="str">
        <f t="shared" si="31"/>
        <v>D-0265</v>
      </c>
      <c r="CI2001" s="1" t="s">
        <v>102</v>
      </c>
    </row>
    <row r="2002" spans="1:87">
      <c r="A2002" t="s">
        <v>3142</v>
      </c>
      <c r="B2002">
        <v>65</v>
      </c>
      <c r="C2002" t="s">
        <v>989</v>
      </c>
      <c r="D2002" t="s">
        <v>233</v>
      </c>
      <c r="E2002" t="s">
        <v>642</v>
      </c>
      <c r="F2002" t="s">
        <v>657</v>
      </c>
      <c r="G2002" t="s">
        <v>3137</v>
      </c>
      <c r="T2002">
        <v>65</v>
      </c>
      <c r="CH2002" t="str">
        <f t="shared" si="31"/>
        <v>D-0265</v>
      </c>
      <c r="CI2002" s="1" t="s">
        <v>102</v>
      </c>
    </row>
    <row r="2003" spans="1:87">
      <c r="A2003" t="s">
        <v>3143</v>
      </c>
      <c r="B2003">
        <v>103</v>
      </c>
      <c r="C2003" t="s">
        <v>989</v>
      </c>
      <c r="D2003" t="s">
        <v>233</v>
      </c>
      <c r="E2003" t="s">
        <v>642</v>
      </c>
      <c r="F2003" t="s">
        <v>657</v>
      </c>
      <c r="G2003" t="s">
        <v>3137</v>
      </c>
      <c r="S2003">
        <v>103</v>
      </c>
      <c r="CH2003" t="str">
        <f t="shared" si="31"/>
        <v>D-0265</v>
      </c>
      <c r="CI2003" s="1" t="s">
        <v>102</v>
      </c>
    </row>
    <row r="2004" spans="1:87">
      <c r="A2004" t="s">
        <v>3144</v>
      </c>
      <c r="B2004">
        <v>72</v>
      </c>
      <c r="C2004" t="s">
        <v>989</v>
      </c>
      <c r="D2004" t="s">
        <v>233</v>
      </c>
      <c r="E2004" t="s">
        <v>642</v>
      </c>
      <c r="F2004" t="s">
        <v>657</v>
      </c>
      <c r="G2004" t="s">
        <v>3137</v>
      </c>
      <c r="R2004">
        <v>72</v>
      </c>
      <c r="CH2004" t="str">
        <f t="shared" si="31"/>
        <v>D-0265</v>
      </c>
      <c r="CI2004" s="1" t="s">
        <v>102</v>
      </c>
    </row>
    <row r="2005" spans="1:87">
      <c r="A2005" t="s">
        <v>3145</v>
      </c>
      <c r="B2005">
        <v>50</v>
      </c>
      <c r="C2005" t="s">
        <v>989</v>
      </c>
      <c r="D2005" t="s">
        <v>233</v>
      </c>
      <c r="E2005" t="s">
        <v>642</v>
      </c>
      <c r="F2005" t="s">
        <v>657</v>
      </c>
      <c r="G2005" t="s">
        <v>3137</v>
      </c>
      <c r="Q2005">
        <v>50</v>
      </c>
      <c r="CH2005" t="str">
        <f t="shared" si="31"/>
        <v>D-0265</v>
      </c>
      <c r="CI2005" s="1" t="s">
        <v>102</v>
      </c>
    </row>
    <row r="2006" spans="1:87">
      <c r="A2006" t="s">
        <v>3146</v>
      </c>
      <c r="B2006">
        <v>40</v>
      </c>
      <c r="C2006" t="s">
        <v>989</v>
      </c>
      <c r="D2006" t="s">
        <v>233</v>
      </c>
      <c r="E2006" t="s">
        <v>642</v>
      </c>
      <c r="F2006" t="s">
        <v>657</v>
      </c>
      <c r="G2006" t="s">
        <v>3137</v>
      </c>
      <c r="P2006">
        <v>40</v>
      </c>
      <c r="CH2006" t="str">
        <f t="shared" si="31"/>
        <v>D-0265</v>
      </c>
      <c r="CI2006" s="1" t="s">
        <v>102</v>
      </c>
    </row>
    <row r="2007" spans="1:87">
      <c r="A2007" t="s">
        <v>3147</v>
      </c>
      <c r="B2007">
        <v>103</v>
      </c>
      <c r="C2007" t="s">
        <v>674</v>
      </c>
      <c r="D2007" t="s">
        <v>232</v>
      </c>
      <c r="E2007" t="s">
        <v>642</v>
      </c>
      <c r="F2007" t="s">
        <v>657</v>
      </c>
      <c r="G2007" t="s">
        <v>675</v>
      </c>
      <c r="V2007">
        <v>103</v>
      </c>
      <c r="CH2007" t="str">
        <f t="shared" si="31"/>
        <v>D-0265</v>
      </c>
      <c r="CI2007" s="1" t="s">
        <v>102</v>
      </c>
    </row>
    <row r="2008" spans="1:87">
      <c r="A2008" t="s">
        <v>3148</v>
      </c>
      <c r="B2008">
        <v>199</v>
      </c>
      <c r="C2008" t="s">
        <v>674</v>
      </c>
      <c r="D2008" t="s">
        <v>232</v>
      </c>
      <c r="E2008" t="s">
        <v>642</v>
      </c>
      <c r="F2008" t="s">
        <v>657</v>
      </c>
      <c r="G2008" t="s">
        <v>675</v>
      </c>
      <c r="U2008">
        <v>199</v>
      </c>
      <c r="CH2008" t="str">
        <f t="shared" si="31"/>
        <v>D-0265</v>
      </c>
      <c r="CI2008" s="1" t="s">
        <v>102</v>
      </c>
    </row>
    <row r="2009" spans="1:87">
      <c r="A2009" t="s">
        <v>3149</v>
      </c>
      <c r="B2009">
        <v>247</v>
      </c>
      <c r="C2009" t="s">
        <v>674</v>
      </c>
      <c r="D2009" t="s">
        <v>232</v>
      </c>
      <c r="E2009" t="s">
        <v>642</v>
      </c>
      <c r="F2009" t="s">
        <v>657</v>
      </c>
      <c r="G2009" t="s">
        <v>675</v>
      </c>
      <c r="T2009">
        <v>247</v>
      </c>
      <c r="CH2009" t="str">
        <f t="shared" si="31"/>
        <v>D-0265</v>
      </c>
      <c r="CI2009" s="1" t="s">
        <v>102</v>
      </c>
    </row>
    <row r="2010" spans="1:87">
      <c r="A2010" t="s">
        <v>3150</v>
      </c>
      <c r="B2010">
        <v>331</v>
      </c>
      <c r="C2010" t="s">
        <v>674</v>
      </c>
      <c r="D2010" t="s">
        <v>232</v>
      </c>
      <c r="E2010" t="s">
        <v>642</v>
      </c>
      <c r="F2010" t="s">
        <v>657</v>
      </c>
      <c r="G2010" t="s">
        <v>675</v>
      </c>
      <c r="S2010">
        <v>331</v>
      </c>
      <c r="CH2010" t="str">
        <f t="shared" si="31"/>
        <v>D-0265</v>
      </c>
      <c r="CI2010" s="1" t="s">
        <v>102</v>
      </c>
    </row>
    <row r="2011" spans="1:87">
      <c r="A2011" t="s">
        <v>3151</v>
      </c>
      <c r="B2011">
        <v>235</v>
      </c>
      <c r="C2011" t="s">
        <v>674</v>
      </c>
      <c r="D2011" t="s">
        <v>232</v>
      </c>
      <c r="E2011" t="s">
        <v>642</v>
      </c>
      <c r="F2011" t="s">
        <v>657</v>
      </c>
      <c r="G2011" t="s">
        <v>675</v>
      </c>
      <c r="R2011">
        <v>235</v>
      </c>
      <c r="CH2011" t="str">
        <f t="shared" si="31"/>
        <v>D-0265</v>
      </c>
      <c r="CI2011" s="1" t="s">
        <v>102</v>
      </c>
    </row>
    <row r="2012" spans="1:87">
      <c r="A2012" t="s">
        <v>3152</v>
      </c>
      <c r="B2012">
        <v>54</v>
      </c>
      <c r="C2012" t="s">
        <v>674</v>
      </c>
      <c r="D2012" t="s">
        <v>232</v>
      </c>
      <c r="E2012" t="s">
        <v>642</v>
      </c>
      <c r="F2012" t="s">
        <v>657</v>
      </c>
      <c r="G2012" t="s">
        <v>675</v>
      </c>
      <c r="Q2012">
        <v>54</v>
      </c>
      <c r="CH2012" t="str">
        <f t="shared" si="31"/>
        <v>D-0265</v>
      </c>
      <c r="CI2012" s="1" t="s">
        <v>102</v>
      </c>
    </row>
    <row r="2013" spans="1:87">
      <c r="A2013" t="s">
        <v>3153</v>
      </c>
      <c r="B2013">
        <v>24</v>
      </c>
      <c r="C2013" t="s">
        <v>674</v>
      </c>
      <c r="D2013" t="s">
        <v>232</v>
      </c>
      <c r="E2013" t="s">
        <v>642</v>
      </c>
      <c r="F2013" t="s">
        <v>657</v>
      </c>
      <c r="G2013" t="s">
        <v>675</v>
      </c>
      <c r="P2013">
        <v>24</v>
      </c>
      <c r="CH2013" t="str">
        <f t="shared" si="31"/>
        <v>D-0265</v>
      </c>
      <c r="CI2013" s="1" t="s">
        <v>102</v>
      </c>
    </row>
    <row r="2014" spans="1:87">
      <c r="A2014" t="s">
        <v>3154</v>
      </c>
      <c r="B2014">
        <v>32</v>
      </c>
      <c r="C2014" t="s">
        <v>2740</v>
      </c>
      <c r="D2014" t="s">
        <v>233</v>
      </c>
      <c r="E2014" t="s">
        <v>642</v>
      </c>
      <c r="F2014" t="s">
        <v>872</v>
      </c>
      <c r="G2014" t="s">
        <v>2741</v>
      </c>
      <c r="AD2014">
        <v>32</v>
      </c>
      <c r="CH2014" t="str">
        <f t="shared" si="31"/>
        <v>D-0265</v>
      </c>
      <c r="CI2014" s="1" t="s">
        <v>102</v>
      </c>
    </row>
    <row r="2015" spans="1:87">
      <c r="A2015" t="s">
        <v>3155</v>
      </c>
      <c r="B2015">
        <v>42</v>
      </c>
      <c r="C2015" t="s">
        <v>2740</v>
      </c>
      <c r="D2015" t="s">
        <v>233</v>
      </c>
      <c r="E2015" t="s">
        <v>642</v>
      </c>
      <c r="F2015" t="s">
        <v>872</v>
      </c>
      <c r="G2015" t="s">
        <v>2741</v>
      </c>
      <c r="AC2015">
        <v>42</v>
      </c>
      <c r="CH2015" t="str">
        <f t="shared" si="31"/>
        <v>D-0265</v>
      </c>
      <c r="CI2015" s="1" t="s">
        <v>102</v>
      </c>
    </row>
    <row r="2016" spans="1:87">
      <c r="A2016" t="s">
        <v>3156</v>
      </c>
      <c r="B2016">
        <v>72</v>
      </c>
      <c r="C2016" t="s">
        <v>2740</v>
      </c>
      <c r="D2016" t="s">
        <v>233</v>
      </c>
      <c r="E2016" t="s">
        <v>642</v>
      </c>
      <c r="F2016" t="s">
        <v>872</v>
      </c>
      <c r="G2016" t="s">
        <v>2741</v>
      </c>
      <c r="AB2016">
        <v>72</v>
      </c>
      <c r="CH2016" t="str">
        <f t="shared" si="31"/>
        <v>D-0265</v>
      </c>
      <c r="CI2016" s="1" t="s">
        <v>102</v>
      </c>
    </row>
    <row r="2017" spans="1:87">
      <c r="A2017" t="s">
        <v>3157</v>
      </c>
      <c r="B2017">
        <v>66</v>
      </c>
      <c r="C2017" t="s">
        <v>2740</v>
      </c>
      <c r="D2017" t="s">
        <v>233</v>
      </c>
      <c r="E2017" t="s">
        <v>642</v>
      </c>
      <c r="F2017" t="s">
        <v>872</v>
      </c>
      <c r="G2017" t="s">
        <v>2741</v>
      </c>
      <c r="AA2017">
        <v>66</v>
      </c>
      <c r="CH2017" t="str">
        <f t="shared" si="31"/>
        <v>D-0265</v>
      </c>
      <c r="CI2017" s="1" t="s">
        <v>102</v>
      </c>
    </row>
    <row r="2018" spans="1:87">
      <c r="A2018" t="s">
        <v>3158</v>
      </c>
      <c r="B2018">
        <v>96</v>
      </c>
      <c r="C2018" t="s">
        <v>2740</v>
      </c>
      <c r="D2018" t="s">
        <v>233</v>
      </c>
      <c r="E2018" t="s">
        <v>642</v>
      </c>
      <c r="F2018" t="s">
        <v>872</v>
      </c>
      <c r="G2018" t="s">
        <v>2741</v>
      </c>
      <c r="Z2018">
        <v>96</v>
      </c>
      <c r="CH2018" t="str">
        <f t="shared" si="31"/>
        <v>D-0265</v>
      </c>
      <c r="CI2018" s="1" t="s">
        <v>102</v>
      </c>
    </row>
    <row r="2019" spans="1:87">
      <c r="A2019" t="s">
        <v>3159</v>
      </c>
      <c r="B2019">
        <v>187</v>
      </c>
      <c r="C2019" t="s">
        <v>2740</v>
      </c>
      <c r="D2019" t="s">
        <v>233</v>
      </c>
      <c r="E2019" t="s">
        <v>642</v>
      </c>
      <c r="F2019" t="s">
        <v>872</v>
      </c>
      <c r="G2019" t="s">
        <v>2741</v>
      </c>
      <c r="Y2019">
        <v>187</v>
      </c>
      <c r="CH2019" t="str">
        <f t="shared" si="31"/>
        <v>D-0265</v>
      </c>
      <c r="CI2019" s="1" t="s">
        <v>102</v>
      </c>
    </row>
    <row r="2020" spans="1:87">
      <c r="A2020" t="s">
        <v>3160</v>
      </c>
      <c r="B2020">
        <v>121</v>
      </c>
      <c r="C2020" t="s">
        <v>2740</v>
      </c>
      <c r="D2020" t="s">
        <v>233</v>
      </c>
      <c r="E2020" t="s">
        <v>642</v>
      </c>
      <c r="F2020" t="s">
        <v>872</v>
      </c>
      <c r="G2020" t="s">
        <v>2741</v>
      </c>
      <c r="X2020">
        <v>121</v>
      </c>
      <c r="CH2020" t="str">
        <f t="shared" si="31"/>
        <v>D-0265</v>
      </c>
      <c r="CI2020" s="1" t="s">
        <v>102</v>
      </c>
    </row>
    <row r="2021" spans="1:87">
      <c r="A2021" t="s">
        <v>3161</v>
      </c>
      <c r="B2021">
        <v>220</v>
      </c>
      <c r="C2021" t="s">
        <v>2740</v>
      </c>
      <c r="D2021" t="s">
        <v>233</v>
      </c>
      <c r="E2021" t="s">
        <v>642</v>
      </c>
      <c r="F2021" t="s">
        <v>872</v>
      </c>
      <c r="G2021" t="s">
        <v>2741</v>
      </c>
      <c r="W2021">
        <v>220</v>
      </c>
      <c r="CH2021" t="str">
        <f t="shared" si="31"/>
        <v>D-0265</v>
      </c>
      <c r="CI2021" s="1" t="s">
        <v>102</v>
      </c>
    </row>
    <row r="2022" spans="1:87">
      <c r="A2022" t="s">
        <v>3162</v>
      </c>
      <c r="B2022">
        <v>299</v>
      </c>
      <c r="C2022" t="s">
        <v>2740</v>
      </c>
      <c r="D2022" t="s">
        <v>233</v>
      </c>
      <c r="E2022" t="s">
        <v>642</v>
      </c>
      <c r="F2022" t="s">
        <v>872</v>
      </c>
      <c r="G2022" t="s">
        <v>2741</v>
      </c>
      <c r="V2022">
        <v>299</v>
      </c>
      <c r="CH2022" t="str">
        <f t="shared" si="31"/>
        <v>D-0265</v>
      </c>
      <c r="CI2022" s="1" t="s">
        <v>102</v>
      </c>
    </row>
    <row r="2023" spans="1:87">
      <c r="A2023" t="s">
        <v>3163</v>
      </c>
      <c r="B2023">
        <v>199</v>
      </c>
      <c r="C2023" t="s">
        <v>2740</v>
      </c>
      <c r="D2023" t="s">
        <v>233</v>
      </c>
      <c r="E2023" t="s">
        <v>642</v>
      </c>
      <c r="F2023" t="s">
        <v>872</v>
      </c>
      <c r="G2023" t="s">
        <v>2741</v>
      </c>
      <c r="U2023">
        <v>199</v>
      </c>
      <c r="CH2023" t="str">
        <f t="shared" si="31"/>
        <v>D-0265</v>
      </c>
      <c r="CI2023" s="1" t="s">
        <v>102</v>
      </c>
    </row>
    <row r="2024" spans="1:87">
      <c r="A2024" t="s">
        <v>3164</v>
      </c>
      <c r="B2024">
        <v>235</v>
      </c>
      <c r="C2024" t="s">
        <v>2740</v>
      </c>
      <c r="D2024" t="s">
        <v>233</v>
      </c>
      <c r="E2024" t="s">
        <v>642</v>
      </c>
      <c r="F2024" t="s">
        <v>872</v>
      </c>
      <c r="G2024" t="s">
        <v>2741</v>
      </c>
      <c r="T2024">
        <v>235</v>
      </c>
      <c r="CH2024" t="str">
        <f t="shared" si="31"/>
        <v>D-0265</v>
      </c>
      <c r="CI2024" s="1" t="s">
        <v>102</v>
      </c>
    </row>
    <row r="2025" spans="1:87">
      <c r="A2025" t="s">
        <v>3165</v>
      </c>
      <c r="B2025">
        <v>193</v>
      </c>
      <c r="C2025" t="s">
        <v>2740</v>
      </c>
      <c r="D2025" t="s">
        <v>233</v>
      </c>
      <c r="E2025" t="s">
        <v>642</v>
      </c>
      <c r="F2025" t="s">
        <v>872</v>
      </c>
      <c r="G2025" t="s">
        <v>2741</v>
      </c>
      <c r="S2025">
        <v>193</v>
      </c>
      <c r="CH2025" t="str">
        <f t="shared" si="31"/>
        <v>D-0265</v>
      </c>
      <c r="CI2025" s="1" t="s">
        <v>102</v>
      </c>
    </row>
    <row r="2026" spans="1:87">
      <c r="A2026" t="s">
        <v>3166</v>
      </c>
      <c r="B2026">
        <v>90</v>
      </c>
      <c r="C2026" t="s">
        <v>2740</v>
      </c>
      <c r="D2026" t="s">
        <v>233</v>
      </c>
      <c r="E2026" t="s">
        <v>642</v>
      </c>
      <c r="F2026" t="s">
        <v>872</v>
      </c>
      <c r="G2026" t="s">
        <v>2741</v>
      </c>
      <c r="R2026">
        <v>90</v>
      </c>
      <c r="CH2026" t="str">
        <f t="shared" si="31"/>
        <v>D-0265</v>
      </c>
      <c r="CI2026" s="1" t="s">
        <v>102</v>
      </c>
    </row>
    <row r="2027" spans="1:87">
      <c r="A2027" t="s">
        <v>3167</v>
      </c>
      <c r="B2027">
        <v>66</v>
      </c>
      <c r="C2027" t="s">
        <v>2740</v>
      </c>
      <c r="D2027" t="s">
        <v>233</v>
      </c>
      <c r="E2027" t="s">
        <v>642</v>
      </c>
      <c r="F2027" t="s">
        <v>872</v>
      </c>
      <c r="G2027" t="s">
        <v>2741</v>
      </c>
      <c r="Q2027">
        <v>66</v>
      </c>
      <c r="CH2027" t="str">
        <f t="shared" si="31"/>
        <v>D-0265</v>
      </c>
      <c r="CI2027" s="1" t="s">
        <v>102</v>
      </c>
    </row>
    <row r="2028" spans="1:87">
      <c r="A2028" t="s">
        <v>3168</v>
      </c>
      <c r="B2028">
        <v>24</v>
      </c>
      <c r="C2028" t="s">
        <v>2740</v>
      </c>
      <c r="D2028" t="s">
        <v>233</v>
      </c>
      <c r="E2028" t="s">
        <v>642</v>
      </c>
      <c r="F2028" t="s">
        <v>872</v>
      </c>
      <c r="G2028" t="s">
        <v>2741</v>
      </c>
      <c r="P2028">
        <v>24</v>
      </c>
      <c r="CH2028" t="str">
        <f t="shared" si="31"/>
        <v>D-0265</v>
      </c>
      <c r="CI2028" s="1" t="s">
        <v>102</v>
      </c>
    </row>
    <row r="2029" spans="1:87">
      <c r="A2029" t="s">
        <v>3169</v>
      </c>
      <c r="B2029">
        <v>12</v>
      </c>
      <c r="C2029" t="s">
        <v>2740</v>
      </c>
      <c r="D2029" t="s">
        <v>233</v>
      </c>
      <c r="E2029" t="s">
        <v>642</v>
      </c>
      <c r="F2029" t="s">
        <v>872</v>
      </c>
      <c r="G2029" t="s">
        <v>2741</v>
      </c>
      <c r="AC2029">
        <v>12</v>
      </c>
      <c r="CH2029" t="str">
        <f t="shared" si="31"/>
        <v>D-0265</v>
      </c>
      <c r="CI2029" s="1" t="s">
        <v>102</v>
      </c>
    </row>
    <row r="2030" spans="1:87">
      <c r="A2030" t="s">
        <v>3170</v>
      </c>
      <c r="B2030">
        <v>18</v>
      </c>
      <c r="C2030" t="s">
        <v>2740</v>
      </c>
      <c r="D2030" t="s">
        <v>233</v>
      </c>
      <c r="E2030" t="s">
        <v>642</v>
      </c>
      <c r="F2030" t="s">
        <v>872</v>
      </c>
      <c r="G2030" t="s">
        <v>2741</v>
      </c>
      <c r="AB2030">
        <v>18</v>
      </c>
      <c r="CH2030" t="str">
        <f t="shared" si="31"/>
        <v>D-0265</v>
      </c>
      <c r="CI2030" s="1" t="s">
        <v>102</v>
      </c>
    </row>
    <row r="2031" spans="1:87">
      <c r="A2031" t="s">
        <v>3171</v>
      </c>
      <c r="B2031">
        <v>18</v>
      </c>
      <c r="C2031" t="s">
        <v>2740</v>
      </c>
      <c r="D2031" t="s">
        <v>233</v>
      </c>
      <c r="E2031" t="s">
        <v>642</v>
      </c>
      <c r="F2031" t="s">
        <v>872</v>
      </c>
      <c r="G2031" t="s">
        <v>2741</v>
      </c>
      <c r="AA2031">
        <v>18</v>
      </c>
      <c r="CH2031" t="str">
        <f t="shared" si="31"/>
        <v>D-0265</v>
      </c>
      <c r="CI2031" s="1" t="s">
        <v>102</v>
      </c>
    </row>
    <row r="2032" spans="1:87">
      <c r="A2032" t="s">
        <v>3172</v>
      </c>
      <c r="B2032">
        <v>18</v>
      </c>
      <c r="C2032" t="s">
        <v>2740</v>
      </c>
      <c r="D2032" t="s">
        <v>233</v>
      </c>
      <c r="E2032" t="s">
        <v>642</v>
      </c>
      <c r="F2032" t="s">
        <v>872</v>
      </c>
      <c r="G2032" t="s">
        <v>2741</v>
      </c>
      <c r="Z2032">
        <v>18</v>
      </c>
      <c r="CH2032" t="str">
        <f t="shared" si="31"/>
        <v>D-0265</v>
      </c>
      <c r="CI2032" s="1" t="s">
        <v>102</v>
      </c>
    </row>
    <row r="2033" spans="1:87">
      <c r="A2033" t="s">
        <v>3173</v>
      </c>
      <c r="B2033">
        <v>19</v>
      </c>
      <c r="C2033" t="s">
        <v>2740</v>
      </c>
      <c r="D2033" t="s">
        <v>233</v>
      </c>
      <c r="E2033" t="s">
        <v>642</v>
      </c>
      <c r="F2033" t="s">
        <v>872</v>
      </c>
      <c r="G2033" t="s">
        <v>2741</v>
      </c>
      <c r="Y2033">
        <v>19</v>
      </c>
      <c r="CH2033" t="str">
        <f t="shared" si="31"/>
        <v>D-0265</v>
      </c>
      <c r="CI2033" s="1" t="s">
        <v>102</v>
      </c>
    </row>
    <row r="2034" spans="1:87">
      <c r="A2034" t="s">
        <v>3174</v>
      </c>
      <c r="B2034">
        <v>41</v>
      </c>
      <c r="C2034" t="s">
        <v>2740</v>
      </c>
      <c r="D2034" t="s">
        <v>233</v>
      </c>
      <c r="E2034" t="s">
        <v>642</v>
      </c>
      <c r="F2034" t="s">
        <v>872</v>
      </c>
      <c r="G2034" t="s">
        <v>2741</v>
      </c>
      <c r="X2034">
        <v>41</v>
      </c>
      <c r="CH2034" t="str">
        <f t="shared" si="31"/>
        <v>D-0265</v>
      </c>
      <c r="CI2034" s="1" t="s">
        <v>102</v>
      </c>
    </row>
    <row r="2035" spans="1:87">
      <c r="A2035" t="s">
        <v>3175</v>
      </c>
      <c r="B2035">
        <v>37</v>
      </c>
      <c r="C2035" t="s">
        <v>2740</v>
      </c>
      <c r="D2035" t="s">
        <v>233</v>
      </c>
      <c r="E2035" t="s">
        <v>642</v>
      </c>
      <c r="F2035" t="s">
        <v>872</v>
      </c>
      <c r="G2035" t="s">
        <v>2741</v>
      </c>
      <c r="U2035">
        <v>37</v>
      </c>
      <c r="CH2035" t="str">
        <f t="shared" si="31"/>
        <v>D-0265</v>
      </c>
      <c r="CI2035" s="1" t="s">
        <v>102</v>
      </c>
    </row>
    <row r="2036" spans="1:87">
      <c r="A2036" t="s">
        <v>3176</v>
      </c>
      <c r="B2036">
        <v>40</v>
      </c>
      <c r="C2036" t="s">
        <v>2740</v>
      </c>
      <c r="D2036" t="s">
        <v>233</v>
      </c>
      <c r="E2036" t="s">
        <v>642</v>
      </c>
      <c r="F2036" t="s">
        <v>872</v>
      </c>
      <c r="G2036" t="s">
        <v>2741</v>
      </c>
      <c r="T2036">
        <v>40</v>
      </c>
      <c r="CH2036" t="str">
        <f t="shared" si="31"/>
        <v>D-0265</v>
      </c>
      <c r="CI2036" s="1" t="s">
        <v>102</v>
      </c>
    </row>
    <row r="2037" spans="1:87">
      <c r="A2037" t="s">
        <v>3177</v>
      </c>
      <c r="B2037">
        <v>33</v>
      </c>
      <c r="C2037" t="s">
        <v>2740</v>
      </c>
      <c r="D2037" t="s">
        <v>233</v>
      </c>
      <c r="E2037" t="s">
        <v>642</v>
      </c>
      <c r="F2037" t="s">
        <v>872</v>
      </c>
      <c r="G2037" t="s">
        <v>2741</v>
      </c>
      <c r="S2037">
        <v>33</v>
      </c>
      <c r="CH2037" t="str">
        <f t="shared" si="31"/>
        <v>D-0265</v>
      </c>
      <c r="CI2037" s="1" t="s">
        <v>102</v>
      </c>
    </row>
    <row r="2038" spans="1:87">
      <c r="A2038" t="s">
        <v>3178</v>
      </c>
      <c r="B2038">
        <v>24</v>
      </c>
      <c r="C2038" t="s">
        <v>2740</v>
      </c>
      <c r="D2038" t="s">
        <v>233</v>
      </c>
      <c r="E2038" t="s">
        <v>642</v>
      </c>
      <c r="F2038" t="s">
        <v>872</v>
      </c>
      <c r="G2038" t="s">
        <v>2741</v>
      </c>
      <c r="R2038">
        <v>24</v>
      </c>
      <c r="CH2038" t="str">
        <f t="shared" si="31"/>
        <v>D-0265</v>
      </c>
      <c r="CI2038" s="1" t="s">
        <v>102</v>
      </c>
    </row>
    <row r="2039" spans="1:87">
      <c r="A2039" t="s">
        <v>3179</v>
      </c>
      <c r="B2039">
        <v>27</v>
      </c>
      <c r="C2039" t="s">
        <v>2740</v>
      </c>
      <c r="D2039" t="s">
        <v>233</v>
      </c>
      <c r="E2039" t="s">
        <v>642</v>
      </c>
      <c r="F2039" t="s">
        <v>872</v>
      </c>
      <c r="G2039" t="s">
        <v>2741</v>
      </c>
      <c r="Q2039">
        <v>27</v>
      </c>
      <c r="CH2039" t="str">
        <f t="shared" si="31"/>
        <v>D-0265</v>
      </c>
      <c r="CI2039" s="1" t="s">
        <v>102</v>
      </c>
    </row>
    <row r="2040" spans="1:87">
      <c r="A2040" t="s">
        <v>3180</v>
      </c>
      <c r="B2040">
        <v>6</v>
      </c>
      <c r="C2040" t="s">
        <v>2740</v>
      </c>
      <c r="D2040" t="s">
        <v>233</v>
      </c>
      <c r="E2040" t="s">
        <v>642</v>
      </c>
      <c r="F2040" t="s">
        <v>872</v>
      </c>
      <c r="G2040" t="s">
        <v>2741</v>
      </c>
      <c r="P2040">
        <v>6</v>
      </c>
      <c r="CH2040" t="str">
        <f t="shared" si="31"/>
        <v>D-0265</v>
      </c>
      <c r="CI2040" s="1" t="s">
        <v>102</v>
      </c>
    </row>
    <row r="2041" spans="1:87">
      <c r="A2041" t="s">
        <v>3181</v>
      </c>
      <c r="B2041">
        <v>707</v>
      </c>
      <c r="C2041" t="s">
        <v>3040</v>
      </c>
      <c r="D2041" t="s">
        <v>3041</v>
      </c>
      <c r="E2041" t="s">
        <v>676</v>
      </c>
      <c r="F2041" t="s">
        <v>3042</v>
      </c>
      <c r="G2041" t="s">
        <v>3043</v>
      </c>
      <c r="R2041">
        <v>16</v>
      </c>
      <c r="S2041">
        <v>16</v>
      </c>
      <c r="T2041">
        <v>33</v>
      </c>
      <c r="U2041">
        <v>41</v>
      </c>
      <c r="V2041">
        <v>81</v>
      </c>
      <c r="W2041">
        <v>90</v>
      </c>
      <c r="X2041">
        <v>111</v>
      </c>
      <c r="Y2041">
        <v>106</v>
      </c>
      <c r="Z2041">
        <v>75</v>
      </c>
      <c r="AA2041">
        <v>63</v>
      </c>
      <c r="AB2041">
        <v>39</v>
      </c>
      <c r="AD2041">
        <v>16</v>
      </c>
      <c r="AF2041">
        <v>20</v>
      </c>
      <c r="CH2041" t="str">
        <f t="shared" si="31"/>
        <v>D-0673</v>
      </c>
      <c r="CI2041" s="1" t="s">
        <v>102</v>
      </c>
    </row>
    <row r="2042" spans="1:87">
      <c r="A2042" t="s">
        <v>3196</v>
      </c>
      <c r="B2042">
        <v>2162</v>
      </c>
      <c r="C2042" t="s">
        <v>3197</v>
      </c>
      <c r="D2042" t="s">
        <v>1150</v>
      </c>
      <c r="E2042" t="s">
        <v>642</v>
      </c>
      <c r="F2042" t="s">
        <v>703</v>
      </c>
      <c r="G2042" t="s">
        <v>704</v>
      </c>
      <c r="BG2042">
        <v>122</v>
      </c>
      <c r="BH2042">
        <v>433</v>
      </c>
      <c r="BI2042">
        <v>597</v>
      </c>
      <c r="BJ2042">
        <v>559</v>
      </c>
      <c r="BK2042">
        <v>161</v>
      </c>
      <c r="BL2042">
        <v>168</v>
      </c>
      <c r="BM2042">
        <v>122</v>
      </c>
      <c r="CH2042" t="str">
        <f t="shared" si="31"/>
        <v>D-0663</v>
      </c>
      <c r="CI2042" s="1" t="s">
        <v>102</v>
      </c>
    </row>
    <row r="2043" spans="1:87">
      <c r="A2043" t="s">
        <v>3223</v>
      </c>
      <c r="B2043">
        <v>509</v>
      </c>
      <c r="C2043" t="s">
        <v>685</v>
      </c>
      <c r="D2043" t="s">
        <v>457</v>
      </c>
      <c r="E2043" t="s">
        <v>629</v>
      </c>
      <c r="F2043" t="s">
        <v>672</v>
      </c>
      <c r="G2043" t="s">
        <v>686</v>
      </c>
      <c r="U2043">
        <v>35</v>
      </c>
      <c r="W2043">
        <v>60</v>
      </c>
      <c r="Y2043">
        <v>114</v>
      </c>
      <c r="AA2043">
        <v>120</v>
      </c>
      <c r="AC2043">
        <v>114</v>
      </c>
      <c r="AF2043">
        <v>66</v>
      </c>
      <c r="CH2043" t="str">
        <f t="shared" si="31"/>
        <v>JV1-0695-3</v>
      </c>
      <c r="CI2043" s="1" t="s">
        <v>102</v>
      </c>
    </row>
    <row r="2044" spans="1:87">
      <c r="A2044" t="s">
        <v>3230</v>
      </c>
      <c r="B2044">
        <v>5126</v>
      </c>
      <c r="C2044" t="s">
        <v>1453</v>
      </c>
      <c r="D2044" t="s">
        <v>365</v>
      </c>
      <c r="E2044" t="s">
        <v>642</v>
      </c>
      <c r="F2044" t="s">
        <v>706</v>
      </c>
      <c r="G2044" t="s">
        <v>737</v>
      </c>
      <c r="M2044">
        <v>24</v>
      </c>
      <c r="N2044">
        <v>60</v>
      </c>
      <c r="O2044">
        <v>156</v>
      </c>
      <c r="P2044">
        <v>240</v>
      </c>
      <c r="Q2044">
        <v>456</v>
      </c>
      <c r="R2044">
        <v>588</v>
      </c>
      <c r="S2044">
        <v>816</v>
      </c>
      <c r="T2044">
        <v>830</v>
      </c>
      <c r="U2044">
        <v>792</v>
      </c>
      <c r="V2044">
        <v>528</v>
      </c>
      <c r="W2044">
        <v>504</v>
      </c>
      <c r="Y2044">
        <v>72</v>
      </c>
      <c r="AA2044">
        <v>60</v>
      </c>
      <c r="CH2044" t="str">
        <f t="shared" si="31"/>
        <v>D-0524</v>
      </c>
      <c r="CI2044" s="1" t="s">
        <v>102</v>
      </c>
    </row>
    <row r="2045" spans="1:87">
      <c r="A2045" t="s">
        <v>3231</v>
      </c>
      <c r="B2045">
        <v>6938</v>
      </c>
      <c r="C2045" t="s">
        <v>1359</v>
      </c>
      <c r="D2045" t="s">
        <v>365</v>
      </c>
      <c r="E2045" t="s">
        <v>629</v>
      </c>
      <c r="F2045" t="s">
        <v>706</v>
      </c>
      <c r="G2045" t="s">
        <v>737</v>
      </c>
      <c r="T2045">
        <v>60</v>
      </c>
      <c r="U2045">
        <v>24</v>
      </c>
      <c r="V2045">
        <v>252</v>
      </c>
      <c r="W2045">
        <v>336</v>
      </c>
      <c r="X2045">
        <v>542</v>
      </c>
      <c r="Y2045">
        <v>660</v>
      </c>
      <c r="Z2045">
        <v>756</v>
      </c>
      <c r="AA2045">
        <v>1008</v>
      </c>
      <c r="AB2045">
        <v>888</v>
      </c>
      <c r="AC2045">
        <v>600</v>
      </c>
      <c r="AD2045">
        <v>792</v>
      </c>
      <c r="AF2045">
        <v>660</v>
      </c>
      <c r="AH2045">
        <v>348</v>
      </c>
      <c r="AJ2045">
        <v>12</v>
      </c>
      <c r="CH2045" t="str">
        <f t="shared" si="31"/>
        <v>D-0524</v>
      </c>
      <c r="CI2045" s="1" t="s">
        <v>102</v>
      </c>
    </row>
    <row r="2046" spans="1:87">
      <c r="A2046" t="s">
        <v>3232</v>
      </c>
      <c r="B2046">
        <v>9794</v>
      </c>
      <c r="C2046" t="s">
        <v>1079</v>
      </c>
      <c r="D2046" t="s">
        <v>365</v>
      </c>
      <c r="E2046" t="s">
        <v>642</v>
      </c>
      <c r="F2046" t="s">
        <v>706</v>
      </c>
      <c r="G2046" t="s">
        <v>1454</v>
      </c>
      <c r="M2046">
        <v>84</v>
      </c>
      <c r="O2046">
        <v>996</v>
      </c>
      <c r="P2046">
        <v>996</v>
      </c>
      <c r="Q2046">
        <v>1008</v>
      </c>
      <c r="R2046">
        <v>1008</v>
      </c>
      <c r="S2046">
        <v>1020</v>
      </c>
      <c r="T2046">
        <v>1022</v>
      </c>
      <c r="U2046">
        <v>1008</v>
      </c>
      <c r="V2046">
        <v>1008</v>
      </c>
      <c r="W2046">
        <v>996</v>
      </c>
      <c r="Y2046">
        <v>648</v>
      </c>
      <c r="CH2046" t="str">
        <f t="shared" si="31"/>
        <v>D-0524</v>
      </c>
      <c r="CI2046" s="1" t="s">
        <v>102</v>
      </c>
    </row>
    <row r="2047" spans="1:87">
      <c r="A2047" t="s">
        <v>3233</v>
      </c>
      <c r="B2047">
        <v>128</v>
      </c>
      <c r="C2047" t="s">
        <v>946</v>
      </c>
      <c r="D2047" t="s">
        <v>365</v>
      </c>
      <c r="E2047" t="s">
        <v>629</v>
      </c>
      <c r="F2047" t="s">
        <v>706</v>
      </c>
      <c r="G2047" t="s">
        <v>1351</v>
      </c>
      <c r="W2047">
        <v>42</v>
      </c>
      <c r="X2047">
        <v>20</v>
      </c>
      <c r="Y2047">
        <v>66</v>
      </c>
      <c r="CH2047" t="str">
        <f t="shared" si="31"/>
        <v>D-0524</v>
      </c>
      <c r="CI2047" s="1" t="s">
        <v>102</v>
      </c>
    </row>
    <row r="2048" spans="1:87">
      <c r="A2048" t="s">
        <v>3234</v>
      </c>
      <c r="B2048">
        <v>6076</v>
      </c>
      <c r="C2048" t="s">
        <v>3235</v>
      </c>
      <c r="D2048" t="s">
        <v>137</v>
      </c>
      <c r="E2048" t="s">
        <v>642</v>
      </c>
      <c r="F2048" t="s">
        <v>632</v>
      </c>
      <c r="G2048" t="s">
        <v>3236</v>
      </c>
      <c r="P2048">
        <v>511</v>
      </c>
      <c r="Q2048">
        <v>862</v>
      </c>
      <c r="R2048">
        <v>1096</v>
      </c>
      <c r="S2048">
        <v>1580</v>
      </c>
      <c r="T2048">
        <v>38</v>
      </c>
      <c r="U2048">
        <v>799</v>
      </c>
      <c r="V2048">
        <v>573</v>
      </c>
      <c r="W2048">
        <v>234</v>
      </c>
      <c r="X2048">
        <v>117</v>
      </c>
      <c r="Y2048">
        <v>133</v>
      </c>
      <c r="Z2048">
        <v>133</v>
      </c>
      <c r="CH2048" t="str">
        <f t="shared" si="31"/>
        <v>D-0042</v>
      </c>
      <c r="CI2048" s="1" t="s">
        <v>102</v>
      </c>
    </row>
    <row r="2049" spans="1:87">
      <c r="A2049" t="s">
        <v>3237</v>
      </c>
      <c r="B2049">
        <v>1210</v>
      </c>
      <c r="C2049" t="s">
        <v>3235</v>
      </c>
      <c r="D2049" t="s">
        <v>137</v>
      </c>
      <c r="E2049" t="s">
        <v>642</v>
      </c>
      <c r="F2049" t="s">
        <v>632</v>
      </c>
      <c r="G2049" t="s">
        <v>3236</v>
      </c>
      <c r="T2049">
        <v>1210</v>
      </c>
      <c r="CH2049" t="str">
        <f t="shared" si="31"/>
        <v>D-0042</v>
      </c>
      <c r="CI2049" s="1" t="s">
        <v>102</v>
      </c>
    </row>
    <row r="2050" spans="1:87">
      <c r="A2050" t="s">
        <v>3418</v>
      </c>
      <c r="B2050">
        <v>42</v>
      </c>
      <c r="C2050" t="s">
        <v>3419</v>
      </c>
      <c r="D2050" t="s">
        <v>291</v>
      </c>
      <c r="E2050" t="s">
        <v>642</v>
      </c>
      <c r="F2050" t="s">
        <v>661</v>
      </c>
      <c r="G2050" t="s">
        <v>3420</v>
      </c>
      <c r="P2050">
        <v>42</v>
      </c>
      <c r="CH2050" t="str">
        <f t="shared" ref="CH2050:CH2113" si="32">TRIM(IFERROR(IFERROR(MID($D2050,FIND("(D-",$D2050)+1,6),LEFT($D2050,FIND("(",$D2050)-1)),$D2050))</f>
        <v>D-0419</v>
      </c>
      <c r="CI2050" s="1" t="s">
        <v>102</v>
      </c>
    </row>
    <row r="2051" spans="1:87">
      <c r="A2051" t="s">
        <v>3421</v>
      </c>
      <c r="B2051">
        <v>32</v>
      </c>
      <c r="C2051" t="s">
        <v>3419</v>
      </c>
      <c r="D2051" t="s">
        <v>291</v>
      </c>
      <c r="E2051" t="s">
        <v>642</v>
      </c>
      <c r="F2051" t="s">
        <v>661</v>
      </c>
      <c r="G2051" t="s">
        <v>3420</v>
      </c>
      <c r="AM2051">
        <v>32</v>
      </c>
      <c r="CH2051" t="str">
        <f t="shared" si="32"/>
        <v>D-0419</v>
      </c>
      <c r="CI2051" s="1" t="s">
        <v>102</v>
      </c>
    </row>
    <row r="2052" spans="1:87">
      <c r="A2052" t="s">
        <v>3422</v>
      </c>
      <c r="B2052">
        <v>71</v>
      </c>
      <c r="C2052" t="s">
        <v>3419</v>
      </c>
      <c r="D2052" t="s">
        <v>291</v>
      </c>
      <c r="E2052" t="s">
        <v>642</v>
      </c>
      <c r="F2052" t="s">
        <v>661</v>
      </c>
      <c r="G2052" t="s">
        <v>3420</v>
      </c>
      <c r="AD2052">
        <v>71</v>
      </c>
      <c r="CH2052" t="str">
        <f t="shared" si="32"/>
        <v>D-0419</v>
      </c>
      <c r="CI2052" s="1" t="s">
        <v>102</v>
      </c>
    </row>
    <row r="2053" spans="1:87">
      <c r="A2053" t="s">
        <v>3423</v>
      </c>
      <c r="B2053">
        <v>240</v>
      </c>
      <c r="C2053" t="s">
        <v>3419</v>
      </c>
      <c r="D2053" t="s">
        <v>291</v>
      </c>
      <c r="E2053" t="s">
        <v>642</v>
      </c>
      <c r="F2053" t="s">
        <v>661</v>
      </c>
      <c r="G2053" t="s">
        <v>3420</v>
      </c>
      <c r="X2053">
        <v>240</v>
      </c>
      <c r="CH2053" t="str">
        <f t="shared" si="32"/>
        <v>D-0419</v>
      </c>
      <c r="CI2053" s="1" t="s">
        <v>102</v>
      </c>
    </row>
    <row r="2054" spans="1:87">
      <c r="A2054" t="s">
        <v>3424</v>
      </c>
      <c r="B2054">
        <v>590</v>
      </c>
      <c r="C2054" t="s">
        <v>3419</v>
      </c>
      <c r="D2054" t="s">
        <v>291</v>
      </c>
      <c r="E2054" t="s">
        <v>642</v>
      </c>
      <c r="F2054" t="s">
        <v>661</v>
      </c>
      <c r="G2054" t="s">
        <v>3420</v>
      </c>
      <c r="T2054">
        <v>590</v>
      </c>
      <c r="CH2054" t="str">
        <f t="shared" si="32"/>
        <v>D-0419</v>
      </c>
      <c r="CI2054" s="1" t="s">
        <v>102</v>
      </c>
    </row>
    <row r="2055" spans="1:87">
      <c r="A2055" t="s">
        <v>3425</v>
      </c>
      <c r="B2055">
        <v>12</v>
      </c>
      <c r="C2055" t="s">
        <v>3419</v>
      </c>
      <c r="D2055" t="s">
        <v>291</v>
      </c>
      <c r="E2055" t="s">
        <v>642</v>
      </c>
      <c r="F2055" t="s">
        <v>661</v>
      </c>
      <c r="G2055" t="s">
        <v>3420</v>
      </c>
      <c r="P2055">
        <v>12</v>
      </c>
      <c r="CH2055" t="str">
        <f t="shared" si="32"/>
        <v>D-0419</v>
      </c>
      <c r="CI2055" s="1" t="s">
        <v>102</v>
      </c>
    </row>
    <row r="2056" spans="1:87">
      <c r="A2056" t="s">
        <v>3426</v>
      </c>
      <c r="B2056">
        <v>36</v>
      </c>
      <c r="C2056" t="s">
        <v>3419</v>
      </c>
      <c r="D2056" t="s">
        <v>291</v>
      </c>
      <c r="E2056" t="s">
        <v>642</v>
      </c>
      <c r="F2056" t="s">
        <v>661</v>
      </c>
      <c r="G2056" t="s">
        <v>3420</v>
      </c>
      <c r="T2056">
        <v>36</v>
      </c>
      <c r="CH2056" t="str">
        <f t="shared" si="32"/>
        <v>D-0419</v>
      </c>
      <c r="CI2056" s="1" t="s">
        <v>102</v>
      </c>
    </row>
    <row r="2057" spans="1:87">
      <c r="A2057" t="s">
        <v>3427</v>
      </c>
      <c r="B2057">
        <v>24</v>
      </c>
      <c r="C2057" t="s">
        <v>3419</v>
      </c>
      <c r="D2057" t="s">
        <v>291</v>
      </c>
      <c r="E2057" t="s">
        <v>642</v>
      </c>
      <c r="F2057" t="s">
        <v>661</v>
      </c>
      <c r="G2057" t="s">
        <v>3420</v>
      </c>
      <c r="X2057">
        <v>24</v>
      </c>
      <c r="CH2057" t="str">
        <f t="shared" si="32"/>
        <v>D-0419</v>
      </c>
      <c r="CI2057" s="1" t="s">
        <v>102</v>
      </c>
    </row>
    <row r="2058" spans="1:87">
      <c r="A2058" t="s">
        <v>3428</v>
      </c>
      <c r="B2058">
        <v>32</v>
      </c>
      <c r="C2058" t="s">
        <v>3419</v>
      </c>
      <c r="D2058" t="s">
        <v>291</v>
      </c>
      <c r="E2058" t="s">
        <v>642</v>
      </c>
      <c r="F2058" t="s">
        <v>661</v>
      </c>
      <c r="G2058" t="s">
        <v>3420</v>
      </c>
      <c r="AK2058">
        <v>32</v>
      </c>
      <c r="CH2058" t="str">
        <f t="shared" si="32"/>
        <v>D-0419</v>
      </c>
      <c r="CI2058" s="1" t="s">
        <v>102</v>
      </c>
    </row>
    <row r="2059" spans="1:87">
      <c r="A2059" t="s">
        <v>3429</v>
      </c>
      <c r="B2059">
        <v>38</v>
      </c>
      <c r="C2059" t="s">
        <v>3419</v>
      </c>
      <c r="D2059" t="s">
        <v>291</v>
      </c>
      <c r="E2059" t="s">
        <v>642</v>
      </c>
      <c r="F2059" t="s">
        <v>661</v>
      </c>
      <c r="G2059" t="s">
        <v>3420</v>
      </c>
      <c r="AI2059">
        <v>38</v>
      </c>
      <c r="CH2059" t="str">
        <f t="shared" si="32"/>
        <v>D-0419</v>
      </c>
      <c r="CI2059" s="1" t="s">
        <v>102</v>
      </c>
    </row>
    <row r="2060" spans="1:87">
      <c r="A2060" t="s">
        <v>3430</v>
      </c>
      <c r="B2060">
        <v>44</v>
      </c>
      <c r="C2060" t="s">
        <v>3419</v>
      </c>
      <c r="D2060" t="s">
        <v>291</v>
      </c>
      <c r="E2060" t="s">
        <v>642</v>
      </c>
      <c r="F2060" t="s">
        <v>661</v>
      </c>
      <c r="G2060" t="s">
        <v>3420</v>
      </c>
      <c r="AH2060">
        <v>44</v>
      </c>
      <c r="CH2060" t="str">
        <f t="shared" si="32"/>
        <v>D-0419</v>
      </c>
      <c r="CI2060" s="1" t="s">
        <v>102</v>
      </c>
    </row>
    <row r="2061" spans="1:87">
      <c r="A2061" t="s">
        <v>3431</v>
      </c>
      <c r="B2061">
        <v>50</v>
      </c>
      <c r="C2061" t="s">
        <v>3419</v>
      </c>
      <c r="D2061" t="s">
        <v>291</v>
      </c>
      <c r="E2061" t="s">
        <v>642</v>
      </c>
      <c r="F2061" t="s">
        <v>661</v>
      </c>
      <c r="G2061" t="s">
        <v>3420</v>
      </c>
      <c r="AG2061">
        <v>50</v>
      </c>
      <c r="CH2061" t="str">
        <f t="shared" si="32"/>
        <v>D-0419</v>
      </c>
      <c r="CI2061" s="1" t="s">
        <v>102</v>
      </c>
    </row>
    <row r="2062" spans="1:87">
      <c r="A2062" t="s">
        <v>3432</v>
      </c>
      <c r="B2062">
        <v>45</v>
      </c>
      <c r="C2062" t="s">
        <v>3419</v>
      </c>
      <c r="D2062" t="s">
        <v>291</v>
      </c>
      <c r="E2062" t="s">
        <v>642</v>
      </c>
      <c r="F2062" t="s">
        <v>661</v>
      </c>
      <c r="G2062" t="s">
        <v>3420</v>
      </c>
      <c r="AF2062">
        <v>45</v>
      </c>
      <c r="CH2062" t="str">
        <f t="shared" si="32"/>
        <v>D-0419</v>
      </c>
      <c r="CI2062" s="1" t="s">
        <v>102</v>
      </c>
    </row>
    <row r="2063" spans="1:87">
      <c r="A2063" t="s">
        <v>3433</v>
      </c>
      <c r="B2063">
        <v>57</v>
      </c>
      <c r="C2063" t="s">
        <v>3419</v>
      </c>
      <c r="D2063" t="s">
        <v>291</v>
      </c>
      <c r="E2063" t="s">
        <v>642</v>
      </c>
      <c r="F2063" t="s">
        <v>661</v>
      </c>
      <c r="G2063" t="s">
        <v>3420</v>
      </c>
      <c r="AE2063">
        <v>57</v>
      </c>
      <c r="CH2063" t="str">
        <f t="shared" si="32"/>
        <v>D-0419</v>
      </c>
      <c r="CI2063" s="1" t="s">
        <v>102</v>
      </c>
    </row>
    <row r="2064" spans="1:87">
      <c r="A2064" t="s">
        <v>3434</v>
      </c>
      <c r="B2064">
        <v>60</v>
      </c>
      <c r="C2064" t="s">
        <v>3419</v>
      </c>
      <c r="D2064" t="s">
        <v>291</v>
      </c>
      <c r="E2064" t="s">
        <v>642</v>
      </c>
      <c r="F2064" t="s">
        <v>661</v>
      </c>
      <c r="G2064" t="s">
        <v>3420</v>
      </c>
      <c r="AC2064">
        <v>60</v>
      </c>
      <c r="CH2064" t="str">
        <f t="shared" si="32"/>
        <v>D-0419</v>
      </c>
      <c r="CI2064" s="1" t="s">
        <v>102</v>
      </c>
    </row>
    <row r="2065" spans="1:87">
      <c r="A2065" t="s">
        <v>3435</v>
      </c>
      <c r="B2065">
        <v>115</v>
      </c>
      <c r="C2065" t="s">
        <v>3419</v>
      </c>
      <c r="D2065" t="s">
        <v>291</v>
      </c>
      <c r="E2065" t="s">
        <v>642</v>
      </c>
      <c r="F2065" t="s">
        <v>661</v>
      </c>
      <c r="G2065" t="s">
        <v>3420</v>
      </c>
      <c r="AB2065">
        <v>115</v>
      </c>
      <c r="CH2065" t="str">
        <f t="shared" si="32"/>
        <v>D-0419</v>
      </c>
      <c r="CI2065" s="1" t="s">
        <v>102</v>
      </c>
    </row>
    <row r="2066" spans="1:87">
      <c r="A2066" t="s">
        <v>3436</v>
      </c>
      <c r="B2066">
        <v>115</v>
      </c>
      <c r="C2066" t="s">
        <v>3419</v>
      </c>
      <c r="D2066" t="s">
        <v>291</v>
      </c>
      <c r="E2066" t="s">
        <v>642</v>
      </c>
      <c r="F2066" t="s">
        <v>661</v>
      </c>
      <c r="G2066" t="s">
        <v>3420</v>
      </c>
      <c r="AA2066">
        <v>115</v>
      </c>
      <c r="CH2066" t="str">
        <f t="shared" si="32"/>
        <v>D-0419</v>
      </c>
      <c r="CI2066" s="1" t="s">
        <v>102</v>
      </c>
    </row>
    <row r="2067" spans="1:87">
      <c r="A2067" t="s">
        <v>3437</v>
      </c>
      <c r="B2067">
        <v>216</v>
      </c>
      <c r="C2067" t="s">
        <v>3419</v>
      </c>
      <c r="D2067" t="s">
        <v>291</v>
      </c>
      <c r="E2067" t="s">
        <v>642</v>
      </c>
      <c r="F2067" t="s">
        <v>661</v>
      </c>
      <c r="G2067" t="s">
        <v>3420</v>
      </c>
      <c r="Z2067">
        <v>216</v>
      </c>
      <c r="CH2067" t="str">
        <f t="shared" si="32"/>
        <v>D-0419</v>
      </c>
      <c r="CI2067" s="1" t="s">
        <v>102</v>
      </c>
    </row>
    <row r="2068" spans="1:87">
      <c r="A2068" t="s">
        <v>3438</v>
      </c>
      <c r="B2068">
        <v>373</v>
      </c>
      <c r="C2068" t="s">
        <v>3419</v>
      </c>
      <c r="D2068" t="s">
        <v>291</v>
      </c>
      <c r="E2068" t="s">
        <v>642</v>
      </c>
      <c r="F2068" t="s">
        <v>661</v>
      </c>
      <c r="G2068" t="s">
        <v>3420</v>
      </c>
      <c r="Y2068">
        <v>373</v>
      </c>
      <c r="CH2068" t="str">
        <f t="shared" si="32"/>
        <v>D-0419</v>
      </c>
      <c r="CI2068" s="1" t="s">
        <v>102</v>
      </c>
    </row>
    <row r="2069" spans="1:87">
      <c r="A2069" t="s">
        <v>3439</v>
      </c>
      <c r="B2069">
        <v>629</v>
      </c>
      <c r="C2069" t="s">
        <v>3419</v>
      </c>
      <c r="D2069" t="s">
        <v>291</v>
      </c>
      <c r="E2069" t="s">
        <v>642</v>
      </c>
      <c r="F2069" t="s">
        <v>661</v>
      </c>
      <c r="G2069" t="s">
        <v>3420</v>
      </c>
      <c r="W2069">
        <v>629</v>
      </c>
      <c r="CH2069" t="str">
        <f t="shared" si="32"/>
        <v>D-0419</v>
      </c>
      <c r="CI2069" s="1" t="s">
        <v>102</v>
      </c>
    </row>
    <row r="2070" spans="1:87">
      <c r="A2070" t="s">
        <v>3440</v>
      </c>
      <c r="B2070">
        <v>887</v>
      </c>
      <c r="C2070" t="s">
        <v>3419</v>
      </c>
      <c r="D2070" t="s">
        <v>291</v>
      </c>
      <c r="E2070" t="s">
        <v>642</v>
      </c>
      <c r="F2070" t="s">
        <v>661</v>
      </c>
      <c r="G2070" t="s">
        <v>3420</v>
      </c>
      <c r="V2070">
        <v>887</v>
      </c>
      <c r="CH2070" t="str">
        <f t="shared" si="32"/>
        <v>D-0419</v>
      </c>
      <c r="CI2070" s="1" t="s">
        <v>102</v>
      </c>
    </row>
    <row r="2071" spans="1:87">
      <c r="A2071" t="s">
        <v>3441</v>
      </c>
      <c r="B2071">
        <v>573</v>
      </c>
      <c r="C2071" t="s">
        <v>3419</v>
      </c>
      <c r="D2071" t="s">
        <v>291</v>
      </c>
      <c r="E2071" t="s">
        <v>642</v>
      </c>
      <c r="F2071" t="s">
        <v>661</v>
      </c>
      <c r="G2071" t="s">
        <v>3420</v>
      </c>
      <c r="U2071">
        <v>573</v>
      </c>
      <c r="CH2071" t="str">
        <f t="shared" si="32"/>
        <v>D-0419</v>
      </c>
      <c r="CI2071" s="1" t="s">
        <v>102</v>
      </c>
    </row>
    <row r="2072" spans="1:87">
      <c r="A2072" t="s">
        <v>3442</v>
      </c>
      <c r="B2072">
        <v>470</v>
      </c>
      <c r="C2072" t="s">
        <v>3419</v>
      </c>
      <c r="D2072" t="s">
        <v>291</v>
      </c>
      <c r="E2072" t="s">
        <v>642</v>
      </c>
      <c r="F2072" t="s">
        <v>661</v>
      </c>
      <c r="G2072" t="s">
        <v>3420</v>
      </c>
      <c r="S2072">
        <v>470</v>
      </c>
      <c r="CH2072" t="str">
        <f t="shared" si="32"/>
        <v>D-0419</v>
      </c>
      <c r="CI2072" s="1" t="s">
        <v>102</v>
      </c>
    </row>
    <row r="2073" spans="1:87">
      <c r="A2073" t="s">
        <v>3443</v>
      </c>
      <c r="B2073">
        <v>260</v>
      </c>
      <c r="C2073" t="s">
        <v>3419</v>
      </c>
      <c r="D2073" t="s">
        <v>291</v>
      </c>
      <c r="E2073" t="s">
        <v>642</v>
      </c>
      <c r="F2073" t="s">
        <v>661</v>
      </c>
      <c r="G2073" t="s">
        <v>3420</v>
      </c>
      <c r="R2073">
        <v>260</v>
      </c>
      <c r="CH2073" t="str">
        <f t="shared" si="32"/>
        <v>D-0419</v>
      </c>
      <c r="CI2073" s="1" t="s">
        <v>102</v>
      </c>
    </row>
    <row r="2074" spans="1:87">
      <c r="A2074" t="s">
        <v>3444</v>
      </c>
      <c r="B2074">
        <v>109</v>
      </c>
      <c r="C2074" t="s">
        <v>3419</v>
      </c>
      <c r="D2074" t="s">
        <v>291</v>
      </c>
      <c r="E2074" t="s">
        <v>642</v>
      </c>
      <c r="F2074" t="s">
        <v>661</v>
      </c>
      <c r="G2074" t="s">
        <v>3420</v>
      </c>
      <c r="Q2074">
        <v>109</v>
      </c>
      <c r="CH2074" t="str">
        <f t="shared" si="32"/>
        <v>D-0419</v>
      </c>
      <c r="CI2074" s="1" t="s">
        <v>102</v>
      </c>
    </row>
    <row r="2075" spans="1:87">
      <c r="A2075" t="s">
        <v>3445</v>
      </c>
      <c r="B2075">
        <v>4</v>
      </c>
      <c r="C2075" t="s">
        <v>3419</v>
      </c>
      <c r="D2075" t="s">
        <v>291</v>
      </c>
      <c r="E2075" t="s">
        <v>642</v>
      </c>
      <c r="F2075" t="s">
        <v>661</v>
      </c>
      <c r="G2075" t="s">
        <v>3420</v>
      </c>
      <c r="T2075">
        <v>4</v>
      </c>
      <c r="CH2075" t="str">
        <f t="shared" si="32"/>
        <v>D-0419</v>
      </c>
      <c r="CI2075" s="1" t="s">
        <v>102</v>
      </c>
    </row>
    <row r="2076" spans="1:87">
      <c r="A2076" t="s">
        <v>3238</v>
      </c>
      <c r="B2076">
        <v>6268</v>
      </c>
      <c r="C2076" t="s">
        <v>988</v>
      </c>
      <c r="D2076" t="s">
        <v>308</v>
      </c>
      <c r="E2076" t="s">
        <v>629</v>
      </c>
      <c r="F2076" t="s">
        <v>633</v>
      </c>
      <c r="G2076" t="s">
        <v>2691</v>
      </c>
      <c r="M2076">
        <v>44</v>
      </c>
      <c r="N2076">
        <v>247</v>
      </c>
      <c r="O2076">
        <v>593</v>
      </c>
      <c r="P2076">
        <v>613</v>
      </c>
      <c r="R2076">
        <v>916</v>
      </c>
      <c r="S2076">
        <v>1152</v>
      </c>
      <c r="T2076">
        <v>898</v>
      </c>
      <c r="U2076">
        <v>840</v>
      </c>
      <c r="V2076">
        <v>394</v>
      </c>
      <c r="W2076">
        <v>393</v>
      </c>
      <c r="X2076">
        <v>36</v>
      </c>
      <c r="Y2076">
        <v>86</v>
      </c>
      <c r="Z2076">
        <v>12</v>
      </c>
      <c r="AA2076">
        <v>44</v>
      </c>
      <c r="CH2076" t="str">
        <f t="shared" si="32"/>
        <v>D-0454</v>
      </c>
      <c r="CI2076" s="1" t="s">
        <v>102</v>
      </c>
    </row>
    <row r="2077" spans="1:87">
      <c r="A2077" t="s">
        <v>3239</v>
      </c>
      <c r="B2077">
        <v>1006</v>
      </c>
      <c r="C2077" t="s">
        <v>988</v>
      </c>
      <c r="D2077" t="s">
        <v>308</v>
      </c>
      <c r="E2077" t="s">
        <v>629</v>
      </c>
      <c r="F2077" t="s">
        <v>633</v>
      </c>
      <c r="G2077" t="s">
        <v>2691</v>
      </c>
      <c r="Q2077">
        <v>1006</v>
      </c>
      <c r="CH2077" t="str">
        <f t="shared" si="32"/>
        <v>D-0454</v>
      </c>
      <c r="CI2077" s="1" t="s">
        <v>102</v>
      </c>
    </row>
    <row r="2078" spans="1:87">
      <c r="A2078" t="s">
        <v>3240</v>
      </c>
      <c r="B2078">
        <v>8410</v>
      </c>
      <c r="C2078" t="s">
        <v>993</v>
      </c>
      <c r="D2078" t="s">
        <v>308</v>
      </c>
      <c r="E2078" t="s">
        <v>629</v>
      </c>
      <c r="F2078" t="s">
        <v>633</v>
      </c>
      <c r="G2078" t="s">
        <v>3241</v>
      </c>
      <c r="M2078">
        <v>101</v>
      </c>
      <c r="N2078">
        <v>90</v>
      </c>
      <c r="O2078">
        <v>612</v>
      </c>
      <c r="P2078">
        <v>447</v>
      </c>
      <c r="Q2078">
        <v>1176</v>
      </c>
      <c r="R2078">
        <v>857</v>
      </c>
      <c r="S2078">
        <v>1478</v>
      </c>
      <c r="T2078">
        <v>893</v>
      </c>
      <c r="U2078">
        <v>1157</v>
      </c>
      <c r="V2078">
        <v>568</v>
      </c>
      <c r="W2078">
        <v>709</v>
      </c>
      <c r="X2078">
        <v>51</v>
      </c>
      <c r="Y2078">
        <v>266</v>
      </c>
      <c r="Z2078">
        <v>1</v>
      </c>
      <c r="AA2078">
        <v>4</v>
      </c>
      <c r="CH2078" t="str">
        <f t="shared" si="32"/>
        <v>D-0454</v>
      </c>
      <c r="CI2078" s="1" t="s">
        <v>102</v>
      </c>
    </row>
    <row r="2079" spans="1:87">
      <c r="A2079" t="s">
        <v>3242</v>
      </c>
      <c r="B2079">
        <v>5403</v>
      </c>
      <c r="C2079" t="s">
        <v>1188</v>
      </c>
      <c r="D2079" t="s">
        <v>308</v>
      </c>
      <c r="E2079" t="s">
        <v>629</v>
      </c>
      <c r="F2079" t="s">
        <v>633</v>
      </c>
      <c r="G2079" t="s">
        <v>3243</v>
      </c>
      <c r="M2079">
        <v>36</v>
      </c>
      <c r="N2079">
        <v>6</v>
      </c>
      <c r="O2079">
        <v>454</v>
      </c>
      <c r="P2079">
        <v>300</v>
      </c>
      <c r="Q2079">
        <v>855</v>
      </c>
      <c r="R2079">
        <v>522</v>
      </c>
      <c r="S2079">
        <v>1025</v>
      </c>
      <c r="T2079">
        <v>529</v>
      </c>
      <c r="U2079">
        <v>808</v>
      </c>
      <c r="V2079">
        <v>229</v>
      </c>
      <c r="W2079">
        <v>431</v>
      </c>
      <c r="X2079">
        <v>5</v>
      </c>
      <c r="Y2079">
        <v>201</v>
      </c>
      <c r="Z2079">
        <v>1</v>
      </c>
      <c r="AA2079">
        <v>1</v>
      </c>
      <c r="CH2079" t="str">
        <f t="shared" si="32"/>
        <v>D-0454</v>
      </c>
      <c r="CI2079" s="1" t="s">
        <v>102</v>
      </c>
    </row>
    <row r="2080" spans="1:87">
      <c r="A2080" t="s">
        <v>3244</v>
      </c>
      <c r="B2080">
        <v>3147</v>
      </c>
      <c r="C2080" t="s">
        <v>1208</v>
      </c>
      <c r="D2080" t="s">
        <v>308</v>
      </c>
      <c r="E2080" t="s">
        <v>629</v>
      </c>
      <c r="F2080" t="s">
        <v>633</v>
      </c>
      <c r="G2080" t="s">
        <v>3245</v>
      </c>
      <c r="M2080">
        <v>53</v>
      </c>
      <c r="N2080">
        <v>60</v>
      </c>
      <c r="O2080">
        <v>184</v>
      </c>
      <c r="P2080">
        <v>218</v>
      </c>
      <c r="Q2080">
        <v>390</v>
      </c>
      <c r="R2080">
        <v>419</v>
      </c>
      <c r="S2080">
        <v>494</v>
      </c>
      <c r="T2080">
        <v>397</v>
      </c>
      <c r="U2080">
        <v>369</v>
      </c>
      <c r="V2080">
        <v>212</v>
      </c>
      <c r="W2080">
        <v>193</v>
      </c>
      <c r="X2080">
        <v>49</v>
      </c>
      <c r="Y2080">
        <v>68</v>
      </c>
      <c r="Z2080">
        <v>21</v>
      </c>
      <c r="AA2080">
        <v>20</v>
      </c>
      <c r="CH2080" t="str">
        <f t="shared" si="32"/>
        <v>D-0454</v>
      </c>
      <c r="CI2080" s="1" t="s">
        <v>102</v>
      </c>
    </row>
    <row r="2081" spans="1:87">
      <c r="A2081" t="s">
        <v>3249</v>
      </c>
      <c r="B2081">
        <v>7309</v>
      </c>
      <c r="C2081" t="s">
        <v>715</v>
      </c>
      <c r="D2081" t="s">
        <v>308</v>
      </c>
      <c r="E2081" t="s">
        <v>629</v>
      </c>
      <c r="F2081" t="s">
        <v>633</v>
      </c>
      <c r="G2081" t="s">
        <v>2286</v>
      </c>
      <c r="S2081">
        <v>18</v>
      </c>
      <c r="T2081">
        <v>341</v>
      </c>
      <c r="U2081">
        <v>416</v>
      </c>
      <c r="V2081">
        <v>710</v>
      </c>
      <c r="W2081">
        <v>730</v>
      </c>
      <c r="X2081">
        <v>764</v>
      </c>
      <c r="Y2081">
        <v>757</v>
      </c>
      <c r="Z2081">
        <v>752</v>
      </c>
      <c r="AA2081">
        <v>696</v>
      </c>
      <c r="AB2081">
        <v>639</v>
      </c>
      <c r="AC2081">
        <v>454</v>
      </c>
      <c r="AD2081">
        <v>555</v>
      </c>
      <c r="AF2081">
        <v>435</v>
      </c>
      <c r="AH2081">
        <v>30</v>
      </c>
      <c r="AJ2081">
        <v>12</v>
      </c>
      <c r="CH2081" t="str">
        <f t="shared" si="32"/>
        <v>D-0454</v>
      </c>
      <c r="CI2081" s="1" t="s">
        <v>102</v>
      </c>
    </row>
    <row r="2082" spans="1:87">
      <c r="A2082" t="s">
        <v>3250</v>
      </c>
      <c r="B2082">
        <v>4157</v>
      </c>
      <c r="C2082" t="s">
        <v>3251</v>
      </c>
      <c r="D2082" t="s">
        <v>308</v>
      </c>
      <c r="E2082" t="s">
        <v>629</v>
      </c>
      <c r="F2082" t="s">
        <v>633</v>
      </c>
      <c r="G2082" t="s">
        <v>3252</v>
      </c>
      <c r="R2082">
        <v>6</v>
      </c>
      <c r="S2082">
        <v>6</v>
      </c>
      <c r="T2082">
        <v>18</v>
      </c>
      <c r="U2082">
        <v>18</v>
      </c>
      <c r="V2082">
        <v>337</v>
      </c>
      <c r="W2082">
        <v>343</v>
      </c>
      <c r="X2082">
        <v>336</v>
      </c>
      <c r="Y2082">
        <v>349</v>
      </c>
      <c r="Z2082">
        <v>668</v>
      </c>
      <c r="AA2082">
        <v>662</v>
      </c>
      <c r="AB2082">
        <v>367</v>
      </c>
      <c r="AC2082">
        <v>343</v>
      </c>
      <c r="AD2082">
        <v>343</v>
      </c>
      <c r="AF2082">
        <v>343</v>
      </c>
      <c r="AH2082">
        <v>12</v>
      </c>
      <c r="AJ2082">
        <v>6</v>
      </c>
      <c r="CH2082" t="str">
        <f t="shared" si="32"/>
        <v>D-0454</v>
      </c>
      <c r="CI2082" s="1" t="s">
        <v>102</v>
      </c>
    </row>
    <row r="2083" spans="1:87">
      <c r="A2083" t="s">
        <v>3253</v>
      </c>
      <c r="B2083">
        <v>3662</v>
      </c>
      <c r="C2083" t="s">
        <v>1187</v>
      </c>
      <c r="D2083" t="s">
        <v>308</v>
      </c>
      <c r="E2083" t="s">
        <v>629</v>
      </c>
      <c r="F2083" t="s">
        <v>633</v>
      </c>
      <c r="G2083" t="s">
        <v>3254</v>
      </c>
      <c r="T2083">
        <v>258</v>
      </c>
      <c r="U2083">
        <v>252</v>
      </c>
      <c r="V2083">
        <v>319</v>
      </c>
      <c r="W2083">
        <v>330</v>
      </c>
      <c r="X2083">
        <v>368</v>
      </c>
      <c r="Y2083">
        <v>381</v>
      </c>
      <c r="Z2083">
        <v>377</v>
      </c>
      <c r="AA2083">
        <v>382</v>
      </c>
      <c r="AB2083">
        <v>320</v>
      </c>
      <c r="AC2083">
        <v>213</v>
      </c>
      <c r="AD2083">
        <v>268</v>
      </c>
      <c r="AF2083">
        <v>194</v>
      </c>
      <c r="CH2083" t="str">
        <f t="shared" si="32"/>
        <v>D-0454</v>
      </c>
      <c r="CI2083" s="1" t="s">
        <v>102</v>
      </c>
    </row>
    <row r="2084" spans="1:87">
      <c r="A2084" t="s">
        <v>3255</v>
      </c>
      <c r="B2084">
        <v>4153</v>
      </c>
      <c r="C2084" t="s">
        <v>1186</v>
      </c>
      <c r="D2084" t="s">
        <v>308</v>
      </c>
      <c r="E2084" t="s">
        <v>629</v>
      </c>
      <c r="F2084" t="s">
        <v>633</v>
      </c>
      <c r="G2084" t="s">
        <v>3256</v>
      </c>
      <c r="T2084">
        <v>224</v>
      </c>
      <c r="U2084">
        <v>250</v>
      </c>
      <c r="V2084">
        <v>445</v>
      </c>
      <c r="W2084">
        <v>404</v>
      </c>
      <c r="X2084">
        <v>452</v>
      </c>
      <c r="Y2084">
        <v>481</v>
      </c>
      <c r="Z2084">
        <v>509</v>
      </c>
      <c r="AA2084">
        <v>415</v>
      </c>
      <c r="AB2084">
        <v>382</v>
      </c>
      <c r="AC2084">
        <v>200</v>
      </c>
      <c r="AD2084">
        <v>117</v>
      </c>
      <c r="AF2084">
        <v>214</v>
      </c>
      <c r="AH2084">
        <v>60</v>
      </c>
      <c r="CH2084" t="str">
        <f t="shared" si="32"/>
        <v>D-0454</v>
      </c>
      <c r="CI2084" s="1" t="s">
        <v>102</v>
      </c>
    </row>
    <row r="2085" spans="1:87">
      <c r="A2085" t="s">
        <v>3259</v>
      </c>
      <c r="B2085">
        <v>5401</v>
      </c>
      <c r="C2085" t="s">
        <v>727</v>
      </c>
      <c r="D2085" t="s">
        <v>505</v>
      </c>
      <c r="E2085" t="s">
        <v>629</v>
      </c>
      <c r="F2085" t="s">
        <v>657</v>
      </c>
      <c r="G2085" t="s">
        <v>728</v>
      </c>
      <c r="T2085">
        <v>240</v>
      </c>
      <c r="U2085">
        <v>40</v>
      </c>
      <c r="V2085">
        <v>481</v>
      </c>
      <c r="W2085">
        <v>240</v>
      </c>
      <c r="X2085">
        <v>806</v>
      </c>
      <c r="Y2085">
        <v>324</v>
      </c>
      <c r="Z2085">
        <v>1020</v>
      </c>
      <c r="AA2085">
        <v>300</v>
      </c>
      <c r="AB2085">
        <v>840</v>
      </c>
      <c r="AC2085">
        <v>240</v>
      </c>
      <c r="AD2085">
        <v>540</v>
      </c>
      <c r="AE2085">
        <v>30</v>
      </c>
      <c r="AF2085">
        <v>240</v>
      </c>
      <c r="AH2085">
        <v>60</v>
      </c>
      <c r="CH2085" t="str">
        <f t="shared" si="32"/>
        <v>QMR-2</v>
      </c>
      <c r="CI2085" s="1" t="s">
        <v>102</v>
      </c>
    </row>
    <row r="2086" spans="1:87">
      <c r="A2086" t="s">
        <v>3260</v>
      </c>
      <c r="B2086">
        <v>4783</v>
      </c>
      <c r="C2086" t="s">
        <v>727</v>
      </c>
      <c r="D2086" t="s">
        <v>505</v>
      </c>
      <c r="E2086" t="s">
        <v>629</v>
      </c>
      <c r="F2086" t="s">
        <v>657</v>
      </c>
      <c r="G2086" t="s">
        <v>728</v>
      </c>
      <c r="V2086">
        <v>445</v>
      </c>
      <c r="W2086">
        <v>240</v>
      </c>
      <c r="X2086">
        <v>794</v>
      </c>
      <c r="Y2086">
        <v>300</v>
      </c>
      <c r="Z2086">
        <v>1020</v>
      </c>
      <c r="AA2086">
        <v>300</v>
      </c>
      <c r="AB2086">
        <v>804</v>
      </c>
      <c r="AC2086">
        <v>220</v>
      </c>
      <c r="AD2086">
        <v>480</v>
      </c>
      <c r="AF2086">
        <v>180</v>
      </c>
      <c r="CH2086" t="str">
        <f t="shared" si="32"/>
        <v>QMR-2</v>
      </c>
      <c r="CI2086" s="1" t="s">
        <v>102</v>
      </c>
    </row>
    <row r="2087" spans="1:87">
      <c r="A2087" t="s">
        <v>3261</v>
      </c>
      <c r="B2087">
        <v>3146</v>
      </c>
      <c r="C2087" t="s">
        <v>727</v>
      </c>
      <c r="D2087" t="s">
        <v>505</v>
      </c>
      <c r="E2087" t="s">
        <v>629</v>
      </c>
      <c r="F2087" t="s">
        <v>657</v>
      </c>
      <c r="G2087" t="s">
        <v>728</v>
      </c>
      <c r="V2087">
        <v>297</v>
      </c>
      <c r="X2087">
        <v>667</v>
      </c>
      <c r="Y2087">
        <v>186</v>
      </c>
      <c r="Z2087">
        <v>860</v>
      </c>
      <c r="AA2087">
        <v>140</v>
      </c>
      <c r="AB2087">
        <v>656</v>
      </c>
      <c r="AD2087">
        <v>340</v>
      </c>
      <c r="CH2087" t="str">
        <f t="shared" si="32"/>
        <v>QMR-2</v>
      </c>
      <c r="CI2087" s="1" t="s">
        <v>102</v>
      </c>
    </row>
    <row r="2088" spans="1:87">
      <c r="A2088" t="s">
        <v>3262</v>
      </c>
      <c r="B2088">
        <v>5367</v>
      </c>
      <c r="C2088" t="s">
        <v>727</v>
      </c>
      <c r="D2088" t="s">
        <v>505</v>
      </c>
      <c r="E2088" t="s">
        <v>629</v>
      </c>
      <c r="F2088" t="s">
        <v>657</v>
      </c>
      <c r="G2088" t="s">
        <v>728</v>
      </c>
      <c r="T2088">
        <v>240</v>
      </c>
      <c r="U2088">
        <v>60</v>
      </c>
      <c r="V2088">
        <v>481</v>
      </c>
      <c r="W2088">
        <v>300</v>
      </c>
      <c r="X2088">
        <v>782</v>
      </c>
      <c r="Y2088">
        <v>384</v>
      </c>
      <c r="Z2088">
        <v>960</v>
      </c>
      <c r="AA2088">
        <v>300</v>
      </c>
      <c r="AB2088">
        <v>780</v>
      </c>
      <c r="AC2088">
        <v>240</v>
      </c>
      <c r="AD2088">
        <v>480</v>
      </c>
      <c r="AE2088">
        <v>40</v>
      </c>
      <c r="AF2088">
        <v>240</v>
      </c>
      <c r="AH2088">
        <v>80</v>
      </c>
      <c r="CH2088" t="str">
        <f t="shared" si="32"/>
        <v>QMR-2</v>
      </c>
      <c r="CI2088" s="1" t="s">
        <v>102</v>
      </c>
    </row>
    <row r="2089" spans="1:87">
      <c r="A2089" t="s">
        <v>3263</v>
      </c>
      <c r="B2089">
        <v>4865</v>
      </c>
      <c r="C2089" t="s">
        <v>727</v>
      </c>
      <c r="D2089" t="s">
        <v>505</v>
      </c>
      <c r="E2089" t="s">
        <v>629</v>
      </c>
      <c r="F2089" t="s">
        <v>657</v>
      </c>
      <c r="G2089" t="s">
        <v>728</v>
      </c>
      <c r="T2089">
        <v>110</v>
      </c>
      <c r="V2089">
        <v>481</v>
      </c>
      <c r="W2089">
        <v>240</v>
      </c>
      <c r="X2089">
        <v>734</v>
      </c>
      <c r="Y2089">
        <v>372</v>
      </c>
      <c r="Z2089">
        <v>960</v>
      </c>
      <c r="AA2089">
        <v>300</v>
      </c>
      <c r="AB2089">
        <v>744</v>
      </c>
      <c r="AC2089">
        <v>240</v>
      </c>
      <c r="AD2089">
        <v>480</v>
      </c>
      <c r="AF2089">
        <v>204</v>
      </c>
      <c r="CH2089" t="str">
        <f t="shared" si="32"/>
        <v>QMR-2</v>
      </c>
      <c r="CI2089" s="1" t="s">
        <v>102</v>
      </c>
    </row>
    <row r="2090" spans="1:87">
      <c r="A2090" t="s">
        <v>3264</v>
      </c>
      <c r="B2090">
        <v>4165</v>
      </c>
      <c r="C2090" t="s">
        <v>727</v>
      </c>
      <c r="D2090" t="s">
        <v>505</v>
      </c>
      <c r="E2090" t="s">
        <v>629</v>
      </c>
      <c r="F2090" t="s">
        <v>657</v>
      </c>
      <c r="G2090" t="s">
        <v>728</v>
      </c>
      <c r="V2090">
        <v>421</v>
      </c>
      <c r="W2090">
        <v>204</v>
      </c>
      <c r="X2090">
        <v>722</v>
      </c>
      <c r="Y2090">
        <v>360</v>
      </c>
      <c r="Z2090">
        <v>900</v>
      </c>
      <c r="AA2090">
        <v>240</v>
      </c>
      <c r="AB2090">
        <v>720</v>
      </c>
      <c r="AC2090">
        <v>90</v>
      </c>
      <c r="AD2090">
        <v>432</v>
      </c>
      <c r="AF2090">
        <v>76</v>
      </c>
      <c r="CH2090" t="str">
        <f t="shared" si="32"/>
        <v>QMR-2</v>
      </c>
      <c r="CI2090" s="1" t="s">
        <v>102</v>
      </c>
    </row>
    <row r="2091" spans="1:87">
      <c r="A2091" t="s">
        <v>3265</v>
      </c>
      <c r="B2091">
        <v>3015</v>
      </c>
      <c r="C2091" t="s">
        <v>727</v>
      </c>
      <c r="D2091" t="s">
        <v>505</v>
      </c>
      <c r="E2091" t="s">
        <v>629</v>
      </c>
      <c r="F2091" t="s">
        <v>657</v>
      </c>
      <c r="G2091" t="s">
        <v>728</v>
      </c>
      <c r="V2091">
        <v>281</v>
      </c>
      <c r="W2091">
        <v>86</v>
      </c>
      <c r="X2091">
        <v>600</v>
      </c>
      <c r="Y2091">
        <v>234</v>
      </c>
      <c r="Z2091">
        <v>790</v>
      </c>
      <c r="AA2091">
        <v>120</v>
      </c>
      <c r="AB2091">
        <v>596</v>
      </c>
      <c r="AD2091">
        <v>308</v>
      </c>
      <c r="CH2091" t="str">
        <f t="shared" si="32"/>
        <v>QMR-2</v>
      </c>
      <c r="CI2091" s="1" t="s">
        <v>102</v>
      </c>
    </row>
    <row r="2092" spans="1:87">
      <c r="A2092" t="s">
        <v>3266</v>
      </c>
      <c r="B2092">
        <v>3332</v>
      </c>
      <c r="C2092" t="s">
        <v>3267</v>
      </c>
      <c r="D2092" t="s">
        <v>291</v>
      </c>
      <c r="E2092" t="s">
        <v>629</v>
      </c>
      <c r="F2092" t="s">
        <v>661</v>
      </c>
      <c r="G2092" t="s">
        <v>2816</v>
      </c>
      <c r="R2092">
        <v>42</v>
      </c>
      <c r="S2092">
        <v>68</v>
      </c>
      <c r="T2092">
        <v>98</v>
      </c>
      <c r="U2092">
        <v>122</v>
      </c>
      <c r="V2092">
        <v>217</v>
      </c>
      <c r="W2092">
        <v>261</v>
      </c>
      <c r="X2092">
        <v>317</v>
      </c>
      <c r="Y2092">
        <v>373</v>
      </c>
      <c r="Z2092">
        <v>348</v>
      </c>
      <c r="AA2092">
        <v>297</v>
      </c>
      <c r="AB2092">
        <v>323</v>
      </c>
      <c r="AC2092">
        <v>203</v>
      </c>
      <c r="AD2092">
        <v>265</v>
      </c>
      <c r="AE2092">
        <v>72</v>
      </c>
      <c r="AF2092">
        <v>189</v>
      </c>
      <c r="AH2092">
        <v>94</v>
      </c>
      <c r="AJ2092">
        <v>43</v>
      </c>
      <c r="CH2092" t="str">
        <f t="shared" si="32"/>
        <v>D-0419</v>
      </c>
      <c r="CI2092" s="1" t="s">
        <v>102</v>
      </c>
    </row>
    <row r="2093" spans="1:87">
      <c r="A2093" t="s">
        <v>3268</v>
      </c>
      <c r="B2093">
        <v>12</v>
      </c>
      <c r="C2093" t="s">
        <v>3267</v>
      </c>
      <c r="D2093" t="s">
        <v>291</v>
      </c>
      <c r="E2093" t="s">
        <v>629</v>
      </c>
      <c r="F2093" t="s">
        <v>661</v>
      </c>
      <c r="G2093" t="s">
        <v>2816</v>
      </c>
      <c r="AA2093">
        <v>12</v>
      </c>
      <c r="CH2093" t="str">
        <f t="shared" si="32"/>
        <v>D-0419</v>
      </c>
      <c r="CI2093" s="1" t="s">
        <v>102</v>
      </c>
    </row>
    <row r="2094" spans="1:87">
      <c r="A2094" t="s">
        <v>3269</v>
      </c>
      <c r="B2094">
        <v>2580</v>
      </c>
      <c r="C2094" t="s">
        <v>1203</v>
      </c>
      <c r="D2094" t="s">
        <v>291</v>
      </c>
      <c r="E2094" t="s">
        <v>629</v>
      </c>
      <c r="F2094" t="s">
        <v>661</v>
      </c>
      <c r="G2094" t="s">
        <v>3270</v>
      </c>
      <c r="R2094">
        <v>2</v>
      </c>
      <c r="T2094">
        <v>349</v>
      </c>
      <c r="V2094">
        <v>545</v>
      </c>
      <c r="W2094">
        <v>89</v>
      </c>
      <c r="X2094">
        <v>607</v>
      </c>
      <c r="Y2094">
        <v>89</v>
      </c>
      <c r="Z2094">
        <v>386</v>
      </c>
      <c r="AA2094">
        <v>89</v>
      </c>
      <c r="AB2094">
        <v>186</v>
      </c>
      <c r="AC2094">
        <v>89</v>
      </c>
      <c r="AD2094">
        <v>148</v>
      </c>
      <c r="AF2094">
        <v>1</v>
      </c>
      <c r="CH2094" t="str">
        <f t="shared" si="32"/>
        <v>D-0419</v>
      </c>
      <c r="CI2094" s="1" t="s">
        <v>102</v>
      </c>
    </row>
    <row r="2095" spans="1:87">
      <c r="A2095" t="s">
        <v>3271</v>
      </c>
      <c r="B2095">
        <v>354</v>
      </c>
      <c r="C2095" t="s">
        <v>1203</v>
      </c>
      <c r="D2095" t="s">
        <v>291</v>
      </c>
      <c r="E2095" t="s">
        <v>629</v>
      </c>
      <c r="F2095" t="s">
        <v>661</v>
      </c>
      <c r="G2095" t="s">
        <v>3270</v>
      </c>
      <c r="T2095">
        <v>42</v>
      </c>
      <c r="V2095">
        <v>72</v>
      </c>
      <c r="W2095">
        <v>12</v>
      </c>
      <c r="X2095">
        <v>78</v>
      </c>
      <c r="Y2095">
        <v>12</v>
      </c>
      <c r="Z2095">
        <v>66</v>
      </c>
      <c r="AA2095">
        <v>6</v>
      </c>
      <c r="AB2095">
        <v>48</v>
      </c>
      <c r="AD2095">
        <v>18</v>
      </c>
      <c r="CH2095" t="str">
        <f t="shared" si="32"/>
        <v>D-0419</v>
      </c>
      <c r="CI2095" s="1" t="s">
        <v>102</v>
      </c>
    </row>
    <row r="2096" spans="1:87">
      <c r="A2096" t="s">
        <v>3272</v>
      </c>
      <c r="B2096">
        <v>1036</v>
      </c>
      <c r="C2096" t="s">
        <v>1203</v>
      </c>
      <c r="D2096" t="s">
        <v>291</v>
      </c>
      <c r="E2096" t="s">
        <v>629</v>
      </c>
      <c r="F2096" t="s">
        <v>661</v>
      </c>
      <c r="G2096" t="s">
        <v>3270</v>
      </c>
      <c r="S2096">
        <v>6</v>
      </c>
      <c r="T2096">
        <v>37</v>
      </c>
      <c r="U2096">
        <v>34</v>
      </c>
      <c r="V2096">
        <v>114</v>
      </c>
      <c r="W2096">
        <v>141</v>
      </c>
      <c r="X2096">
        <v>141</v>
      </c>
      <c r="Y2096">
        <v>185</v>
      </c>
      <c r="Z2096">
        <v>151</v>
      </c>
      <c r="AA2096">
        <v>56</v>
      </c>
      <c r="AB2096">
        <v>82</v>
      </c>
      <c r="AC2096">
        <v>33</v>
      </c>
      <c r="AD2096">
        <v>42</v>
      </c>
      <c r="AE2096">
        <v>6</v>
      </c>
      <c r="AF2096">
        <v>7</v>
      </c>
      <c r="AH2096">
        <v>1</v>
      </c>
      <c r="CH2096" t="str">
        <f t="shared" si="32"/>
        <v>D-0419</v>
      </c>
      <c r="CI2096" s="1" t="s">
        <v>102</v>
      </c>
    </row>
    <row r="2097" spans="1:87">
      <c r="A2097" t="s">
        <v>3273</v>
      </c>
      <c r="B2097">
        <v>495</v>
      </c>
      <c r="C2097" t="s">
        <v>1203</v>
      </c>
      <c r="D2097" t="s">
        <v>291</v>
      </c>
      <c r="E2097" t="s">
        <v>629</v>
      </c>
      <c r="F2097" t="s">
        <v>661</v>
      </c>
      <c r="G2097" t="s">
        <v>3270</v>
      </c>
      <c r="S2097">
        <v>3</v>
      </c>
      <c r="T2097">
        <v>12</v>
      </c>
      <c r="U2097">
        <v>13</v>
      </c>
      <c r="V2097">
        <v>57</v>
      </c>
      <c r="W2097">
        <v>40</v>
      </c>
      <c r="X2097">
        <v>85</v>
      </c>
      <c r="Y2097">
        <v>60</v>
      </c>
      <c r="Z2097">
        <v>82</v>
      </c>
      <c r="AA2097">
        <v>32</v>
      </c>
      <c r="AB2097">
        <v>57</v>
      </c>
      <c r="AC2097">
        <v>10</v>
      </c>
      <c r="AD2097">
        <v>36</v>
      </c>
      <c r="AE2097">
        <v>7</v>
      </c>
      <c r="AF2097">
        <v>1</v>
      </c>
      <c r="CH2097" t="str">
        <f t="shared" si="32"/>
        <v>D-0419</v>
      </c>
      <c r="CI2097" s="1" t="s">
        <v>102</v>
      </c>
    </row>
    <row r="2098" spans="1:87">
      <c r="A2098" t="s">
        <v>3274</v>
      </c>
      <c r="B2098">
        <v>1</v>
      </c>
      <c r="C2098" t="s">
        <v>1203</v>
      </c>
      <c r="D2098" t="s">
        <v>291</v>
      </c>
      <c r="E2098" t="s">
        <v>629</v>
      </c>
      <c r="F2098" t="s">
        <v>661</v>
      </c>
      <c r="G2098" t="s">
        <v>3270</v>
      </c>
      <c r="AB2098">
        <v>1</v>
      </c>
      <c r="CH2098" t="str">
        <f t="shared" si="32"/>
        <v>D-0419</v>
      </c>
      <c r="CI2098" s="1" t="s">
        <v>102</v>
      </c>
    </row>
    <row r="2099" spans="1:87">
      <c r="A2099" t="s">
        <v>3275</v>
      </c>
      <c r="B2099">
        <v>3953</v>
      </c>
      <c r="C2099" t="s">
        <v>1200</v>
      </c>
      <c r="D2099" t="s">
        <v>291</v>
      </c>
      <c r="E2099" t="s">
        <v>629</v>
      </c>
      <c r="F2099" t="s">
        <v>661</v>
      </c>
      <c r="G2099" t="s">
        <v>2816</v>
      </c>
      <c r="T2099">
        <v>109</v>
      </c>
      <c r="U2099">
        <v>115</v>
      </c>
      <c r="V2099">
        <v>265</v>
      </c>
      <c r="W2099">
        <v>299</v>
      </c>
      <c r="X2099">
        <v>424</v>
      </c>
      <c r="Y2099">
        <v>433</v>
      </c>
      <c r="Z2099">
        <v>512</v>
      </c>
      <c r="AA2099">
        <v>401</v>
      </c>
      <c r="AB2099">
        <v>449</v>
      </c>
      <c r="AC2099">
        <v>249</v>
      </c>
      <c r="AD2099">
        <v>334</v>
      </c>
      <c r="AE2099">
        <v>76</v>
      </c>
      <c r="AF2099">
        <v>208</v>
      </c>
      <c r="AH2099">
        <v>79</v>
      </c>
      <c r="CH2099" t="str">
        <f t="shared" si="32"/>
        <v>D-0419</v>
      </c>
      <c r="CI2099" s="1" t="s">
        <v>102</v>
      </c>
    </row>
    <row r="2100" spans="1:87">
      <c r="A2100" t="s">
        <v>3276</v>
      </c>
      <c r="B2100">
        <v>123</v>
      </c>
      <c r="C2100" t="s">
        <v>1200</v>
      </c>
      <c r="D2100" t="s">
        <v>291</v>
      </c>
      <c r="E2100" t="s">
        <v>629</v>
      </c>
      <c r="F2100" t="s">
        <v>661</v>
      </c>
      <c r="G2100" t="s">
        <v>2816</v>
      </c>
      <c r="R2100">
        <v>35</v>
      </c>
      <c r="S2100">
        <v>51</v>
      </c>
      <c r="AJ2100">
        <v>37</v>
      </c>
      <c r="CH2100" t="str">
        <f t="shared" si="32"/>
        <v>D-0419</v>
      </c>
      <c r="CI2100" s="1" t="s">
        <v>102</v>
      </c>
    </row>
    <row r="2101" spans="1:87">
      <c r="A2101" t="s">
        <v>3277</v>
      </c>
      <c r="B2101">
        <v>521</v>
      </c>
      <c r="C2101" t="s">
        <v>1200</v>
      </c>
      <c r="D2101" t="s">
        <v>291</v>
      </c>
      <c r="E2101" t="s">
        <v>629</v>
      </c>
      <c r="F2101" t="s">
        <v>661</v>
      </c>
      <c r="G2101" t="s">
        <v>2816</v>
      </c>
      <c r="S2101">
        <v>2</v>
      </c>
      <c r="T2101">
        <v>19</v>
      </c>
      <c r="U2101">
        <v>8</v>
      </c>
      <c r="V2101">
        <v>56</v>
      </c>
      <c r="W2101">
        <v>51</v>
      </c>
      <c r="X2101">
        <v>79</v>
      </c>
      <c r="Y2101">
        <v>74</v>
      </c>
      <c r="Z2101">
        <v>84</v>
      </c>
      <c r="AA2101">
        <v>23</v>
      </c>
      <c r="AB2101">
        <v>68</v>
      </c>
      <c r="AC2101">
        <v>23</v>
      </c>
      <c r="AD2101">
        <v>28</v>
      </c>
      <c r="AE2101">
        <v>1</v>
      </c>
      <c r="AF2101">
        <v>5</v>
      </c>
      <c r="CH2101" t="str">
        <f t="shared" si="32"/>
        <v>D-0419</v>
      </c>
      <c r="CI2101" s="1" t="s">
        <v>102</v>
      </c>
    </row>
    <row r="2102" spans="1:87">
      <c r="A2102" t="s">
        <v>3278</v>
      </c>
      <c r="B2102">
        <v>200</v>
      </c>
      <c r="C2102" t="s">
        <v>1200</v>
      </c>
      <c r="D2102" t="s">
        <v>291</v>
      </c>
      <c r="E2102" t="s">
        <v>629</v>
      </c>
      <c r="F2102" t="s">
        <v>661</v>
      </c>
      <c r="G2102" t="s">
        <v>2816</v>
      </c>
      <c r="U2102">
        <v>11</v>
      </c>
      <c r="V2102">
        <v>13</v>
      </c>
      <c r="W2102">
        <v>14</v>
      </c>
      <c r="X2102">
        <v>18</v>
      </c>
      <c r="Y2102">
        <v>19</v>
      </c>
      <c r="Z2102">
        <v>21</v>
      </c>
      <c r="AA2102">
        <v>24</v>
      </c>
      <c r="AB2102">
        <v>23</v>
      </c>
      <c r="AC2102">
        <v>15</v>
      </c>
      <c r="AD2102">
        <v>20</v>
      </c>
      <c r="AF2102">
        <v>15</v>
      </c>
      <c r="AH2102">
        <v>7</v>
      </c>
      <c r="CH2102" t="str">
        <f t="shared" si="32"/>
        <v>D-0419</v>
      </c>
      <c r="CI2102" s="1" t="s">
        <v>102</v>
      </c>
    </row>
    <row r="2103" spans="1:87">
      <c r="A2103" t="s">
        <v>3279</v>
      </c>
      <c r="B2103">
        <v>1</v>
      </c>
      <c r="C2103" t="s">
        <v>1200</v>
      </c>
      <c r="D2103" t="s">
        <v>291</v>
      </c>
      <c r="E2103" t="s">
        <v>629</v>
      </c>
      <c r="F2103" t="s">
        <v>661</v>
      </c>
      <c r="G2103" t="s">
        <v>2816</v>
      </c>
      <c r="AB2103">
        <v>1</v>
      </c>
      <c r="CH2103" t="str">
        <f t="shared" si="32"/>
        <v>D-0419</v>
      </c>
      <c r="CI2103" s="1" t="s">
        <v>102</v>
      </c>
    </row>
    <row r="2104" spans="1:87">
      <c r="A2104" t="s">
        <v>3280</v>
      </c>
      <c r="B2104">
        <v>2196</v>
      </c>
      <c r="C2104" t="s">
        <v>1202</v>
      </c>
      <c r="D2104" t="s">
        <v>291</v>
      </c>
      <c r="E2104" t="s">
        <v>629</v>
      </c>
      <c r="F2104" t="s">
        <v>661</v>
      </c>
      <c r="G2104" t="s">
        <v>2557</v>
      </c>
      <c r="R2104">
        <v>25</v>
      </c>
      <c r="T2104">
        <v>115</v>
      </c>
      <c r="U2104">
        <v>63</v>
      </c>
      <c r="V2104">
        <v>196</v>
      </c>
      <c r="W2104">
        <v>234</v>
      </c>
      <c r="X2104">
        <v>247</v>
      </c>
      <c r="Y2104">
        <v>285</v>
      </c>
      <c r="Z2104">
        <v>273</v>
      </c>
      <c r="AA2104">
        <v>157</v>
      </c>
      <c r="AB2104">
        <v>224</v>
      </c>
      <c r="AC2104">
        <v>91</v>
      </c>
      <c r="AD2104">
        <v>148</v>
      </c>
      <c r="AE2104">
        <v>33</v>
      </c>
      <c r="AF2104">
        <v>74</v>
      </c>
      <c r="AH2104">
        <v>31</v>
      </c>
      <c r="CH2104" t="str">
        <f t="shared" si="32"/>
        <v>D-0419</v>
      </c>
      <c r="CI2104" s="1" t="s">
        <v>102</v>
      </c>
    </row>
    <row r="2105" spans="1:87">
      <c r="A2105" t="s">
        <v>3281</v>
      </c>
      <c r="B2105">
        <v>61</v>
      </c>
      <c r="C2105" t="s">
        <v>1202</v>
      </c>
      <c r="D2105" t="s">
        <v>291</v>
      </c>
      <c r="E2105" t="s">
        <v>629</v>
      </c>
      <c r="F2105" t="s">
        <v>661</v>
      </c>
      <c r="G2105" t="s">
        <v>2557</v>
      </c>
      <c r="S2105">
        <v>49</v>
      </c>
      <c r="AJ2105">
        <v>12</v>
      </c>
      <c r="CH2105" t="str">
        <f t="shared" si="32"/>
        <v>D-0419</v>
      </c>
      <c r="CI2105" s="1" t="s">
        <v>102</v>
      </c>
    </row>
    <row r="2106" spans="1:87">
      <c r="A2106" t="s">
        <v>3282</v>
      </c>
      <c r="B2106">
        <v>2113</v>
      </c>
      <c r="C2106" t="s">
        <v>1202</v>
      </c>
      <c r="D2106" t="s">
        <v>291</v>
      </c>
      <c r="E2106" t="s">
        <v>629</v>
      </c>
      <c r="F2106" t="s">
        <v>661</v>
      </c>
      <c r="G2106" t="s">
        <v>2557</v>
      </c>
      <c r="T2106">
        <v>318</v>
      </c>
      <c r="V2106">
        <v>474</v>
      </c>
      <c r="X2106">
        <v>524</v>
      </c>
      <c r="Z2106">
        <v>378</v>
      </c>
      <c r="AB2106">
        <v>205</v>
      </c>
      <c r="AD2106">
        <v>148</v>
      </c>
      <c r="AF2106">
        <v>66</v>
      </c>
      <c r="CH2106" t="str">
        <f t="shared" si="32"/>
        <v>D-0419</v>
      </c>
      <c r="CI2106" s="1" t="s">
        <v>102</v>
      </c>
    </row>
    <row r="2107" spans="1:87">
      <c r="A2107" t="s">
        <v>3284</v>
      </c>
      <c r="B2107">
        <v>270</v>
      </c>
      <c r="C2107" t="s">
        <v>1202</v>
      </c>
      <c r="D2107" t="s">
        <v>291</v>
      </c>
      <c r="E2107" t="s">
        <v>629</v>
      </c>
      <c r="F2107" t="s">
        <v>661</v>
      </c>
      <c r="G2107" t="s">
        <v>2557</v>
      </c>
      <c r="T2107">
        <v>42</v>
      </c>
      <c r="V2107">
        <v>60</v>
      </c>
      <c r="X2107">
        <v>66</v>
      </c>
      <c r="Z2107">
        <v>54</v>
      </c>
      <c r="AB2107">
        <v>36</v>
      </c>
      <c r="AD2107">
        <v>12</v>
      </c>
      <c r="CH2107" t="str">
        <f t="shared" si="32"/>
        <v>D-0419</v>
      </c>
      <c r="CI2107" s="1" t="s">
        <v>102</v>
      </c>
    </row>
    <row r="2108" spans="1:87">
      <c r="A2108" t="s">
        <v>3285</v>
      </c>
      <c r="B2108">
        <v>15</v>
      </c>
      <c r="C2108" t="s">
        <v>1202</v>
      </c>
      <c r="D2108" t="s">
        <v>291</v>
      </c>
      <c r="E2108" t="s">
        <v>629</v>
      </c>
      <c r="F2108" t="s">
        <v>661</v>
      </c>
      <c r="G2108" t="s">
        <v>2557</v>
      </c>
      <c r="X2108">
        <v>15</v>
      </c>
      <c r="CH2108" t="str">
        <f t="shared" si="32"/>
        <v>D-0419</v>
      </c>
      <c r="CI2108" s="1" t="s">
        <v>102</v>
      </c>
    </row>
    <row r="2109" spans="1:87">
      <c r="A2109" t="s">
        <v>3286</v>
      </c>
      <c r="B2109">
        <v>2874</v>
      </c>
      <c r="C2109" t="s">
        <v>1201</v>
      </c>
      <c r="D2109" t="s">
        <v>291</v>
      </c>
      <c r="E2109" t="s">
        <v>629</v>
      </c>
      <c r="F2109" t="s">
        <v>661</v>
      </c>
      <c r="G2109" t="s">
        <v>2816</v>
      </c>
      <c r="R2109">
        <v>37</v>
      </c>
      <c r="S2109">
        <v>68</v>
      </c>
      <c r="T2109">
        <v>123</v>
      </c>
      <c r="U2109">
        <v>105</v>
      </c>
      <c r="V2109">
        <v>253</v>
      </c>
      <c r="W2109">
        <v>316</v>
      </c>
      <c r="X2109">
        <v>406</v>
      </c>
      <c r="Y2109">
        <v>428</v>
      </c>
      <c r="Z2109">
        <v>357</v>
      </c>
      <c r="AA2109">
        <v>194</v>
      </c>
      <c r="AB2109">
        <v>224</v>
      </c>
      <c r="AC2109">
        <v>93</v>
      </c>
      <c r="AD2109">
        <v>147</v>
      </c>
      <c r="AE2109">
        <v>31</v>
      </c>
      <c r="AF2109">
        <v>62</v>
      </c>
      <c r="AH2109">
        <v>30</v>
      </c>
      <c r="CH2109" t="str">
        <f t="shared" si="32"/>
        <v>D-0419</v>
      </c>
      <c r="CI2109" s="1" t="s">
        <v>102</v>
      </c>
    </row>
    <row r="2110" spans="1:87">
      <c r="A2110" t="s">
        <v>3287</v>
      </c>
      <c r="B2110">
        <v>775</v>
      </c>
      <c r="C2110" t="s">
        <v>1201</v>
      </c>
      <c r="D2110" t="s">
        <v>291</v>
      </c>
      <c r="E2110" t="s">
        <v>629</v>
      </c>
      <c r="F2110" t="s">
        <v>661</v>
      </c>
      <c r="G2110" t="s">
        <v>2816</v>
      </c>
      <c r="R2110">
        <v>14</v>
      </c>
      <c r="S2110">
        <v>13</v>
      </c>
      <c r="T2110">
        <v>32</v>
      </c>
      <c r="U2110">
        <v>37</v>
      </c>
      <c r="V2110">
        <v>58</v>
      </c>
      <c r="W2110">
        <v>74</v>
      </c>
      <c r="X2110">
        <v>82</v>
      </c>
      <c r="Y2110">
        <v>102</v>
      </c>
      <c r="Z2110">
        <v>104</v>
      </c>
      <c r="AA2110">
        <v>53</v>
      </c>
      <c r="AB2110">
        <v>70</v>
      </c>
      <c r="AC2110">
        <v>31</v>
      </c>
      <c r="AD2110">
        <v>52</v>
      </c>
      <c r="AE2110">
        <v>22</v>
      </c>
      <c r="AF2110">
        <v>17</v>
      </c>
      <c r="AH2110">
        <v>2</v>
      </c>
      <c r="AJ2110">
        <v>12</v>
      </c>
      <c r="CH2110" t="str">
        <f t="shared" si="32"/>
        <v>D-0419</v>
      </c>
      <c r="CI2110" s="1" t="s">
        <v>102</v>
      </c>
    </row>
    <row r="2111" spans="1:87">
      <c r="A2111" t="s">
        <v>5162</v>
      </c>
      <c r="B2111">
        <v>1904</v>
      </c>
      <c r="C2111" t="s">
        <v>5144</v>
      </c>
      <c r="D2111" t="s">
        <v>5145</v>
      </c>
      <c r="E2111" t="s">
        <v>642</v>
      </c>
      <c r="F2111" t="s">
        <v>5146</v>
      </c>
      <c r="G2111" t="s">
        <v>2593</v>
      </c>
      <c r="P2111">
        <v>13</v>
      </c>
      <c r="Q2111">
        <v>23</v>
      </c>
      <c r="R2111">
        <v>93</v>
      </c>
      <c r="S2111">
        <v>144</v>
      </c>
      <c r="T2111">
        <v>159</v>
      </c>
      <c r="U2111">
        <v>148</v>
      </c>
      <c r="V2111">
        <v>155</v>
      </c>
      <c r="W2111">
        <v>143</v>
      </c>
      <c r="X2111">
        <v>141</v>
      </c>
      <c r="Y2111">
        <v>83</v>
      </c>
      <c r="Z2111">
        <v>68</v>
      </c>
      <c r="AA2111">
        <v>123</v>
      </c>
      <c r="AB2111">
        <v>126</v>
      </c>
      <c r="AC2111">
        <v>111</v>
      </c>
      <c r="AD2111">
        <v>109</v>
      </c>
      <c r="AE2111">
        <v>53</v>
      </c>
      <c r="AF2111">
        <v>53</v>
      </c>
      <c r="AG2111">
        <v>53</v>
      </c>
      <c r="AI2111">
        <v>53</v>
      </c>
      <c r="AK2111">
        <v>53</v>
      </c>
      <c r="CH2111" t="str">
        <f t="shared" si="32"/>
        <v>D-0514</v>
      </c>
      <c r="CI2111" s="1" t="s">
        <v>102</v>
      </c>
    </row>
    <row r="2112" spans="1:87">
      <c r="A2112" t="s">
        <v>5163</v>
      </c>
      <c r="B2112">
        <v>28</v>
      </c>
      <c r="C2112" t="s">
        <v>5144</v>
      </c>
      <c r="D2112" t="s">
        <v>5145</v>
      </c>
      <c r="E2112" t="s">
        <v>642</v>
      </c>
      <c r="F2112" t="s">
        <v>5146</v>
      </c>
      <c r="G2112" t="s">
        <v>2593</v>
      </c>
      <c r="R2112">
        <v>2</v>
      </c>
      <c r="S2112">
        <v>3</v>
      </c>
      <c r="T2112">
        <v>3</v>
      </c>
      <c r="U2112">
        <v>3</v>
      </c>
      <c r="V2112">
        <v>2</v>
      </c>
      <c r="W2112">
        <v>1</v>
      </c>
      <c r="X2112">
        <v>1</v>
      </c>
      <c r="Y2112">
        <v>1</v>
      </c>
      <c r="Z2112">
        <v>1</v>
      </c>
      <c r="AA2112">
        <v>2</v>
      </c>
      <c r="AB2112">
        <v>2</v>
      </c>
      <c r="AC2112">
        <v>3</v>
      </c>
      <c r="AD2112">
        <v>4</v>
      </c>
      <c r="CH2112" t="str">
        <f t="shared" si="32"/>
        <v>D-0514</v>
      </c>
      <c r="CI2112" s="1" t="s">
        <v>102</v>
      </c>
    </row>
    <row r="2113" spans="1:87">
      <c r="A2113" t="s">
        <v>3288</v>
      </c>
      <c r="B2113">
        <v>1</v>
      </c>
      <c r="C2113" t="s">
        <v>1202</v>
      </c>
      <c r="D2113" t="s">
        <v>291</v>
      </c>
      <c r="E2113" t="s">
        <v>629</v>
      </c>
      <c r="F2113" t="s">
        <v>661</v>
      </c>
      <c r="G2113" t="s">
        <v>2557</v>
      </c>
      <c r="AB2113">
        <v>1</v>
      </c>
      <c r="CH2113" t="str">
        <f t="shared" si="32"/>
        <v>D-0419</v>
      </c>
      <c r="CI2113" s="1" t="s">
        <v>102</v>
      </c>
    </row>
    <row r="2114" spans="1:87">
      <c r="A2114" t="s">
        <v>3289</v>
      </c>
      <c r="B2114">
        <v>1</v>
      </c>
      <c r="C2114" t="s">
        <v>1201</v>
      </c>
      <c r="D2114" t="s">
        <v>291</v>
      </c>
      <c r="E2114" t="s">
        <v>629</v>
      </c>
      <c r="F2114" t="s">
        <v>661</v>
      </c>
      <c r="G2114" t="s">
        <v>2816</v>
      </c>
      <c r="AB2114">
        <v>1</v>
      </c>
      <c r="CH2114" t="str">
        <f t="shared" ref="CH2114:CH2177" si="33">TRIM(IFERROR(IFERROR(MID($D2114,FIND("(D-",$D2114)+1,6),LEFT($D2114,FIND("(",$D2114)-1)),$D2114))</f>
        <v>D-0419</v>
      </c>
      <c r="CI2114" s="1" t="s">
        <v>102</v>
      </c>
    </row>
    <row r="2115" spans="1:87">
      <c r="A2115" t="s">
        <v>3290</v>
      </c>
      <c r="B2115">
        <v>1758</v>
      </c>
      <c r="C2115" t="s">
        <v>1281</v>
      </c>
      <c r="D2115" t="s">
        <v>1282</v>
      </c>
      <c r="E2115" t="s">
        <v>639</v>
      </c>
      <c r="F2115" t="s">
        <v>1283</v>
      </c>
      <c r="G2115" t="s">
        <v>1284</v>
      </c>
      <c r="AW2115">
        <v>18</v>
      </c>
      <c r="AX2115">
        <v>86</v>
      </c>
      <c r="AY2115">
        <v>100</v>
      </c>
      <c r="AZ2115">
        <v>90</v>
      </c>
      <c r="BA2115">
        <v>90</v>
      </c>
      <c r="BB2115">
        <v>117</v>
      </c>
      <c r="BC2115">
        <v>144</v>
      </c>
      <c r="BD2115">
        <v>174</v>
      </c>
      <c r="BE2115">
        <v>168</v>
      </c>
      <c r="BF2115">
        <v>220</v>
      </c>
      <c r="BG2115">
        <v>201</v>
      </c>
      <c r="BH2115">
        <v>108</v>
      </c>
      <c r="BI2115">
        <v>242</v>
      </c>
      <c r="CH2115" t="str">
        <f t="shared" si="33"/>
        <v>D-0537</v>
      </c>
      <c r="CI2115" s="1" t="s">
        <v>102</v>
      </c>
    </row>
    <row r="2116" spans="1:87">
      <c r="A2116" t="s">
        <v>3291</v>
      </c>
      <c r="B2116">
        <v>524</v>
      </c>
      <c r="C2116" t="s">
        <v>1022</v>
      </c>
      <c r="D2116" t="s">
        <v>539</v>
      </c>
      <c r="E2116" t="s">
        <v>639</v>
      </c>
      <c r="F2116" t="s">
        <v>764</v>
      </c>
      <c r="G2116" t="s">
        <v>1023</v>
      </c>
      <c r="AX2116">
        <v>27</v>
      </c>
      <c r="AY2116">
        <v>29</v>
      </c>
      <c r="AZ2116">
        <v>36</v>
      </c>
      <c r="BA2116">
        <v>37</v>
      </c>
      <c r="BB2116">
        <v>46</v>
      </c>
      <c r="BC2116">
        <v>45</v>
      </c>
      <c r="BD2116">
        <v>54</v>
      </c>
      <c r="BE2116">
        <v>72</v>
      </c>
      <c r="BF2116">
        <v>71</v>
      </c>
      <c r="BG2116">
        <v>36</v>
      </c>
      <c r="BH2116">
        <v>37</v>
      </c>
      <c r="BI2116">
        <v>34</v>
      </c>
      <c r="CH2116" t="str">
        <f t="shared" si="33"/>
        <v>D-0519</v>
      </c>
      <c r="CI2116" s="1" t="s">
        <v>102</v>
      </c>
    </row>
    <row r="2117" spans="1:87">
      <c r="A2117" t="s">
        <v>3292</v>
      </c>
      <c r="B2117">
        <v>668</v>
      </c>
      <c r="C2117" t="s">
        <v>3293</v>
      </c>
      <c r="D2117" t="s">
        <v>539</v>
      </c>
      <c r="E2117" t="s">
        <v>639</v>
      </c>
      <c r="F2117" t="s">
        <v>764</v>
      </c>
      <c r="G2117" t="s">
        <v>1023</v>
      </c>
      <c r="AX2117">
        <v>38</v>
      </c>
      <c r="AY2117">
        <v>58</v>
      </c>
      <c r="AZ2117">
        <v>61</v>
      </c>
      <c r="BA2117">
        <v>61</v>
      </c>
      <c r="BB2117">
        <v>66</v>
      </c>
      <c r="BC2117">
        <v>60</v>
      </c>
      <c r="BD2117">
        <v>62</v>
      </c>
      <c r="BE2117">
        <v>76</v>
      </c>
      <c r="BF2117">
        <v>74</v>
      </c>
      <c r="BG2117">
        <v>40</v>
      </c>
      <c r="BH2117">
        <v>39</v>
      </c>
      <c r="BI2117">
        <v>33</v>
      </c>
      <c r="CH2117" t="str">
        <f t="shared" si="33"/>
        <v>D-0519</v>
      </c>
      <c r="CI2117" s="1" t="s">
        <v>102</v>
      </c>
    </row>
    <row r="2118" spans="1:87">
      <c r="A2118" t="s">
        <v>3294</v>
      </c>
      <c r="B2118">
        <v>870</v>
      </c>
      <c r="C2118" t="s">
        <v>1286</v>
      </c>
      <c r="D2118" t="s">
        <v>1287</v>
      </c>
      <c r="E2118" t="s">
        <v>639</v>
      </c>
      <c r="F2118" t="s">
        <v>1288</v>
      </c>
      <c r="G2118" t="s">
        <v>1023</v>
      </c>
      <c r="AY2118">
        <v>75</v>
      </c>
      <c r="AZ2118">
        <v>78</v>
      </c>
      <c r="BA2118">
        <v>78</v>
      </c>
      <c r="BB2118">
        <v>84</v>
      </c>
      <c r="BC2118">
        <v>81</v>
      </c>
      <c r="BD2118">
        <v>83</v>
      </c>
      <c r="BE2118">
        <v>84</v>
      </c>
      <c r="BF2118">
        <v>85</v>
      </c>
      <c r="BG2118">
        <v>75</v>
      </c>
      <c r="BH2118">
        <v>75</v>
      </c>
      <c r="BI2118">
        <v>72</v>
      </c>
      <c r="CH2118" t="str">
        <f t="shared" si="33"/>
        <v>D-0509</v>
      </c>
      <c r="CI2118" s="1" t="s">
        <v>102</v>
      </c>
    </row>
    <row r="2119" spans="1:87">
      <c r="A2119" t="s">
        <v>3295</v>
      </c>
      <c r="B2119">
        <v>1181</v>
      </c>
      <c r="C2119" t="s">
        <v>1286</v>
      </c>
      <c r="D2119" t="s">
        <v>1287</v>
      </c>
      <c r="E2119" t="s">
        <v>639</v>
      </c>
      <c r="F2119" t="s">
        <v>1288</v>
      </c>
      <c r="G2119" t="s">
        <v>1023</v>
      </c>
      <c r="AY2119">
        <v>99</v>
      </c>
      <c r="AZ2119">
        <v>107</v>
      </c>
      <c r="BA2119">
        <v>111</v>
      </c>
      <c r="BB2119">
        <v>115</v>
      </c>
      <c r="BC2119">
        <v>114</v>
      </c>
      <c r="BD2119">
        <v>118</v>
      </c>
      <c r="BE2119">
        <v>118</v>
      </c>
      <c r="BF2119">
        <v>103</v>
      </c>
      <c r="BG2119">
        <v>98</v>
      </c>
      <c r="BH2119">
        <v>103</v>
      </c>
      <c r="BI2119">
        <v>95</v>
      </c>
      <c r="CH2119" t="str">
        <f t="shared" si="33"/>
        <v>D-0509</v>
      </c>
      <c r="CI2119" s="1" t="s">
        <v>102</v>
      </c>
    </row>
    <row r="2120" spans="1:87">
      <c r="A2120" t="s">
        <v>3296</v>
      </c>
      <c r="B2120">
        <v>638</v>
      </c>
      <c r="C2120" t="s">
        <v>1286</v>
      </c>
      <c r="D2120" t="s">
        <v>1287</v>
      </c>
      <c r="E2120" t="s">
        <v>639</v>
      </c>
      <c r="F2120" t="s">
        <v>1288</v>
      </c>
      <c r="G2120" t="s">
        <v>1023</v>
      </c>
      <c r="AY2120">
        <v>63</v>
      </c>
      <c r="AZ2120">
        <v>68</v>
      </c>
      <c r="BA2120">
        <v>67</v>
      </c>
      <c r="BB2120">
        <v>71</v>
      </c>
      <c r="BC2120">
        <v>63</v>
      </c>
      <c r="BD2120">
        <v>64</v>
      </c>
      <c r="BE2120">
        <v>66</v>
      </c>
      <c r="BF2120">
        <v>57</v>
      </c>
      <c r="BG2120">
        <v>52</v>
      </c>
      <c r="BH2120">
        <v>34</v>
      </c>
      <c r="BI2120">
        <v>33</v>
      </c>
      <c r="CH2120" t="str">
        <f t="shared" si="33"/>
        <v>D-0509</v>
      </c>
      <c r="CI2120" s="1" t="s">
        <v>102</v>
      </c>
    </row>
    <row r="2121" spans="1:87">
      <c r="A2121" t="s">
        <v>3299</v>
      </c>
      <c r="B2121">
        <v>2043</v>
      </c>
      <c r="C2121" t="s">
        <v>3300</v>
      </c>
      <c r="D2121" t="s">
        <v>180</v>
      </c>
      <c r="E2121" t="s">
        <v>629</v>
      </c>
      <c r="F2121" t="s">
        <v>725</v>
      </c>
      <c r="G2121" t="s">
        <v>3301</v>
      </c>
      <c r="T2121">
        <v>90</v>
      </c>
      <c r="U2121">
        <v>114</v>
      </c>
      <c r="V2121">
        <v>213</v>
      </c>
      <c r="W2121">
        <v>310</v>
      </c>
      <c r="X2121">
        <v>356</v>
      </c>
      <c r="Y2121">
        <v>370</v>
      </c>
      <c r="Z2121">
        <v>254</v>
      </c>
      <c r="AA2121">
        <v>136</v>
      </c>
      <c r="AB2121">
        <v>114</v>
      </c>
      <c r="AC2121">
        <v>14</v>
      </c>
      <c r="AD2121">
        <v>36</v>
      </c>
      <c r="AE2121">
        <v>6</v>
      </c>
      <c r="AF2121">
        <v>18</v>
      </c>
      <c r="AH2121">
        <v>6</v>
      </c>
      <c r="AJ2121">
        <v>6</v>
      </c>
      <c r="CH2121" t="str">
        <f t="shared" si="33"/>
        <v>D-0155</v>
      </c>
      <c r="CI2121" s="1" t="s">
        <v>102</v>
      </c>
    </row>
    <row r="2122" spans="1:87">
      <c r="A2122" t="s">
        <v>3302</v>
      </c>
      <c r="B2122">
        <v>2322</v>
      </c>
      <c r="C2122" t="s">
        <v>3300</v>
      </c>
      <c r="D2122" t="s">
        <v>180</v>
      </c>
      <c r="E2122" t="s">
        <v>629</v>
      </c>
      <c r="F2122" t="s">
        <v>725</v>
      </c>
      <c r="G2122" t="s">
        <v>3301</v>
      </c>
      <c r="R2122">
        <v>18</v>
      </c>
      <c r="S2122">
        <v>22</v>
      </c>
      <c r="T2122">
        <v>99</v>
      </c>
      <c r="U2122">
        <v>147</v>
      </c>
      <c r="V2122">
        <v>306</v>
      </c>
      <c r="W2122">
        <v>324</v>
      </c>
      <c r="X2122">
        <v>494</v>
      </c>
      <c r="Y2122">
        <v>369</v>
      </c>
      <c r="Z2122">
        <v>288</v>
      </c>
      <c r="AA2122">
        <v>96</v>
      </c>
      <c r="AB2122">
        <v>120</v>
      </c>
      <c r="AC2122">
        <v>15</v>
      </c>
      <c r="AD2122">
        <v>24</v>
      </c>
      <c r="CH2122" t="str">
        <f t="shared" si="33"/>
        <v>D-0155</v>
      </c>
      <c r="CI2122" s="1" t="s">
        <v>102</v>
      </c>
    </row>
    <row r="2123" spans="1:87">
      <c r="A2123" t="s">
        <v>3303</v>
      </c>
      <c r="B2123">
        <v>1874</v>
      </c>
      <c r="C2123" t="s">
        <v>3300</v>
      </c>
      <c r="D2123" t="s">
        <v>180</v>
      </c>
      <c r="E2123" t="s">
        <v>629</v>
      </c>
      <c r="F2123" t="s">
        <v>725</v>
      </c>
      <c r="G2123" t="s">
        <v>3301</v>
      </c>
      <c r="R2123">
        <v>12</v>
      </c>
      <c r="S2123">
        <v>12</v>
      </c>
      <c r="T2123">
        <v>78</v>
      </c>
      <c r="U2123">
        <v>72</v>
      </c>
      <c r="V2123">
        <v>222</v>
      </c>
      <c r="W2123">
        <v>198</v>
      </c>
      <c r="X2123">
        <v>362</v>
      </c>
      <c r="Y2123">
        <v>276</v>
      </c>
      <c r="Z2123">
        <v>288</v>
      </c>
      <c r="AA2123">
        <v>120</v>
      </c>
      <c r="AB2123">
        <v>132</v>
      </c>
      <c r="AC2123">
        <v>24</v>
      </c>
      <c r="AD2123">
        <v>54</v>
      </c>
      <c r="AE2123">
        <v>6</v>
      </c>
      <c r="AF2123">
        <v>12</v>
      </c>
      <c r="AH2123">
        <v>6</v>
      </c>
      <c r="CH2123" t="str">
        <f t="shared" si="33"/>
        <v>D-0155</v>
      </c>
      <c r="CI2123" s="1" t="s">
        <v>102</v>
      </c>
    </row>
    <row r="2124" spans="1:87">
      <c r="A2124" t="s">
        <v>3305</v>
      </c>
      <c r="B2124">
        <v>20</v>
      </c>
      <c r="C2124" t="s">
        <v>1582</v>
      </c>
      <c r="D2124" t="s">
        <v>369</v>
      </c>
      <c r="E2124" t="s">
        <v>629</v>
      </c>
      <c r="F2124" t="s">
        <v>634</v>
      </c>
      <c r="G2124" t="s">
        <v>1583</v>
      </c>
      <c r="X2124">
        <v>10</v>
      </c>
      <c r="Y2124">
        <v>10</v>
      </c>
      <c r="CH2124" t="str">
        <f t="shared" si="33"/>
        <v>D-0529</v>
      </c>
      <c r="CI2124" s="1" t="s">
        <v>102</v>
      </c>
    </row>
    <row r="2125" spans="1:87">
      <c r="A2125" t="s">
        <v>3306</v>
      </c>
      <c r="B2125">
        <v>10</v>
      </c>
      <c r="C2125" t="s">
        <v>1578</v>
      </c>
      <c r="D2125" t="s">
        <v>367</v>
      </c>
      <c r="E2125" t="s">
        <v>642</v>
      </c>
      <c r="F2125" t="s">
        <v>634</v>
      </c>
      <c r="G2125" t="s">
        <v>1579</v>
      </c>
      <c r="W2125">
        <v>10</v>
      </c>
      <c r="CH2125" t="str">
        <f t="shared" si="33"/>
        <v>D-0528</v>
      </c>
      <c r="CI2125" s="1" t="s">
        <v>102</v>
      </c>
    </row>
    <row r="2126" spans="1:87">
      <c r="A2126" t="s">
        <v>3307</v>
      </c>
      <c r="B2126">
        <v>50</v>
      </c>
      <c r="C2126" t="s">
        <v>1616</v>
      </c>
      <c r="D2126" t="s">
        <v>367</v>
      </c>
      <c r="E2126" t="s">
        <v>642</v>
      </c>
      <c r="F2126" t="s">
        <v>634</v>
      </c>
      <c r="G2126" t="s">
        <v>1617</v>
      </c>
      <c r="T2126">
        <v>10</v>
      </c>
      <c r="V2126">
        <v>20</v>
      </c>
      <c r="W2126">
        <v>10</v>
      </c>
      <c r="Y2126">
        <v>10</v>
      </c>
      <c r="CH2126" t="str">
        <f t="shared" si="33"/>
        <v>D-0528</v>
      </c>
      <c r="CI2126" s="1" t="s">
        <v>102</v>
      </c>
    </row>
    <row r="2127" spans="1:87">
      <c r="A2127" t="s">
        <v>3308</v>
      </c>
      <c r="B2127">
        <v>40</v>
      </c>
      <c r="C2127" t="s">
        <v>1576</v>
      </c>
      <c r="D2127" t="s">
        <v>369</v>
      </c>
      <c r="E2127" t="s">
        <v>629</v>
      </c>
      <c r="F2127" t="s">
        <v>634</v>
      </c>
      <c r="G2127" t="s">
        <v>1577</v>
      </c>
      <c r="W2127">
        <v>10</v>
      </c>
      <c r="Y2127">
        <v>10</v>
      </c>
      <c r="AA2127">
        <v>10</v>
      </c>
      <c r="AB2127">
        <v>10</v>
      </c>
      <c r="CH2127" t="str">
        <f t="shared" si="33"/>
        <v>D-0529</v>
      </c>
      <c r="CI2127" s="1" t="s">
        <v>102</v>
      </c>
    </row>
    <row r="2128" spans="1:87">
      <c r="A2128" t="s">
        <v>3309</v>
      </c>
      <c r="B2128">
        <v>10</v>
      </c>
      <c r="C2128" t="s">
        <v>1580</v>
      </c>
      <c r="D2128" t="s">
        <v>367</v>
      </c>
      <c r="E2128" t="s">
        <v>642</v>
      </c>
      <c r="F2128" t="s">
        <v>634</v>
      </c>
      <c r="G2128" t="s">
        <v>1581</v>
      </c>
      <c r="V2128">
        <v>10</v>
      </c>
      <c r="CH2128" t="str">
        <f t="shared" si="33"/>
        <v>D-0528</v>
      </c>
      <c r="CI2128" s="1" t="s">
        <v>102</v>
      </c>
    </row>
    <row r="2129" spans="1:87">
      <c r="A2129" t="s">
        <v>3310</v>
      </c>
      <c r="B2129">
        <v>40</v>
      </c>
      <c r="C2129" t="s">
        <v>1619</v>
      </c>
      <c r="D2129" t="s">
        <v>367</v>
      </c>
      <c r="E2129" t="s">
        <v>642</v>
      </c>
      <c r="F2129" t="s">
        <v>634</v>
      </c>
      <c r="G2129" t="s">
        <v>1579</v>
      </c>
      <c r="T2129">
        <v>10</v>
      </c>
      <c r="V2129">
        <v>10</v>
      </c>
      <c r="Y2129">
        <v>10</v>
      </c>
      <c r="Z2129">
        <v>10</v>
      </c>
      <c r="CH2129" t="str">
        <f t="shared" si="33"/>
        <v>D-0528</v>
      </c>
      <c r="CI2129" s="1" t="s">
        <v>102</v>
      </c>
    </row>
    <row r="2130" spans="1:87">
      <c r="A2130" t="s">
        <v>3311</v>
      </c>
      <c r="B2130">
        <v>101</v>
      </c>
      <c r="C2130" t="s">
        <v>1580</v>
      </c>
      <c r="D2130" t="s">
        <v>367</v>
      </c>
      <c r="E2130" t="s">
        <v>642</v>
      </c>
      <c r="F2130" t="s">
        <v>634</v>
      </c>
      <c r="G2130" t="s">
        <v>1581</v>
      </c>
      <c r="R2130">
        <v>10</v>
      </c>
      <c r="T2130">
        <v>20</v>
      </c>
      <c r="U2130">
        <v>20</v>
      </c>
      <c r="V2130">
        <v>20</v>
      </c>
      <c r="W2130">
        <v>20</v>
      </c>
      <c r="X2130">
        <v>11</v>
      </c>
      <c r="CH2130" t="str">
        <f t="shared" si="33"/>
        <v>D-0528</v>
      </c>
      <c r="CI2130" s="1" t="s">
        <v>102</v>
      </c>
    </row>
    <row r="2131" spans="1:87">
      <c r="A2131" t="s">
        <v>3312</v>
      </c>
      <c r="B2131">
        <v>40</v>
      </c>
      <c r="C2131" t="s">
        <v>1616</v>
      </c>
      <c r="D2131" t="s">
        <v>367</v>
      </c>
      <c r="E2131" t="s">
        <v>642</v>
      </c>
      <c r="F2131" t="s">
        <v>634</v>
      </c>
      <c r="G2131" t="s">
        <v>1617</v>
      </c>
      <c r="T2131">
        <v>10</v>
      </c>
      <c r="U2131">
        <v>10</v>
      </c>
      <c r="V2131">
        <v>10</v>
      </c>
      <c r="W2131">
        <v>10</v>
      </c>
      <c r="CH2131" t="str">
        <f t="shared" si="33"/>
        <v>D-0528</v>
      </c>
      <c r="CI2131" s="1" t="s">
        <v>102</v>
      </c>
    </row>
    <row r="2132" spans="1:87">
      <c r="A2132" t="s">
        <v>3313</v>
      </c>
      <c r="B2132">
        <v>50</v>
      </c>
      <c r="C2132" t="s">
        <v>1619</v>
      </c>
      <c r="D2132" t="s">
        <v>367</v>
      </c>
      <c r="E2132" t="s">
        <v>642</v>
      </c>
      <c r="F2132" t="s">
        <v>634</v>
      </c>
      <c r="G2132" t="s">
        <v>1579</v>
      </c>
      <c r="T2132">
        <v>10</v>
      </c>
      <c r="U2132">
        <v>10</v>
      </c>
      <c r="V2132">
        <v>10</v>
      </c>
      <c r="W2132">
        <v>10</v>
      </c>
      <c r="X2132">
        <v>10</v>
      </c>
      <c r="CH2132" t="str">
        <f t="shared" si="33"/>
        <v>D-0528</v>
      </c>
      <c r="CI2132" s="1" t="s">
        <v>102</v>
      </c>
    </row>
    <row r="2133" spans="1:87">
      <c r="A2133" t="s">
        <v>3314</v>
      </c>
      <c r="B2133">
        <v>10</v>
      </c>
      <c r="C2133" t="s">
        <v>1582</v>
      </c>
      <c r="D2133" t="s">
        <v>369</v>
      </c>
      <c r="E2133" t="s">
        <v>629</v>
      </c>
      <c r="F2133" t="s">
        <v>634</v>
      </c>
      <c r="G2133" t="s">
        <v>1583</v>
      </c>
      <c r="AC2133">
        <v>10</v>
      </c>
      <c r="CH2133" t="str">
        <f t="shared" si="33"/>
        <v>D-0529</v>
      </c>
      <c r="CI2133" s="1" t="s">
        <v>102</v>
      </c>
    </row>
    <row r="2134" spans="1:87">
      <c r="A2134" t="s">
        <v>3315</v>
      </c>
      <c r="B2134">
        <v>40</v>
      </c>
      <c r="C2134" t="s">
        <v>1013</v>
      </c>
      <c r="D2134" t="s">
        <v>367</v>
      </c>
      <c r="E2134" t="s">
        <v>642</v>
      </c>
      <c r="F2134" t="s">
        <v>634</v>
      </c>
      <c r="G2134" t="s">
        <v>749</v>
      </c>
      <c r="T2134">
        <v>10</v>
      </c>
      <c r="V2134">
        <v>20</v>
      </c>
      <c r="X2134">
        <v>10</v>
      </c>
      <c r="CH2134" t="str">
        <f t="shared" si="33"/>
        <v>D-0528</v>
      </c>
      <c r="CI2134" s="1" t="s">
        <v>102</v>
      </c>
    </row>
    <row r="2135" spans="1:87">
      <c r="A2135" t="s">
        <v>3316</v>
      </c>
      <c r="B2135">
        <v>313</v>
      </c>
      <c r="C2135" t="s">
        <v>1013</v>
      </c>
      <c r="D2135" t="s">
        <v>367</v>
      </c>
      <c r="E2135" t="s">
        <v>642</v>
      </c>
      <c r="F2135" t="s">
        <v>634</v>
      </c>
      <c r="G2135" t="s">
        <v>749</v>
      </c>
      <c r="R2135">
        <v>10</v>
      </c>
      <c r="S2135">
        <v>10</v>
      </c>
      <c r="T2135">
        <v>40</v>
      </c>
      <c r="U2135">
        <v>70</v>
      </c>
      <c r="V2135">
        <v>80</v>
      </c>
      <c r="W2135">
        <v>60</v>
      </c>
      <c r="X2135">
        <v>33</v>
      </c>
      <c r="Z2135">
        <v>10</v>
      </c>
      <c r="CH2135" t="str">
        <f t="shared" si="33"/>
        <v>D-0528</v>
      </c>
      <c r="CI2135" s="1" t="s">
        <v>102</v>
      </c>
    </row>
    <row r="2136" spans="1:87">
      <c r="A2136" t="s">
        <v>3317</v>
      </c>
      <c r="B2136">
        <v>45</v>
      </c>
      <c r="C2136" t="s">
        <v>1619</v>
      </c>
      <c r="D2136" t="s">
        <v>367</v>
      </c>
      <c r="E2136" t="s">
        <v>642</v>
      </c>
      <c r="F2136" t="s">
        <v>634</v>
      </c>
      <c r="G2136" t="s">
        <v>1579</v>
      </c>
      <c r="R2136">
        <v>5</v>
      </c>
      <c r="S2136">
        <v>5</v>
      </c>
      <c r="T2136">
        <v>5</v>
      </c>
      <c r="U2136">
        <v>5</v>
      </c>
      <c r="V2136">
        <v>5</v>
      </c>
      <c r="W2136">
        <v>5</v>
      </c>
      <c r="X2136">
        <v>5</v>
      </c>
      <c r="Y2136">
        <v>5</v>
      </c>
      <c r="Z2136">
        <v>5</v>
      </c>
      <c r="CH2136" t="str">
        <f t="shared" si="33"/>
        <v>D-0528</v>
      </c>
      <c r="CI2136" s="1" t="s">
        <v>102</v>
      </c>
    </row>
    <row r="2137" spans="1:87">
      <c r="A2137" t="s">
        <v>3318</v>
      </c>
      <c r="B2137">
        <v>70</v>
      </c>
      <c r="C2137" t="s">
        <v>1578</v>
      </c>
      <c r="D2137" t="s">
        <v>367</v>
      </c>
      <c r="E2137" t="s">
        <v>642</v>
      </c>
      <c r="F2137" t="s">
        <v>634</v>
      </c>
      <c r="G2137" t="s">
        <v>1579</v>
      </c>
      <c r="S2137">
        <v>10</v>
      </c>
      <c r="T2137">
        <v>10</v>
      </c>
      <c r="U2137">
        <v>10</v>
      </c>
      <c r="V2137">
        <v>10</v>
      </c>
      <c r="W2137">
        <v>10</v>
      </c>
      <c r="X2137">
        <v>10</v>
      </c>
      <c r="Z2137">
        <v>10</v>
      </c>
      <c r="CH2137" t="str">
        <f t="shared" si="33"/>
        <v>D-0528</v>
      </c>
      <c r="CI2137" s="1" t="s">
        <v>102</v>
      </c>
    </row>
    <row r="2138" spans="1:87">
      <c r="A2138" t="s">
        <v>3319</v>
      </c>
      <c r="B2138">
        <v>101</v>
      </c>
      <c r="C2138" t="s">
        <v>1014</v>
      </c>
      <c r="D2138" t="s">
        <v>369</v>
      </c>
      <c r="E2138" t="s">
        <v>629</v>
      </c>
      <c r="F2138" t="s">
        <v>634</v>
      </c>
      <c r="G2138" t="s">
        <v>1015</v>
      </c>
      <c r="X2138">
        <v>11</v>
      </c>
      <c r="Y2138">
        <v>20</v>
      </c>
      <c r="Z2138">
        <v>20</v>
      </c>
      <c r="AA2138">
        <v>20</v>
      </c>
      <c r="AB2138">
        <v>10</v>
      </c>
      <c r="AE2138">
        <v>10</v>
      </c>
      <c r="AF2138">
        <v>10</v>
      </c>
      <c r="CH2138" t="str">
        <f t="shared" si="33"/>
        <v>D-0529</v>
      </c>
      <c r="CI2138" s="1" t="s">
        <v>102</v>
      </c>
    </row>
    <row r="2139" spans="1:87">
      <c r="A2139" t="s">
        <v>3320</v>
      </c>
      <c r="B2139">
        <v>141</v>
      </c>
      <c r="C2139" t="s">
        <v>1576</v>
      </c>
      <c r="D2139" t="s">
        <v>369</v>
      </c>
      <c r="E2139" t="s">
        <v>629</v>
      </c>
      <c r="F2139" t="s">
        <v>634</v>
      </c>
      <c r="G2139" t="s">
        <v>1577</v>
      </c>
      <c r="W2139">
        <v>10</v>
      </c>
      <c r="X2139">
        <v>11</v>
      </c>
      <c r="Y2139">
        <v>20</v>
      </c>
      <c r="Z2139">
        <v>20</v>
      </c>
      <c r="AA2139">
        <v>20</v>
      </c>
      <c r="AB2139">
        <v>20</v>
      </c>
      <c r="AC2139">
        <v>10</v>
      </c>
      <c r="AD2139">
        <v>10</v>
      </c>
      <c r="AF2139">
        <v>10</v>
      </c>
      <c r="AH2139">
        <v>10</v>
      </c>
      <c r="CH2139" t="str">
        <f t="shared" si="33"/>
        <v>D-0529</v>
      </c>
      <c r="CI2139" s="1" t="s">
        <v>102</v>
      </c>
    </row>
    <row r="2140" spans="1:87">
      <c r="A2140" t="s">
        <v>3321</v>
      </c>
      <c r="B2140">
        <v>121</v>
      </c>
      <c r="C2140" t="s">
        <v>1616</v>
      </c>
      <c r="D2140" t="s">
        <v>367</v>
      </c>
      <c r="E2140" t="s">
        <v>642</v>
      </c>
      <c r="F2140" t="s">
        <v>634</v>
      </c>
      <c r="G2140" t="s">
        <v>1617</v>
      </c>
      <c r="R2140">
        <v>10</v>
      </c>
      <c r="S2140">
        <v>10</v>
      </c>
      <c r="T2140">
        <v>10</v>
      </c>
      <c r="U2140">
        <v>20</v>
      </c>
      <c r="V2140">
        <v>20</v>
      </c>
      <c r="W2140">
        <v>20</v>
      </c>
      <c r="X2140">
        <v>11</v>
      </c>
      <c r="Y2140">
        <v>10</v>
      </c>
      <c r="Z2140">
        <v>10</v>
      </c>
      <c r="CH2140" t="str">
        <f t="shared" si="33"/>
        <v>D-0528</v>
      </c>
      <c r="CI2140" s="1" t="s">
        <v>102</v>
      </c>
    </row>
    <row r="2141" spans="1:87">
      <c r="A2141" t="s">
        <v>3322</v>
      </c>
      <c r="B2141">
        <v>40</v>
      </c>
      <c r="C2141" t="s">
        <v>1582</v>
      </c>
      <c r="D2141" t="s">
        <v>369</v>
      </c>
      <c r="E2141" t="s">
        <v>629</v>
      </c>
      <c r="F2141" t="s">
        <v>634</v>
      </c>
      <c r="G2141" t="s">
        <v>1583</v>
      </c>
      <c r="Y2141">
        <v>10</v>
      </c>
      <c r="Z2141">
        <v>10</v>
      </c>
      <c r="AA2141">
        <v>10</v>
      </c>
      <c r="AB2141">
        <v>10</v>
      </c>
      <c r="CH2141" t="str">
        <f t="shared" si="33"/>
        <v>D-0529</v>
      </c>
      <c r="CI2141" s="1" t="s">
        <v>102</v>
      </c>
    </row>
    <row r="2142" spans="1:87">
      <c r="A2142" t="s">
        <v>3323</v>
      </c>
      <c r="B2142">
        <v>181</v>
      </c>
      <c r="C2142" t="s">
        <v>1580</v>
      </c>
      <c r="D2142" t="s">
        <v>367</v>
      </c>
      <c r="E2142" t="s">
        <v>642</v>
      </c>
      <c r="F2142" t="s">
        <v>634</v>
      </c>
      <c r="G2142" t="s">
        <v>1581</v>
      </c>
      <c r="Q2142">
        <v>10</v>
      </c>
      <c r="R2142">
        <v>10</v>
      </c>
      <c r="S2142">
        <v>10</v>
      </c>
      <c r="T2142">
        <v>20</v>
      </c>
      <c r="U2142">
        <v>30</v>
      </c>
      <c r="V2142">
        <v>30</v>
      </c>
      <c r="W2142">
        <v>30</v>
      </c>
      <c r="X2142">
        <v>21</v>
      </c>
      <c r="Y2142">
        <v>10</v>
      </c>
      <c r="AB2142">
        <v>10</v>
      </c>
      <c r="CH2142" t="str">
        <f t="shared" si="33"/>
        <v>D-0528</v>
      </c>
      <c r="CI2142" s="1" t="s">
        <v>102</v>
      </c>
    </row>
    <row r="2143" spans="1:87">
      <c r="A2143" t="s">
        <v>3324</v>
      </c>
      <c r="B2143">
        <v>262</v>
      </c>
      <c r="C2143" t="s">
        <v>1580</v>
      </c>
      <c r="D2143" t="s">
        <v>367</v>
      </c>
      <c r="E2143" t="s">
        <v>642</v>
      </c>
      <c r="F2143" t="s">
        <v>634</v>
      </c>
      <c r="G2143" t="s">
        <v>1581</v>
      </c>
      <c r="R2143">
        <v>10</v>
      </c>
      <c r="S2143">
        <v>20</v>
      </c>
      <c r="T2143">
        <v>30</v>
      </c>
      <c r="U2143">
        <v>40</v>
      </c>
      <c r="V2143">
        <v>50</v>
      </c>
      <c r="W2143">
        <v>30</v>
      </c>
      <c r="X2143">
        <v>42</v>
      </c>
      <c r="Y2143">
        <v>20</v>
      </c>
      <c r="Z2143">
        <v>10</v>
      </c>
      <c r="AB2143">
        <v>10</v>
      </c>
      <c r="CH2143" t="str">
        <f t="shared" si="33"/>
        <v>D-0528</v>
      </c>
      <c r="CI2143" s="1" t="s">
        <v>102</v>
      </c>
    </row>
    <row r="2144" spans="1:87">
      <c r="A2144" t="s">
        <v>3325</v>
      </c>
      <c r="B2144">
        <v>121</v>
      </c>
      <c r="C2144" t="s">
        <v>1578</v>
      </c>
      <c r="D2144" t="s">
        <v>367</v>
      </c>
      <c r="E2144" t="s">
        <v>642</v>
      </c>
      <c r="F2144" t="s">
        <v>634</v>
      </c>
      <c r="G2144" t="s">
        <v>1579</v>
      </c>
      <c r="S2144">
        <v>10</v>
      </c>
      <c r="T2144">
        <v>20</v>
      </c>
      <c r="U2144">
        <v>10</v>
      </c>
      <c r="V2144">
        <v>20</v>
      </c>
      <c r="W2144">
        <v>20</v>
      </c>
      <c r="X2144">
        <v>21</v>
      </c>
      <c r="Y2144">
        <v>10</v>
      </c>
      <c r="Z2144">
        <v>10</v>
      </c>
      <c r="CH2144" t="str">
        <f t="shared" si="33"/>
        <v>D-0528</v>
      </c>
      <c r="CI2144" s="1" t="s">
        <v>102</v>
      </c>
    </row>
    <row r="2145" spans="1:87">
      <c r="A2145" t="s">
        <v>3326</v>
      </c>
      <c r="B2145">
        <v>70</v>
      </c>
      <c r="C2145" t="s">
        <v>1582</v>
      </c>
      <c r="D2145" t="s">
        <v>369</v>
      </c>
      <c r="E2145" t="s">
        <v>629</v>
      </c>
      <c r="F2145" t="s">
        <v>634</v>
      </c>
      <c r="G2145" t="s">
        <v>1583</v>
      </c>
      <c r="X2145">
        <v>10</v>
      </c>
      <c r="Y2145">
        <v>10</v>
      </c>
      <c r="Z2145">
        <v>10</v>
      </c>
      <c r="AA2145">
        <v>10</v>
      </c>
      <c r="AB2145">
        <v>10</v>
      </c>
      <c r="AC2145">
        <v>10</v>
      </c>
      <c r="AD2145">
        <v>10</v>
      </c>
      <c r="CH2145" t="str">
        <f t="shared" si="33"/>
        <v>D-0529</v>
      </c>
      <c r="CI2145" s="1" t="s">
        <v>102</v>
      </c>
    </row>
    <row r="2146" spans="1:87">
      <c r="A2146" t="s">
        <v>3327</v>
      </c>
      <c r="B2146">
        <v>141</v>
      </c>
      <c r="C2146" t="s">
        <v>1014</v>
      </c>
      <c r="D2146" t="s">
        <v>369</v>
      </c>
      <c r="E2146" t="s">
        <v>629</v>
      </c>
      <c r="F2146" t="s">
        <v>634</v>
      </c>
      <c r="G2146" t="s">
        <v>1015</v>
      </c>
      <c r="W2146">
        <v>10</v>
      </c>
      <c r="X2146">
        <v>21</v>
      </c>
      <c r="Y2146">
        <v>20</v>
      </c>
      <c r="Z2146">
        <v>20</v>
      </c>
      <c r="AA2146">
        <v>20</v>
      </c>
      <c r="AB2146">
        <v>20</v>
      </c>
      <c r="AC2146">
        <v>10</v>
      </c>
      <c r="AD2146">
        <v>10</v>
      </c>
      <c r="AF2146">
        <v>10</v>
      </c>
      <c r="CH2146" t="str">
        <f t="shared" si="33"/>
        <v>D-0529</v>
      </c>
      <c r="CI2146" s="1" t="s">
        <v>102</v>
      </c>
    </row>
    <row r="2147" spans="1:87">
      <c r="A2147" t="s">
        <v>3328</v>
      </c>
      <c r="B2147">
        <v>222</v>
      </c>
      <c r="C2147" t="s">
        <v>1616</v>
      </c>
      <c r="D2147" t="s">
        <v>367</v>
      </c>
      <c r="E2147" t="s">
        <v>642</v>
      </c>
      <c r="F2147" t="s">
        <v>634</v>
      </c>
      <c r="G2147" t="s">
        <v>1617</v>
      </c>
      <c r="R2147">
        <v>10</v>
      </c>
      <c r="S2147">
        <v>10</v>
      </c>
      <c r="T2147">
        <v>30</v>
      </c>
      <c r="U2147">
        <v>30</v>
      </c>
      <c r="V2147">
        <v>40</v>
      </c>
      <c r="W2147">
        <v>40</v>
      </c>
      <c r="X2147">
        <v>32</v>
      </c>
      <c r="Y2147">
        <v>20</v>
      </c>
      <c r="Z2147">
        <v>10</v>
      </c>
      <c r="CH2147" t="str">
        <f t="shared" si="33"/>
        <v>D-0528</v>
      </c>
      <c r="CI2147" s="1" t="s">
        <v>102</v>
      </c>
    </row>
    <row r="2148" spans="1:87">
      <c r="A2148" t="s">
        <v>3329</v>
      </c>
      <c r="B2148">
        <v>181</v>
      </c>
      <c r="C2148" t="s">
        <v>1576</v>
      </c>
      <c r="D2148" t="s">
        <v>369</v>
      </c>
      <c r="E2148" t="s">
        <v>629</v>
      </c>
      <c r="F2148" t="s">
        <v>634</v>
      </c>
      <c r="G2148" t="s">
        <v>1577</v>
      </c>
      <c r="W2148">
        <v>10</v>
      </c>
      <c r="X2148">
        <v>21</v>
      </c>
      <c r="Y2148">
        <v>20</v>
      </c>
      <c r="Z2148">
        <v>30</v>
      </c>
      <c r="AA2148">
        <v>30</v>
      </c>
      <c r="AB2148">
        <v>30</v>
      </c>
      <c r="AC2148">
        <v>20</v>
      </c>
      <c r="AD2148">
        <v>20</v>
      </c>
      <c r="CH2148" t="str">
        <f t="shared" si="33"/>
        <v>D-0529</v>
      </c>
      <c r="CI2148" s="1" t="s">
        <v>102</v>
      </c>
    </row>
    <row r="2149" spans="1:87">
      <c r="A2149" t="s">
        <v>3330</v>
      </c>
      <c r="B2149">
        <v>393</v>
      </c>
      <c r="C2149" t="s">
        <v>1619</v>
      </c>
      <c r="D2149" t="s">
        <v>367</v>
      </c>
      <c r="E2149" t="s">
        <v>642</v>
      </c>
      <c r="F2149" t="s">
        <v>634</v>
      </c>
      <c r="G2149" t="s">
        <v>1579</v>
      </c>
      <c r="Q2149">
        <v>13</v>
      </c>
      <c r="R2149">
        <v>10</v>
      </c>
      <c r="S2149">
        <v>30</v>
      </c>
      <c r="T2149">
        <v>50</v>
      </c>
      <c r="U2149">
        <v>60</v>
      </c>
      <c r="V2149">
        <v>70</v>
      </c>
      <c r="W2149">
        <v>50</v>
      </c>
      <c r="X2149">
        <v>50</v>
      </c>
      <c r="Y2149">
        <v>20</v>
      </c>
      <c r="Z2149">
        <v>30</v>
      </c>
      <c r="AA2149">
        <v>10</v>
      </c>
      <c r="CH2149" t="str">
        <f t="shared" si="33"/>
        <v>D-0528</v>
      </c>
      <c r="CI2149" s="1" t="s">
        <v>102</v>
      </c>
    </row>
    <row r="2150" spans="1:87">
      <c r="A2150" t="s">
        <v>3331</v>
      </c>
      <c r="B2150">
        <v>102</v>
      </c>
      <c r="C2150" t="s">
        <v>1019</v>
      </c>
      <c r="D2150" t="s">
        <v>288</v>
      </c>
      <c r="E2150" t="s">
        <v>629</v>
      </c>
      <c r="F2150" t="s">
        <v>679</v>
      </c>
      <c r="G2150" t="s">
        <v>678</v>
      </c>
      <c r="P2150">
        <v>20</v>
      </c>
      <c r="R2150">
        <v>32</v>
      </c>
      <c r="T2150">
        <v>30</v>
      </c>
      <c r="V2150">
        <v>19</v>
      </c>
      <c r="AB2150">
        <v>1</v>
      </c>
      <c r="CH2150" t="str">
        <f t="shared" si="33"/>
        <v>D-0393</v>
      </c>
      <c r="CI2150" s="1" t="s">
        <v>102</v>
      </c>
    </row>
    <row r="2151" spans="1:87">
      <c r="A2151" t="s">
        <v>3332</v>
      </c>
      <c r="B2151">
        <v>1178</v>
      </c>
      <c r="C2151" t="s">
        <v>1019</v>
      </c>
      <c r="D2151" t="s">
        <v>288</v>
      </c>
      <c r="E2151" t="s">
        <v>629</v>
      </c>
      <c r="F2151" t="s">
        <v>679</v>
      </c>
      <c r="G2151" t="s">
        <v>678</v>
      </c>
      <c r="L2151">
        <v>7</v>
      </c>
      <c r="M2151">
        <v>33</v>
      </c>
      <c r="N2151">
        <v>52</v>
      </c>
      <c r="O2151">
        <v>50</v>
      </c>
      <c r="P2151">
        <v>59</v>
      </c>
      <c r="Q2151">
        <v>66</v>
      </c>
      <c r="R2151">
        <v>115</v>
      </c>
      <c r="S2151">
        <v>59</v>
      </c>
      <c r="T2151">
        <v>55</v>
      </c>
      <c r="U2151">
        <v>99</v>
      </c>
      <c r="V2151">
        <v>115</v>
      </c>
      <c r="W2151">
        <v>78</v>
      </c>
      <c r="X2151">
        <v>127</v>
      </c>
      <c r="Y2151">
        <v>89</v>
      </c>
      <c r="Z2151">
        <v>63</v>
      </c>
      <c r="AA2151">
        <v>51</v>
      </c>
      <c r="AB2151">
        <v>47</v>
      </c>
      <c r="AD2151">
        <v>9</v>
      </c>
      <c r="AF2151">
        <v>4</v>
      </c>
      <c r="CH2151" t="str">
        <f t="shared" si="33"/>
        <v>D-0393</v>
      </c>
      <c r="CI2151" s="1" t="s">
        <v>102</v>
      </c>
    </row>
    <row r="2152" spans="1:87">
      <c r="A2152" t="s">
        <v>3333</v>
      </c>
      <c r="B2152">
        <v>702</v>
      </c>
      <c r="C2152" t="s">
        <v>1019</v>
      </c>
      <c r="D2152" t="s">
        <v>288</v>
      </c>
      <c r="E2152" t="s">
        <v>629</v>
      </c>
      <c r="F2152" t="s">
        <v>679</v>
      </c>
      <c r="G2152" t="s">
        <v>678</v>
      </c>
      <c r="M2152">
        <v>29</v>
      </c>
      <c r="O2152">
        <v>48</v>
      </c>
      <c r="Q2152">
        <v>181</v>
      </c>
      <c r="S2152">
        <v>218</v>
      </c>
      <c r="U2152">
        <v>178</v>
      </c>
      <c r="W2152">
        <v>48</v>
      </c>
      <c r="CH2152" t="str">
        <f t="shared" si="33"/>
        <v>D-0393</v>
      </c>
      <c r="CI2152" s="1" t="s">
        <v>102</v>
      </c>
    </row>
    <row r="2153" spans="1:87">
      <c r="A2153" t="s">
        <v>3334</v>
      </c>
      <c r="B2153">
        <v>479</v>
      </c>
      <c r="C2153" t="s">
        <v>685</v>
      </c>
      <c r="D2153" t="s">
        <v>457</v>
      </c>
      <c r="E2153" t="s">
        <v>629</v>
      </c>
      <c r="F2153" t="s">
        <v>672</v>
      </c>
      <c r="G2153" t="s">
        <v>686</v>
      </c>
      <c r="U2153">
        <v>479</v>
      </c>
      <c r="CH2153" t="str">
        <f t="shared" si="33"/>
        <v>JV1-0695-3</v>
      </c>
      <c r="CI2153" s="1" t="s">
        <v>102</v>
      </c>
    </row>
    <row r="2154" spans="1:87">
      <c r="A2154" t="s">
        <v>3335</v>
      </c>
      <c r="B2154">
        <v>2532</v>
      </c>
      <c r="C2154" t="s">
        <v>685</v>
      </c>
      <c r="D2154" t="s">
        <v>457</v>
      </c>
      <c r="E2154" t="s">
        <v>629</v>
      </c>
      <c r="F2154" t="s">
        <v>672</v>
      </c>
      <c r="G2154" t="s">
        <v>686</v>
      </c>
      <c r="N2154">
        <v>210</v>
      </c>
      <c r="O2154">
        <v>264</v>
      </c>
      <c r="P2154">
        <v>342</v>
      </c>
      <c r="Q2154">
        <v>336</v>
      </c>
      <c r="R2154">
        <v>360</v>
      </c>
      <c r="S2154">
        <v>480</v>
      </c>
      <c r="T2154">
        <v>540</v>
      </c>
      <c r="CH2154" t="str">
        <f t="shared" si="33"/>
        <v>JV1-0695-3</v>
      </c>
      <c r="CI2154" s="1" t="s">
        <v>102</v>
      </c>
    </row>
    <row r="2155" spans="1:87">
      <c r="A2155" t="s">
        <v>3336</v>
      </c>
      <c r="B2155">
        <v>2868</v>
      </c>
      <c r="C2155" t="s">
        <v>685</v>
      </c>
      <c r="D2155" t="s">
        <v>457</v>
      </c>
      <c r="E2155" t="s">
        <v>629</v>
      </c>
      <c r="F2155" t="s">
        <v>672</v>
      </c>
      <c r="G2155" t="s">
        <v>686</v>
      </c>
      <c r="N2155">
        <v>114</v>
      </c>
      <c r="O2155">
        <v>222</v>
      </c>
      <c r="P2155">
        <v>204</v>
      </c>
      <c r="Q2155">
        <v>420</v>
      </c>
      <c r="R2155">
        <v>288</v>
      </c>
      <c r="S2155">
        <v>384</v>
      </c>
      <c r="T2155">
        <v>282</v>
      </c>
      <c r="U2155">
        <v>156</v>
      </c>
      <c r="V2155">
        <v>144</v>
      </c>
      <c r="W2155">
        <v>120</v>
      </c>
      <c r="X2155">
        <v>60</v>
      </c>
      <c r="Y2155">
        <v>132</v>
      </c>
      <c r="Z2155">
        <v>114</v>
      </c>
      <c r="AA2155">
        <v>60</v>
      </c>
      <c r="AB2155">
        <v>78</v>
      </c>
      <c r="AC2155">
        <v>24</v>
      </c>
      <c r="AD2155">
        <v>48</v>
      </c>
      <c r="AF2155">
        <v>12</v>
      </c>
      <c r="AH2155">
        <v>6</v>
      </c>
      <c r="CH2155" t="str">
        <f t="shared" si="33"/>
        <v>JV1-0695-3</v>
      </c>
      <c r="CI2155" s="1" t="s">
        <v>102</v>
      </c>
    </row>
    <row r="2156" spans="1:87">
      <c r="A2156" t="s">
        <v>3337</v>
      </c>
      <c r="B2156">
        <v>2922</v>
      </c>
      <c r="C2156" t="s">
        <v>685</v>
      </c>
      <c r="D2156" t="s">
        <v>457</v>
      </c>
      <c r="E2156" t="s">
        <v>629</v>
      </c>
      <c r="F2156" t="s">
        <v>672</v>
      </c>
      <c r="G2156" t="s">
        <v>686</v>
      </c>
      <c r="N2156">
        <v>114</v>
      </c>
      <c r="O2156">
        <v>228</v>
      </c>
      <c r="P2156">
        <v>204</v>
      </c>
      <c r="Q2156">
        <v>426</v>
      </c>
      <c r="R2156">
        <v>288</v>
      </c>
      <c r="S2156">
        <v>390</v>
      </c>
      <c r="T2156">
        <v>282</v>
      </c>
      <c r="U2156">
        <v>162</v>
      </c>
      <c r="V2156">
        <v>156</v>
      </c>
      <c r="W2156">
        <v>120</v>
      </c>
      <c r="X2156">
        <v>66</v>
      </c>
      <c r="Y2156">
        <v>138</v>
      </c>
      <c r="Z2156">
        <v>114</v>
      </c>
      <c r="AA2156">
        <v>60</v>
      </c>
      <c r="AB2156">
        <v>84</v>
      </c>
      <c r="AC2156">
        <v>30</v>
      </c>
      <c r="AD2156">
        <v>36</v>
      </c>
      <c r="AF2156">
        <v>18</v>
      </c>
      <c r="AH2156">
        <v>6</v>
      </c>
      <c r="CH2156" t="str">
        <f t="shared" si="33"/>
        <v>JV1-0695-3</v>
      </c>
      <c r="CI2156" s="1" t="s">
        <v>102</v>
      </c>
    </row>
    <row r="2157" spans="1:87">
      <c r="A2157" t="s">
        <v>3338</v>
      </c>
      <c r="B2157">
        <v>485</v>
      </c>
      <c r="C2157" t="s">
        <v>685</v>
      </c>
      <c r="D2157" t="s">
        <v>457</v>
      </c>
      <c r="E2157" t="s">
        <v>629</v>
      </c>
      <c r="F2157" t="s">
        <v>672</v>
      </c>
      <c r="G2157" t="s">
        <v>686</v>
      </c>
      <c r="O2157">
        <v>60</v>
      </c>
      <c r="P2157">
        <v>24</v>
      </c>
      <c r="Q2157">
        <v>108</v>
      </c>
      <c r="R2157">
        <v>24</v>
      </c>
      <c r="S2157">
        <v>138</v>
      </c>
      <c r="T2157">
        <v>29</v>
      </c>
      <c r="U2157">
        <v>84</v>
      </c>
      <c r="V2157">
        <v>6</v>
      </c>
      <c r="W2157">
        <v>12</v>
      </c>
      <c r="CH2157" t="str">
        <f t="shared" si="33"/>
        <v>JV1-0695-3</v>
      </c>
      <c r="CI2157" s="1" t="s">
        <v>102</v>
      </c>
    </row>
    <row r="2158" spans="1:87">
      <c r="A2158" t="s">
        <v>3339</v>
      </c>
      <c r="B2158">
        <v>18</v>
      </c>
      <c r="C2158" t="s">
        <v>685</v>
      </c>
      <c r="D2158" t="s">
        <v>457</v>
      </c>
      <c r="E2158" t="s">
        <v>629</v>
      </c>
      <c r="F2158" t="s">
        <v>672</v>
      </c>
      <c r="G2158" t="s">
        <v>686</v>
      </c>
      <c r="N2158">
        <v>18</v>
      </c>
      <c r="CH2158" t="str">
        <f t="shared" si="33"/>
        <v>JV1-0695-3</v>
      </c>
      <c r="CI2158" s="1" t="s">
        <v>102</v>
      </c>
    </row>
    <row r="2159" spans="1:87">
      <c r="A2159" t="s">
        <v>3340</v>
      </c>
      <c r="B2159">
        <v>1434</v>
      </c>
      <c r="C2159" t="s">
        <v>685</v>
      </c>
      <c r="D2159" t="s">
        <v>457</v>
      </c>
      <c r="E2159" t="s">
        <v>629</v>
      </c>
      <c r="F2159" t="s">
        <v>672</v>
      </c>
      <c r="G2159" t="s">
        <v>686</v>
      </c>
      <c r="N2159">
        <v>78</v>
      </c>
      <c r="P2159">
        <v>132</v>
      </c>
      <c r="Q2159">
        <v>252</v>
      </c>
      <c r="R2159">
        <v>216</v>
      </c>
      <c r="S2159">
        <v>228</v>
      </c>
      <c r="T2159">
        <v>168</v>
      </c>
      <c r="V2159">
        <v>90</v>
      </c>
      <c r="W2159">
        <v>72</v>
      </c>
      <c r="X2159">
        <v>42</v>
      </c>
      <c r="Y2159">
        <v>66</v>
      </c>
      <c r="AA2159">
        <v>30</v>
      </c>
      <c r="AC2159">
        <v>24</v>
      </c>
      <c r="AD2159">
        <v>24</v>
      </c>
      <c r="AF2159">
        <v>12</v>
      </c>
      <c r="CH2159" t="str">
        <f t="shared" si="33"/>
        <v>JV1-0695-3</v>
      </c>
      <c r="CI2159" s="1" t="s">
        <v>102</v>
      </c>
    </row>
    <row r="2160" spans="1:87">
      <c r="A2160" t="s">
        <v>3341</v>
      </c>
      <c r="B2160">
        <v>257</v>
      </c>
      <c r="C2160" t="s">
        <v>685</v>
      </c>
      <c r="D2160" t="s">
        <v>457</v>
      </c>
      <c r="E2160" t="s">
        <v>629</v>
      </c>
      <c r="F2160" t="s">
        <v>672</v>
      </c>
      <c r="G2160" t="s">
        <v>686</v>
      </c>
      <c r="O2160">
        <v>126</v>
      </c>
      <c r="U2160">
        <v>131</v>
      </c>
      <c r="CH2160" t="str">
        <f t="shared" si="33"/>
        <v>JV1-0695-3</v>
      </c>
      <c r="CI2160" s="1" t="s">
        <v>102</v>
      </c>
    </row>
    <row r="2161" spans="1:87">
      <c r="A2161" t="s">
        <v>3342</v>
      </c>
      <c r="B2161">
        <v>521</v>
      </c>
      <c r="C2161" t="s">
        <v>685</v>
      </c>
      <c r="D2161" t="s">
        <v>457</v>
      </c>
      <c r="E2161" t="s">
        <v>629</v>
      </c>
      <c r="F2161" t="s">
        <v>672</v>
      </c>
      <c r="G2161" t="s">
        <v>686</v>
      </c>
      <c r="N2161">
        <v>12</v>
      </c>
      <c r="O2161">
        <v>48</v>
      </c>
      <c r="Q2161">
        <v>156</v>
      </c>
      <c r="S2161">
        <v>168</v>
      </c>
      <c r="U2161">
        <v>113</v>
      </c>
      <c r="W2161">
        <v>24</v>
      </c>
      <c r="CH2161" t="str">
        <f t="shared" si="33"/>
        <v>JV1-0695-3</v>
      </c>
      <c r="CI2161" s="1" t="s">
        <v>102</v>
      </c>
    </row>
    <row r="2162" spans="1:87">
      <c r="A2162" t="s">
        <v>3343</v>
      </c>
      <c r="B2162">
        <v>2040</v>
      </c>
      <c r="C2162" t="s">
        <v>685</v>
      </c>
      <c r="D2162" t="s">
        <v>457</v>
      </c>
      <c r="E2162" t="s">
        <v>629</v>
      </c>
      <c r="F2162" t="s">
        <v>672</v>
      </c>
      <c r="G2162" t="s">
        <v>686</v>
      </c>
      <c r="N2162">
        <v>102</v>
      </c>
      <c r="O2162">
        <v>156</v>
      </c>
      <c r="P2162">
        <v>156</v>
      </c>
      <c r="Q2162">
        <v>300</v>
      </c>
      <c r="R2162">
        <v>258</v>
      </c>
      <c r="S2162">
        <v>276</v>
      </c>
      <c r="T2162">
        <v>204</v>
      </c>
      <c r="U2162">
        <v>150</v>
      </c>
      <c r="V2162">
        <v>102</v>
      </c>
      <c r="W2162">
        <v>84</v>
      </c>
      <c r="X2162">
        <v>54</v>
      </c>
      <c r="Y2162">
        <v>78</v>
      </c>
      <c r="AA2162">
        <v>42</v>
      </c>
      <c r="AC2162">
        <v>30</v>
      </c>
      <c r="AD2162">
        <v>36</v>
      </c>
      <c r="AF2162">
        <v>12</v>
      </c>
      <c r="CH2162" t="str">
        <f t="shared" si="33"/>
        <v>JV1-0695-3</v>
      </c>
      <c r="CI2162" s="1" t="s">
        <v>102</v>
      </c>
    </row>
    <row r="2163" spans="1:87">
      <c r="A2163" t="s">
        <v>3344</v>
      </c>
      <c r="B2163">
        <v>509</v>
      </c>
      <c r="C2163" t="s">
        <v>685</v>
      </c>
      <c r="D2163" t="s">
        <v>457</v>
      </c>
      <c r="E2163" t="s">
        <v>629</v>
      </c>
      <c r="F2163" t="s">
        <v>672</v>
      </c>
      <c r="G2163" t="s">
        <v>686</v>
      </c>
      <c r="U2163">
        <v>35</v>
      </c>
      <c r="W2163">
        <v>60</v>
      </c>
      <c r="Y2163">
        <v>114</v>
      </c>
      <c r="AA2163">
        <v>120</v>
      </c>
      <c r="AC2163">
        <v>114</v>
      </c>
      <c r="AF2163">
        <v>66</v>
      </c>
      <c r="CH2163" t="str">
        <f t="shared" si="33"/>
        <v>JV1-0695-3</v>
      </c>
      <c r="CI2163" s="1" t="s">
        <v>102</v>
      </c>
    </row>
    <row r="2164" spans="1:87">
      <c r="A2164" t="s">
        <v>3345</v>
      </c>
      <c r="B2164">
        <v>2868</v>
      </c>
      <c r="C2164" t="s">
        <v>685</v>
      </c>
      <c r="D2164" t="s">
        <v>457</v>
      </c>
      <c r="E2164" t="s">
        <v>629</v>
      </c>
      <c r="F2164" t="s">
        <v>672</v>
      </c>
      <c r="G2164" t="s">
        <v>686</v>
      </c>
      <c r="N2164">
        <v>114</v>
      </c>
      <c r="O2164">
        <v>222</v>
      </c>
      <c r="P2164">
        <v>204</v>
      </c>
      <c r="Q2164">
        <v>420</v>
      </c>
      <c r="R2164">
        <v>288</v>
      </c>
      <c r="S2164">
        <v>384</v>
      </c>
      <c r="T2164">
        <v>282</v>
      </c>
      <c r="U2164">
        <v>156</v>
      </c>
      <c r="V2164">
        <v>144</v>
      </c>
      <c r="W2164">
        <v>120</v>
      </c>
      <c r="X2164">
        <v>60</v>
      </c>
      <c r="Y2164">
        <v>132</v>
      </c>
      <c r="Z2164">
        <v>114</v>
      </c>
      <c r="AA2164">
        <v>60</v>
      </c>
      <c r="AB2164">
        <v>78</v>
      </c>
      <c r="AC2164">
        <v>24</v>
      </c>
      <c r="AD2164">
        <v>48</v>
      </c>
      <c r="AF2164">
        <v>12</v>
      </c>
      <c r="AH2164">
        <v>6</v>
      </c>
      <c r="CH2164" t="str">
        <f t="shared" si="33"/>
        <v>JV1-0695-3</v>
      </c>
      <c r="CI2164" s="1" t="s">
        <v>102</v>
      </c>
    </row>
    <row r="2165" spans="1:87">
      <c r="A2165" t="s">
        <v>3346</v>
      </c>
      <c r="B2165">
        <v>1266</v>
      </c>
      <c r="C2165" t="s">
        <v>685</v>
      </c>
      <c r="D2165" t="s">
        <v>457</v>
      </c>
      <c r="E2165" t="s">
        <v>629</v>
      </c>
      <c r="F2165" t="s">
        <v>672</v>
      </c>
      <c r="G2165" t="s">
        <v>686</v>
      </c>
      <c r="N2165">
        <v>138</v>
      </c>
      <c r="O2165">
        <v>156</v>
      </c>
      <c r="P2165">
        <v>210</v>
      </c>
      <c r="R2165">
        <v>276</v>
      </c>
      <c r="T2165">
        <v>282</v>
      </c>
      <c r="U2165">
        <v>204</v>
      </c>
      <c r="CH2165" t="str">
        <f t="shared" si="33"/>
        <v>JV1-0695-3</v>
      </c>
      <c r="CI2165" s="1" t="s">
        <v>102</v>
      </c>
    </row>
    <row r="2166" spans="1:87">
      <c r="A2166" t="s">
        <v>3347</v>
      </c>
      <c r="B2166">
        <v>750</v>
      </c>
      <c r="C2166" t="s">
        <v>685</v>
      </c>
      <c r="D2166" t="s">
        <v>457</v>
      </c>
      <c r="E2166" t="s">
        <v>629</v>
      </c>
      <c r="F2166" t="s">
        <v>672</v>
      </c>
      <c r="G2166" t="s">
        <v>686</v>
      </c>
      <c r="Q2166">
        <v>336</v>
      </c>
      <c r="S2166">
        <v>414</v>
      </c>
      <c r="CH2166" t="str">
        <f t="shared" si="33"/>
        <v>JV1-0695-3</v>
      </c>
      <c r="CI2166" s="1" t="s">
        <v>102</v>
      </c>
    </row>
    <row r="2167" spans="1:87">
      <c r="A2167" t="s">
        <v>3348</v>
      </c>
      <c r="B2167">
        <v>4575</v>
      </c>
      <c r="C2167" t="s">
        <v>958</v>
      </c>
      <c r="D2167" t="s">
        <v>249</v>
      </c>
      <c r="E2167" t="s">
        <v>642</v>
      </c>
      <c r="F2167" t="s">
        <v>657</v>
      </c>
      <c r="G2167" t="s">
        <v>959</v>
      </c>
      <c r="P2167">
        <v>24</v>
      </c>
      <c r="Q2167">
        <v>48</v>
      </c>
      <c r="R2167">
        <v>324</v>
      </c>
      <c r="S2167">
        <v>384</v>
      </c>
      <c r="T2167">
        <v>601</v>
      </c>
      <c r="U2167">
        <v>600</v>
      </c>
      <c r="V2167">
        <v>660</v>
      </c>
      <c r="W2167">
        <v>540</v>
      </c>
      <c r="X2167">
        <v>542</v>
      </c>
      <c r="Y2167">
        <v>360</v>
      </c>
      <c r="Z2167">
        <v>300</v>
      </c>
      <c r="AA2167">
        <v>78</v>
      </c>
      <c r="AB2167">
        <v>54</v>
      </c>
      <c r="AC2167">
        <v>30</v>
      </c>
      <c r="AD2167">
        <v>30</v>
      </c>
      <c r="CH2167" t="str">
        <f t="shared" si="33"/>
        <v>D-0271</v>
      </c>
      <c r="CI2167" s="1" t="s">
        <v>102</v>
      </c>
    </row>
    <row r="2168" spans="1:87">
      <c r="A2168" t="s">
        <v>3349</v>
      </c>
      <c r="B2168">
        <v>4035</v>
      </c>
      <c r="C2168" t="s">
        <v>958</v>
      </c>
      <c r="D2168" t="s">
        <v>249</v>
      </c>
      <c r="E2168" t="s">
        <v>642</v>
      </c>
      <c r="F2168" t="s">
        <v>657</v>
      </c>
      <c r="G2168" t="s">
        <v>959</v>
      </c>
      <c r="R2168">
        <v>300</v>
      </c>
      <c r="S2168">
        <v>384</v>
      </c>
      <c r="T2168">
        <v>565</v>
      </c>
      <c r="U2168">
        <v>600</v>
      </c>
      <c r="V2168">
        <v>636</v>
      </c>
      <c r="W2168">
        <v>480</v>
      </c>
      <c r="X2168">
        <v>482</v>
      </c>
      <c r="Y2168">
        <v>324</v>
      </c>
      <c r="Z2168">
        <v>264</v>
      </c>
      <c r="CH2168" t="str">
        <f t="shared" si="33"/>
        <v>D-0271</v>
      </c>
      <c r="CI2168" s="1" t="s">
        <v>102</v>
      </c>
    </row>
    <row r="2169" spans="1:87">
      <c r="A2169" t="s">
        <v>3350</v>
      </c>
      <c r="B2169">
        <v>2886</v>
      </c>
      <c r="C2169" t="s">
        <v>958</v>
      </c>
      <c r="D2169" t="s">
        <v>249</v>
      </c>
      <c r="E2169" t="s">
        <v>642</v>
      </c>
      <c r="F2169" t="s">
        <v>657</v>
      </c>
      <c r="G2169" t="s">
        <v>959</v>
      </c>
      <c r="R2169">
        <v>188</v>
      </c>
      <c r="S2169">
        <v>233</v>
      </c>
      <c r="T2169">
        <v>435</v>
      </c>
      <c r="U2169">
        <v>446</v>
      </c>
      <c r="V2169">
        <v>511</v>
      </c>
      <c r="W2169">
        <v>377</v>
      </c>
      <c r="X2169">
        <v>367</v>
      </c>
      <c r="Y2169">
        <v>194</v>
      </c>
      <c r="Z2169">
        <v>135</v>
      </c>
      <c r="CH2169" t="str">
        <f t="shared" si="33"/>
        <v>D-0271</v>
      </c>
      <c r="CI2169" s="1" t="s">
        <v>102</v>
      </c>
    </row>
    <row r="2170" spans="1:87">
      <c r="A2170" t="s">
        <v>3351</v>
      </c>
      <c r="B2170">
        <v>20</v>
      </c>
      <c r="C2170" t="s">
        <v>3352</v>
      </c>
      <c r="D2170" t="s">
        <v>369</v>
      </c>
      <c r="E2170" t="s">
        <v>629</v>
      </c>
      <c r="F2170" t="s">
        <v>634</v>
      </c>
      <c r="G2170" t="s">
        <v>3353</v>
      </c>
      <c r="Y2170">
        <v>10</v>
      </c>
      <c r="Z2170">
        <v>10</v>
      </c>
      <c r="CH2170" t="str">
        <f t="shared" si="33"/>
        <v>D-0529</v>
      </c>
      <c r="CI2170" s="1" t="s">
        <v>102</v>
      </c>
    </row>
    <row r="2171" spans="1:87">
      <c r="A2171" t="s">
        <v>3354</v>
      </c>
      <c r="B2171">
        <v>60</v>
      </c>
      <c r="C2171" t="s">
        <v>3352</v>
      </c>
      <c r="D2171" t="s">
        <v>369</v>
      </c>
      <c r="E2171" t="s">
        <v>629</v>
      </c>
      <c r="F2171" t="s">
        <v>634</v>
      </c>
      <c r="G2171" t="s">
        <v>3353</v>
      </c>
      <c r="W2171">
        <v>10</v>
      </c>
      <c r="X2171">
        <v>10</v>
      </c>
      <c r="Y2171">
        <v>10</v>
      </c>
      <c r="Z2171">
        <v>10</v>
      </c>
      <c r="AA2171">
        <v>10</v>
      </c>
      <c r="AC2171">
        <v>10</v>
      </c>
      <c r="CH2171" t="str">
        <f t="shared" si="33"/>
        <v>D-0529</v>
      </c>
      <c r="CI2171" s="1" t="s">
        <v>102</v>
      </c>
    </row>
    <row r="2172" spans="1:87">
      <c r="A2172" t="s">
        <v>3355</v>
      </c>
      <c r="B2172">
        <v>45</v>
      </c>
      <c r="C2172" t="s">
        <v>3352</v>
      </c>
      <c r="D2172" t="s">
        <v>369</v>
      </c>
      <c r="E2172" t="s">
        <v>629</v>
      </c>
      <c r="F2172" t="s">
        <v>634</v>
      </c>
      <c r="G2172" t="s">
        <v>3353</v>
      </c>
      <c r="V2172">
        <v>5</v>
      </c>
      <c r="W2172">
        <v>5</v>
      </c>
      <c r="X2172">
        <v>5</v>
      </c>
      <c r="Y2172">
        <v>5</v>
      </c>
      <c r="Z2172">
        <v>5</v>
      </c>
      <c r="AA2172">
        <v>5</v>
      </c>
      <c r="AB2172">
        <v>5</v>
      </c>
      <c r="AC2172">
        <v>5</v>
      </c>
      <c r="AD2172">
        <v>5</v>
      </c>
      <c r="CH2172" t="str">
        <f t="shared" si="33"/>
        <v>D-0529</v>
      </c>
      <c r="CI2172" s="1" t="s">
        <v>102</v>
      </c>
    </row>
    <row r="2173" spans="1:87">
      <c r="A2173" t="s">
        <v>3356</v>
      </c>
      <c r="B2173">
        <v>282</v>
      </c>
      <c r="C2173" t="s">
        <v>3352</v>
      </c>
      <c r="D2173" t="s">
        <v>369</v>
      </c>
      <c r="E2173" t="s">
        <v>629</v>
      </c>
      <c r="F2173" t="s">
        <v>634</v>
      </c>
      <c r="G2173" t="s">
        <v>3353</v>
      </c>
      <c r="V2173">
        <v>10</v>
      </c>
      <c r="W2173">
        <v>20</v>
      </c>
      <c r="X2173">
        <v>32</v>
      </c>
      <c r="Y2173">
        <v>30</v>
      </c>
      <c r="Z2173">
        <v>40</v>
      </c>
      <c r="AA2173">
        <v>40</v>
      </c>
      <c r="AB2173">
        <v>40</v>
      </c>
      <c r="AC2173">
        <v>20</v>
      </c>
      <c r="AD2173">
        <v>20</v>
      </c>
      <c r="AE2173">
        <v>10</v>
      </c>
      <c r="AF2173">
        <v>10</v>
      </c>
      <c r="AH2173">
        <v>10</v>
      </c>
      <c r="CH2173" t="str">
        <f t="shared" si="33"/>
        <v>D-0529</v>
      </c>
      <c r="CI2173" s="1" t="s">
        <v>102</v>
      </c>
    </row>
    <row r="2174" spans="1:87">
      <c r="A2174" t="s">
        <v>3359</v>
      </c>
      <c r="B2174">
        <v>1802</v>
      </c>
      <c r="C2174" t="s">
        <v>1079</v>
      </c>
      <c r="D2174" t="s">
        <v>365</v>
      </c>
      <c r="E2174" t="s">
        <v>642</v>
      </c>
      <c r="F2174" t="s">
        <v>706</v>
      </c>
      <c r="G2174" t="s">
        <v>1454</v>
      </c>
      <c r="N2174">
        <v>24</v>
      </c>
      <c r="O2174">
        <v>48</v>
      </c>
      <c r="P2174">
        <v>204</v>
      </c>
      <c r="Q2174">
        <v>204</v>
      </c>
      <c r="R2174">
        <v>216</v>
      </c>
      <c r="S2174">
        <v>216</v>
      </c>
      <c r="T2174">
        <v>218</v>
      </c>
      <c r="U2174">
        <v>216</v>
      </c>
      <c r="V2174">
        <v>204</v>
      </c>
      <c r="W2174">
        <v>204</v>
      </c>
      <c r="Y2174">
        <v>48</v>
      </c>
      <c r="CH2174" t="str">
        <f t="shared" si="33"/>
        <v>D-0524</v>
      </c>
      <c r="CI2174" s="1" t="s">
        <v>102</v>
      </c>
    </row>
    <row r="2175" spans="1:87">
      <c r="A2175" t="s">
        <v>3360</v>
      </c>
      <c r="B2175">
        <v>6014</v>
      </c>
      <c r="C2175" t="s">
        <v>948</v>
      </c>
      <c r="D2175" t="s">
        <v>365</v>
      </c>
      <c r="E2175" t="s">
        <v>642</v>
      </c>
      <c r="F2175" t="s">
        <v>706</v>
      </c>
      <c r="G2175" t="s">
        <v>1355</v>
      </c>
      <c r="M2175">
        <v>6</v>
      </c>
      <c r="N2175">
        <v>6</v>
      </c>
      <c r="P2175">
        <v>36</v>
      </c>
      <c r="Q2175">
        <v>108</v>
      </c>
      <c r="R2175">
        <v>648</v>
      </c>
      <c r="S2175">
        <v>780</v>
      </c>
      <c r="T2175">
        <v>1322</v>
      </c>
      <c r="U2175">
        <v>1320</v>
      </c>
      <c r="V2175">
        <v>912</v>
      </c>
      <c r="W2175">
        <v>696</v>
      </c>
      <c r="X2175">
        <v>132</v>
      </c>
      <c r="Y2175">
        <v>48</v>
      </c>
      <c r="CH2175" t="str">
        <f t="shared" si="33"/>
        <v>D-0524</v>
      </c>
      <c r="CI2175" s="1" t="s">
        <v>102</v>
      </c>
    </row>
    <row r="2176" spans="1:87">
      <c r="A2176" t="s">
        <v>3363</v>
      </c>
      <c r="B2176">
        <v>2329</v>
      </c>
      <c r="C2176" t="s">
        <v>1034</v>
      </c>
      <c r="D2176" t="s">
        <v>114</v>
      </c>
      <c r="E2176" t="s">
        <v>642</v>
      </c>
      <c r="F2176" t="s">
        <v>632</v>
      </c>
      <c r="G2176" t="s">
        <v>3364</v>
      </c>
      <c r="P2176">
        <v>21</v>
      </c>
      <c r="Q2176">
        <v>46</v>
      </c>
      <c r="R2176">
        <v>77</v>
      </c>
      <c r="S2176">
        <v>357</v>
      </c>
      <c r="T2176">
        <v>161</v>
      </c>
      <c r="U2176">
        <v>583</v>
      </c>
      <c r="V2176">
        <v>149</v>
      </c>
      <c r="W2176">
        <v>507</v>
      </c>
      <c r="X2176">
        <v>80</v>
      </c>
      <c r="Y2176">
        <v>271</v>
      </c>
      <c r="Z2176">
        <v>15</v>
      </c>
      <c r="AA2176">
        <v>49</v>
      </c>
      <c r="AB2176">
        <v>7</v>
      </c>
      <c r="AC2176">
        <v>6</v>
      </c>
      <c r="CH2176" t="str">
        <f t="shared" si="33"/>
        <v>D-0002</v>
      </c>
      <c r="CI2176" s="1" t="s">
        <v>102</v>
      </c>
    </row>
    <row r="2177" spans="1:87">
      <c r="A2177" t="s">
        <v>3365</v>
      </c>
      <c r="B2177">
        <v>5034</v>
      </c>
      <c r="C2177" s="59" t="s">
        <v>1034</v>
      </c>
      <c r="D2177" s="59" t="s">
        <v>114</v>
      </c>
      <c r="E2177" s="59" t="s">
        <v>642</v>
      </c>
      <c r="F2177" t="s">
        <v>632</v>
      </c>
      <c r="G2177" t="s">
        <v>3364</v>
      </c>
      <c r="Q2177">
        <v>163</v>
      </c>
      <c r="R2177">
        <v>229</v>
      </c>
      <c r="S2177">
        <v>506</v>
      </c>
      <c r="T2177">
        <v>603</v>
      </c>
      <c r="U2177">
        <v>789</v>
      </c>
      <c r="V2177">
        <v>783</v>
      </c>
      <c r="W2177">
        <v>855</v>
      </c>
      <c r="X2177">
        <v>448</v>
      </c>
      <c r="Y2177">
        <v>452</v>
      </c>
      <c r="Z2177">
        <v>206</v>
      </c>
      <c r="CH2177" t="str">
        <f t="shared" si="33"/>
        <v>D-0002</v>
      </c>
      <c r="CI2177" s="1" t="s">
        <v>102</v>
      </c>
    </row>
    <row r="2178" spans="1:87">
      <c r="A2178" t="s">
        <v>3366</v>
      </c>
      <c r="B2178">
        <v>3967</v>
      </c>
      <c r="C2178" t="s">
        <v>741</v>
      </c>
      <c r="D2178" t="s">
        <v>195</v>
      </c>
      <c r="E2178" t="s">
        <v>629</v>
      </c>
      <c r="F2178" t="s">
        <v>630</v>
      </c>
      <c r="G2178" t="s">
        <v>3367</v>
      </c>
      <c r="R2178">
        <v>8</v>
      </c>
      <c r="S2178">
        <v>37</v>
      </c>
      <c r="T2178">
        <v>287</v>
      </c>
      <c r="U2178">
        <v>474</v>
      </c>
      <c r="V2178">
        <v>827</v>
      </c>
      <c r="W2178">
        <v>1057</v>
      </c>
      <c r="X2178">
        <v>667</v>
      </c>
      <c r="Y2178">
        <v>610</v>
      </c>
      <c r="CH2178" t="str">
        <f t="shared" ref="CH2178:CH2241" si="34">TRIM(IFERROR(IFERROR(MID($D2178,FIND("(D-",$D2178)+1,6),LEFT($D2178,FIND("(",$D2178)-1)),$D2178))</f>
        <v>D-0189</v>
      </c>
      <c r="CI2178" s="1" t="s">
        <v>102</v>
      </c>
    </row>
    <row r="2179" spans="1:87">
      <c r="A2179" t="s">
        <v>3368</v>
      </c>
      <c r="B2179">
        <v>9480</v>
      </c>
      <c r="C2179" t="s">
        <v>1210</v>
      </c>
      <c r="D2179" t="s">
        <v>195</v>
      </c>
      <c r="E2179" t="s">
        <v>629</v>
      </c>
      <c r="F2179" t="s">
        <v>630</v>
      </c>
      <c r="G2179" t="s">
        <v>3369</v>
      </c>
      <c r="U2179">
        <v>41</v>
      </c>
      <c r="V2179">
        <v>381</v>
      </c>
      <c r="W2179">
        <v>708</v>
      </c>
      <c r="X2179">
        <v>890</v>
      </c>
      <c r="Y2179">
        <v>1296</v>
      </c>
      <c r="Z2179">
        <v>1403</v>
      </c>
      <c r="AA2179">
        <v>1286</v>
      </c>
      <c r="AB2179">
        <v>1366</v>
      </c>
      <c r="AC2179">
        <v>816</v>
      </c>
      <c r="AD2179">
        <v>869</v>
      </c>
      <c r="AE2179">
        <v>95</v>
      </c>
      <c r="AF2179">
        <v>213</v>
      </c>
      <c r="AH2179">
        <v>103</v>
      </c>
      <c r="AJ2179">
        <v>13</v>
      </c>
      <c r="CH2179" t="str">
        <f t="shared" si="34"/>
        <v>D-0189</v>
      </c>
      <c r="CI2179" s="1" t="s">
        <v>102</v>
      </c>
    </row>
    <row r="2180" spans="1:87">
      <c r="A2180" t="s">
        <v>3370</v>
      </c>
      <c r="B2180">
        <v>3157</v>
      </c>
      <c r="C2180" t="s">
        <v>1212</v>
      </c>
      <c r="D2180" t="s">
        <v>195</v>
      </c>
      <c r="E2180" t="s">
        <v>642</v>
      </c>
      <c r="F2180" t="s">
        <v>630</v>
      </c>
      <c r="G2180" t="s">
        <v>3371</v>
      </c>
      <c r="P2180">
        <v>13</v>
      </c>
      <c r="Q2180">
        <v>82</v>
      </c>
      <c r="R2180">
        <v>289</v>
      </c>
      <c r="S2180">
        <v>406</v>
      </c>
      <c r="T2180">
        <v>693</v>
      </c>
      <c r="U2180">
        <v>664</v>
      </c>
      <c r="V2180">
        <v>497</v>
      </c>
      <c r="W2180">
        <v>278</v>
      </c>
      <c r="X2180">
        <v>139</v>
      </c>
      <c r="Y2180">
        <v>79</v>
      </c>
      <c r="Z2180">
        <v>10</v>
      </c>
      <c r="AA2180">
        <v>6</v>
      </c>
      <c r="AC2180">
        <v>1</v>
      </c>
      <c r="CH2180" t="str">
        <f t="shared" si="34"/>
        <v>D-0189</v>
      </c>
      <c r="CI2180" s="1" t="s">
        <v>102</v>
      </c>
    </row>
    <row r="2181" spans="1:87">
      <c r="A2181" t="s">
        <v>3373</v>
      </c>
      <c r="B2181">
        <v>2345</v>
      </c>
      <c r="C2181" t="s">
        <v>1112</v>
      </c>
      <c r="D2181" t="s">
        <v>199</v>
      </c>
      <c r="E2181" t="s">
        <v>629</v>
      </c>
      <c r="F2181" t="s">
        <v>725</v>
      </c>
      <c r="G2181" t="s">
        <v>2493</v>
      </c>
      <c r="O2181">
        <v>1</v>
      </c>
      <c r="P2181">
        <v>4</v>
      </c>
      <c r="Q2181">
        <v>4</v>
      </c>
      <c r="R2181">
        <v>35</v>
      </c>
      <c r="S2181">
        <v>56</v>
      </c>
      <c r="T2181">
        <v>86</v>
      </c>
      <c r="U2181">
        <v>76</v>
      </c>
      <c r="V2181">
        <v>192</v>
      </c>
      <c r="W2181">
        <v>188</v>
      </c>
      <c r="X2181">
        <v>211</v>
      </c>
      <c r="Y2181">
        <v>265</v>
      </c>
      <c r="Z2181">
        <v>252</v>
      </c>
      <c r="AA2181">
        <v>141</v>
      </c>
      <c r="AB2181">
        <v>210</v>
      </c>
      <c r="AC2181">
        <v>153</v>
      </c>
      <c r="AD2181">
        <v>179</v>
      </c>
      <c r="AE2181">
        <v>97</v>
      </c>
      <c r="AF2181">
        <v>106</v>
      </c>
      <c r="AH2181">
        <v>56</v>
      </c>
      <c r="AJ2181">
        <v>33</v>
      </c>
      <c r="CH2181" t="str">
        <f t="shared" si="34"/>
        <v>D-0203</v>
      </c>
      <c r="CI2181" s="1" t="s">
        <v>102</v>
      </c>
    </row>
    <row r="2182" spans="1:87">
      <c r="A2182" t="s">
        <v>3375</v>
      </c>
      <c r="B2182">
        <v>4563</v>
      </c>
      <c r="C2182" t="s">
        <v>727</v>
      </c>
      <c r="D2182" t="s">
        <v>505</v>
      </c>
      <c r="E2182" t="s">
        <v>629</v>
      </c>
      <c r="F2182" t="s">
        <v>657</v>
      </c>
      <c r="G2182" t="s">
        <v>728</v>
      </c>
      <c r="V2182">
        <v>301</v>
      </c>
      <c r="W2182">
        <v>360</v>
      </c>
      <c r="X2182">
        <v>602</v>
      </c>
      <c r="Y2182">
        <v>540</v>
      </c>
      <c r="Z2182">
        <v>720</v>
      </c>
      <c r="AA2182">
        <v>540</v>
      </c>
      <c r="AB2182">
        <v>480</v>
      </c>
      <c r="AC2182">
        <v>240</v>
      </c>
      <c r="AD2182">
        <v>300</v>
      </c>
      <c r="AF2182">
        <v>480</v>
      </c>
      <c r="CH2182" t="str">
        <f t="shared" si="34"/>
        <v>QMR-2</v>
      </c>
      <c r="CI2182" s="1" t="s">
        <v>102</v>
      </c>
    </row>
    <row r="2183" spans="1:87">
      <c r="A2183" t="s">
        <v>3376</v>
      </c>
      <c r="B2183">
        <v>4323</v>
      </c>
      <c r="C2183" t="s">
        <v>727</v>
      </c>
      <c r="D2183" t="s">
        <v>505</v>
      </c>
      <c r="E2183" t="s">
        <v>629</v>
      </c>
      <c r="F2183" t="s">
        <v>657</v>
      </c>
      <c r="G2183" t="s">
        <v>728</v>
      </c>
      <c r="V2183">
        <v>301</v>
      </c>
      <c r="W2183">
        <v>240</v>
      </c>
      <c r="X2183">
        <v>602</v>
      </c>
      <c r="Y2183">
        <v>504</v>
      </c>
      <c r="Z2183">
        <v>696</v>
      </c>
      <c r="AA2183">
        <v>504</v>
      </c>
      <c r="AB2183">
        <v>480</v>
      </c>
      <c r="AC2183">
        <v>240</v>
      </c>
      <c r="AD2183">
        <v>300</v>
      </c>
      <c r="AF2183">
        <v>456</v>
      </c>
      <c r="CH2183" t="str">
        <f t="shared" si="34"/>
        <v>QMR-2</v>
      </c>
      <c r="CI2183" s="1" t="s">
        <v>102</v>
      </c>
    </row>
    <row r="2184" spans="1:87">
      <c r="A2184" t="s">
        <v>3377</v>
      </c>
      <c r="B2184">
        <v>2996</v>
      </c>
      <c r="C2184" t="s">
        <v>727</v>
      </c>
      <c r="D2184" t="s">
        <v>505</v>
      </c>
      <c r="E2184" t="s">
        <v>629</v>
      </c>
      <c r="F2184" t="s">
        <v>657</v>
      </c>
      <c r="G2184" t="s">
        <v>728</v>
      </c>
      <c r="V2184">
        <v>164</v>
      </c>
      <c r="W2184">
        <v>115</v>
      </c>
      <c r="X2184">
        <v>477</v>
      </c>
      <c r="Y2184">
        <v>348</v>
      </c>
      <c r="Z2184">
        <v>570</v>
      </c>
      <c r="AA2184">
        <v>374</v>
      </c>
      <c r="AB2184">
        <v>352</v>
      </c>
      <c r="AC2184">
        <v>127</v>
      </c>
      <c r="AD2184">
        <v>134</v>
      </c>
      <c r="AF2184">
        <v>335</v>
      </c>
      <c r="CH2184" t="str">
        <f t="shared" si="34"/>
        <v>QMR-2</v>
      </c>
      <c r="CI2184" s="1" t="s">
        <v>102</v>
      </c>
    </row>
    <row r="2185" spans="1:87">
      <c r="A2185" t="s">
        <v>3378</v>
      </c>
      <c r="B2185">
        <v>6570</v>
      </c>
      <c r="C2185" t="s">
        <v>1378</v>
      </c>
      <c r="D2185" t="s">
        <v>195</v>
      </c>
      <c r="E2185" t="s">
        <v>642</v>
      </c>
      <c r="F2185" t="s">
        <v>630</v>
      </c>
      <c r="G2185" t="s">
        <v>3371</v>
      </c>
      <c r="P2185">
        <v>138</v>
      </c>
      <c r="Q2185">
        <v>426</v>
      </c>
      <c r="R2185">
        <v>729</v>
      </c>
      <c r="S2185">
        <v>1168</v>
      </c>
      <c r="T2185">
        <v>1236</v>
      </c>
      <c r="U2185">
        <v>984</v>
      </c>
      <c r="V2185">
        <v>892</v>
      </c>
      <c r="W2185">
        <v>435</v>
      </c>
      <c r="X2185">
        <v>101</v>
      </c>
      <c r="Y2185">
        <v>117</v>
      </c>
      <c r="Z2185">
        <v>116</v>
      </c>
      <c r="AA2185">
        <v>98</v>
      </c>
      <c r="AB2185">
        <v>67</v>
      </c>
      <c r="AC2185">
        <v>41</v>
      </c>
      <c r="AD2185">
        <v>22</v>
      </c>
      <c r="CH2185" t="str">
        <f t="shared" si="34"/>
        <v>D-0189</v>
      </c>
      <c r="CI2185" s="1" t="s">
        <v>102</v>
      </c>
    </row>
    <row r="2186" spans="1:87">
      <c r="A2186" t="s">
        <v>3380</v>
      </c>
      <c r="B2186">
        <v>5613</v>
      </c>
      <c r="C2186" t="s">
        <v>940</v>
      </c>
      <c r="D2186" t="s">
        <v>249</v>
      </c>
      <c r="E2186" t="s">
        <v>642</v>
      </c>
      <c r="F2186" t="s">
        <v>657</v>
      </c>
      <c r="G2186" t="s">
        <v>941</v>
      </c>
      <c r="Q2186">
        <v>125</v>
      </c>
      <c r="R2186">
        <v>232</v>
      </c>
      <c r="S2186">
        <v>380</v>
      </c>
      <c r="T2186">
        <v>449</v>
      </c>
      <c r="U2186">
        <v>465</v>
      </c>
      <c r="V2186">
        <v>555</v>
      </c>
      <c r="W2186">
        <v>538</v>
      </c>
      <c r="X2186">
        <v>263</v>
      </c>
      <c r="Y2186">
        <v>402</v>
      </c>
      <c r="Z2186">
        <v>425</v>
      </c>
      <c r="AA2186">
        <v>295</v>
      </c>
      <c r="AB2186">
        <v>385</v>
      </c>
      <c r="AC2186">
        <v>266</v>
      </c>
      <c r="AD2186">
        <v>193</v>
      </c>
      <c r="AE2186">
        <v>198</v>
      </c>
      <c r="AF2186">
        <v>136</v>
      </c>
      <c r="AG2186">
        <v>113</v>
      </c>
      <c r="AH2186">
        <v>91</v>
      </c>
      <c r="AI2186">
        <v>57</v>
      </c>
      <c r="AK2186">
        <v>45</v>
      </c>
      <c r="CH2186" t="str">
        <f t="shared" si="34"/>
        <v>D-0271</v>
      </c>
      <c r="CI2186" s="1" t="s">
        <v>102</v>
      </c>
    </row>
    <row r="2187" spans="1:87">
      <c r="A2187" t="s">
        <v>3381</v>
      </c>
      <c r="B2187">
        <v>6806</v>
      </c>
      <c r="C2187" t="s">
        <v>3382</v>
      </c>
      <c r="D2187" t="s">
        <v>308</v>
      </c>
      <c r="E2187" t="s">
        <v>629</v>
      </c>
      <c r="F2187" t="s">
        <v>633</v>
      </c>
      <c r="G2187" t="s">
        <v>3383</v>
      </c>
      <c r="M2187">
        <v>22</v>
      </c>
      <c r="N2187">
        <v>24</v>
      </c>
      <c r="O2187">
        <v>333</v>
      </c>
      <c r="P2187">
        <v>425</v>
      </c>
      <c r="Q2187">
        <v>752</v>
      </c>
      <c r="R2187">
        <v>752</v>
      </c>
      <c r="S2187">
        <v>1129</v>
      </c>
      <c r="T2187">
        <v>1061</v>
      </c>
      <c r="U2187">
        <v>749</v>
      </c>
      <c r="V2187">
        <v>607</v>
      </c>
      <c r="W2187">
        <v>607</v>
      </c>
      <c r="X2187">
        <v>15</v>
      </c>
      <c r="Y2187">
        <v>283</v>
      </c>
      <c r="Z2187">
        <v>10</v>
      </c>
      <c r="AA2187">
        <v>37</v>
      </c>
      <c r="CH2187" t="str">
        <f t="shared" si="34"/>
        <v>D-0454</v>
      </c>
      <c r="CI2187" s="1" t="s">
        <v>102</v>
      </c>
    </row>
    <row r="2188" spans="1:87">
      <c r="A2188" t="s">
        <v>3384</v>
      </c>
      <c r="B2188">
        <v>7680</v>
      </c>
      <c r="C2188" t="s">
        <v>3385</v>
      </c>
      <c r="D2188" t="s">
        <v>308</v>
      </c>
      <c r="E2188" t="s">
        <v>629</v>
      </c>
      <c r="F2188" t="s">
        <v>633</v>
      </c>
      <c r="G2188" t="s">
        <v>3386</v>
      </c>
      <c r="M2188">
        <v>45</v>
      </c>
      <c r="N2188">
        <v>56</v>
      </c>
      <c r="O2188">
        <v>541</v>
      </c>
      <c r="P2188">
        <v>476</v>
      </c>
      <c r="Q2188">
        <v>1055</v>
      </c>
      <c r="R2188">
        <v>834</v>
      </c>
      <c r="S2188">
        <v>1359</v>
      </c>
      <c r="T2188">
        <v>957</v>
      </c>
      <c r="U2188">
        <v>949</v>
      </c>
      <c r="V2188">
        <v>490</v>
      </c>
      <c r="W2188">
        <v>597</v>
      </c>
      <c r="X2188">
        <v>55</v>
      </c>
      <c r="Y2188">
        <v>211</v>
      </c>
      <c r="Z2188">
        <v>28</v>
      </c>
      <c r="AA2188">
        <v>27</v>
      </c>
      <c r="CH2188" t="str">
        <f t="shared" si="34"/>
        <v>D-0454</v>
      </c>
      <c r="CI2188" s="1" t="s">
        <v>102</v>
      </c>
    </row>
    <row r="2189" spans="1:87">
      <c r="A2189" t="s">
        <v>3390</v>
      </c>
      <c r="B2189">
        <v>6900</v>
      </c>
      <c r="C2189" t="s">
        <v>3391</v>
      </c>
      <c r="D2189" t="s">
        <v>308</v>
      </c>
      <c r="E2189" t="s">
        <v>629</v>
      </c>
      <c r="F2189" t="s">
        <v>633</v>
      </c>
      <c r="G2189" t="s">
        <v>3392</v>
      </c>
      <c r="R2189">
        <v>33</v>
      </c>
      <c r="S2189">
        <v>45</v>
      </c>
      <c r="T2189">
        <v>308</v>
      </c>
      <c r="U2189">
        <v>263</v>
      </c>
      <c r="V2189">
        <v>507</v>
      </c>
      <c r="W2189">
        <v>508</v>
      </c>
      <c r="X2189">
        <v>605</v>
      </c>
      <c r="Y2189">
        <v>618</v>
      </c>
      <c r="Z2189">
        <v>803</v>
      </c>
      <c r="AA2189">
        <v>836</v>
      </c>
      <c r="AB2189">
        <v>800</v>
      </c>
      <c r="AC2189">
        <v>397</v>
      </c>
      <c r="AD2189">
        <v>600</v>
      </c>
      <c r="AE2189">
        <v>27</v>
      </c>
      <c r="AF2189">
        <v>427</v>
      </c>
      <c r="AH2189">
        <v>72</v>
      </c>
      <c r="AJ2189">
        <v>51</v>
      </c>
      <c r="CH2189" t="str">
        <f t="shared" si="34"/>
        <v>D-0454</v>
      </c>
      <c r="CI2189" s="1" t="s">
        <v>102</v>
      </c>
    </row>
    <row r="2190" spans="1:87">
      <c r="A2190" t="s">
        <v>3393</v>
      </c>
      <c r="B2190">
        <v>2850</v>
      </c>
      <c r="C2190" t="s">
        <v>3394</v>
      </c>
      <c r="D2190" t="s">
        <v>308</v>
      </c>
      <c r="E2190" t="s">
        <v>629</v>
      </c>
      <c r="F2190" t="s">
        <v>633</v>
      </c>
      <c r="G2190" t="s">
        <v>2418</v>
      </c>
      <c r="R2190">
        <v>14</v>
      </c>
      <c r="S2190">
        <v>19</v>
      </c>
      <c r="T2190">
        <v>58</v>
      </c>
      <c r="U2190">
        <v>90</v>
      </c>
      <c r="V2190">
        <v>155</v>
      </c>
      <c r="W2190">
        <v>152</v>
      </c>
      <c r="X2190">
        <v>327</v>
      </c>
      <c r="Y2190">
        <v>302</v>
      </c>
      <c r="Z2190">
        <v>363</v>
      </c>
      <c r="AA2190">
        <v>356</v>
      </c>
      <c r="AB2190">
        <v>354</v>
      </c>
      <c r="AC2190">
        <v>179</v>
      </c>
      <c r="AD2190">
        <v>230</v>
      </c>
      <c r="AE2190">
        <v>30</v>
      </c>
      <c r="AF2190">
        <v>172</v>
      </c>
      <c r="AH2190">
        <v>34</v>
      </c>
      <c r="AJ2190">
        <v>15</v>
      </c>
      <c r="CH2190" t="str">
        <f t="shared" si="34"/>
        <v>D-0454</v>
      </c>
      <c r="CI2190" s="1" t="s">
        <v>102</v>
      </c>
    </row>
    <row r="2191" spans="1:87">
      <c r="A2191" t="s">
        <v>3395</v>
      </c>
      <c r="B2191">
        <v>4865</v>
      </c>
      <c r="C2191" t="s">
        <v>3396</v>
      </c>
      <c r="D2191" t="s">
        <v>308</v>
      </c>
      <c r="E2191" t="s">
        <v>629</v>
      </c>
      <c r="F2191" t="s">
        <v>633</v>
      </c>
      <c r="G2191" t="s">
        <v>3397</v>
      </c>
      <c r="R2191">
        <v>30</v>
      </c>
      <c r="S2191">
        <v>30</v>
      </c>
      <c r="T2191">
        <v>286</v>
      </c>
      <c r="U2191">
        <v>274</v>
      </c>
      <c r="V2191">
        <v>441</v>
      </c>
      <c r="W2191">
        <v>348</v>
      </c>
      <c r="X2191">
        <v>459</v>
      </c>
      <c r="Y2191">
        <v>368</v>
      </c>
      <c r="Z2191">
        <v>582</v>
      </c>
      <c r="AA2191">
        <v>503</v>
      </c>
      <c r="AB2191">
        <v>556</v>
      </c>
      <c r="AC2191">
        <v>244</v>
      </c>
      <c r="AD2191">
        <v>404</v>
      </c>
      <c r="AE2191">
        <v>15</v>
      </c>
      <c r="AF2191">
        <v>256</v>
      </c>
      <c r="AH2191">
        <v>48</v>
      </c>
      <c r="AJ2191">
        <v>21</v>
      </c>
      <c r="CH2191" t="str">
        <f t="shared" si="34"/>
        <v>D-0454</v>
      </c>
      <c r="CI2191" s="1" t="s">
        <v>102</v>
      </c>
    </row>
    <row r="2192" spans="1:87">
      <c r="A2192" t="s">
        <v>3446</v>
      </c>
      <c r="B2192">
        <v>4098</v>
      </c>
      <c r="C2192" t="s">
        <v>3447</v>
      </c>
      <c r="D2192" t="s">
        <v>217</v>
      </c>
      <c r="E2192" t="s">
        <v>642</v>
      </c>
      <c r="F2192" t="s">
        <v>644</v>
      </c>
      <c r="G2192" t="s">
        <v>3448</v>
      </c>
      <c r="P2192">
        <v>18</v>
      </c>
      <c r="Q2192">
        <v>78</v>
      </c>
      <c r="R2192">
        <v>379</v>
      </c>
      <c r="S2192">
        <v>829</v>
      </c>
      <c r="T2192">
        <v>836</v>
      </c>
      <c r="U2192">
        <v>829</v>
      </c>
      <c r="V2192">
        <v>829</v>
      </c>
      <c r="W2192">
        <v>282</v>
      </c>
      <c r="X2192">
        <v>18</v>
      </c>
      <c r="CH2192" t="str">
        <f t="shared" si="34"/>
        <v>D-0260</v>
      </c>
      <c r="CI2192" s="1" t="s">
        <v>102</v>
      </c>
    </row>
    <row r="2193" spans="1:87">
      <c r="A2193" t="s">
        <v>3450</v>
      </c>
      <c r="B2193">
        <v>4378</v>
      </c>
      <c r="C2193" t="s">
        <v>1561</v>
      </c>
      <c r="D2193" t="s">
        <v>444</v>
      </c>
      <c r="E2193" t="s">
        <v>629</v>
      </c>
      <c r="F2193" t="s">
        <v>636</v>
      </c>
      <c r="G2193" t="s">
        <v>1562</v>
      </c>
      <c r="S2193">
        <v>191</v>
      </c>
      <c r="T2193">
        <v>265</v>
      </c>
      <c r="U2193">
        <v>382</v>
      </c>
      <c r="V2193">
        <v>763</v>
      </c>
      <c r="W2193">
        <v>803</v>
      </c>
      <c r="X2193">
        <v>716</v>
      </c>
      <c r="Y2193">
        <v>725</v>
      </c>
      <c r="Z2193">
        <v>533</v>
      </c>
      <c r="CH2193" t="str">
        <f t="shared" si="34"/>
        <v>D-0686</v>
      </c>
      <c r="CI2193" s="1" t="s">
        <v>102</v>
      </c>
    </row>
    <row r="2194" spans="1:87">
      <c r="A2194" t="s">
        <v>3452</v>
      </c>
      <c r="B2194">
        <v>4549</v>
      </c>
      <c r="C2194" t="s">
        <v>1184</v>
      </c>
      <c r="D2194" t="s">
        <v>444</v>
      </c>
      <c r="E2194" t="s">
        <v>642</v>
      </c>
      <c r="F2194" t="s">
        <v>636</v>
      </c>
      <c r="G2194" t="s">
        <v>1185</v>
      </c>
      <c r="R2194">
        <v>814</v>
      </c>
      <c r="S2194">
        <v>1101</v>
      </c>
      <c r="T2194">
        <v>1292</v>
      </c>
      <c r="U2194">
        <v>798</v>
      </c>
      <c r="V2194">
        <v>544</v>
      </c>
      <c r="CH2194" t="str">
        <f t="shared" si="34"/>
        <v>D-0686</v>
      </c>
      <c r="CI2194" s="1" t="s">
        <v>102</v>
      </c>
    </row>
    <row r="2195" spans="1:87">
      <c r="A2195" t="s">
        <v>3453</v>
      </c>
      <c r="B2195">
        <v>4499</v>
      </c>
      <c r="C2195" t="s">
        <v>3454</v>
      </c>
      <c r="D2195" t="s">
        <v>444</v>
      </c>
      <c r="E2195" t="s">
        <v>629</v>
      </c>
      <c r="F2195" t="s">
        <v>636</v>
      </c>
      <c r="G2195" t="s">
        <v>637</v>
      </c>
      <c r="R2195">
        <v>43</v>
      </c>
      <c r="S2195">
        <v>51</v>
      </c>
      <c r="T2195">
        <v>92</v>
      </c>
      <c r="U2195">
        <v>106</v>
      </c>
      <c r="V2195">
        <v>235</v>
      </c>
      <c r="W2195">
        <v>267</v>
      </c>
      <c r="X2195">
        <v>393</v>
      </c>
      <c r="Y2195">
        <v>452</v>
      </c>
      <c r="Z2195">
        <v>502</v>
      </c>
      <c r="AA2195">
        <v>551</v>
      </c>
      <c r="AB2195">
        <v>498</v>
      </c>
      <c r="AC2195">
        <v>301</v>
      </c>
      <c r="AD2195">
        <v>402</v>
      </c>
      <c r="AE2195">
        <v>122</v>
      </c>
      <c r="AF2195">
        <v>281</v>
      </c>
      <c r="AH2195">
        <v>132</v>
      </c>
      <c r="AJ2195">
        <v>71</v>
      </c>
      <c r="CH2195" t="str">
        <f t="shared" si="34"/>
        <v>D-0686</v>
      </c>
      <c r="CI2195" s="1" t="s">
        <v>102</v>
      </c>
    </row>
    <row r="2196" spans="1:87">
      <c r="A2196" t="s">
        <v>3473</v>
      </c>
      <c r="B2196">
        <v>4801</v>
      </c>
      <c r="C2196" t="s">
        <v>1192</v>
      </c>
      <c r="D2196" t="s">
        <v>195</v>
      </c>
      <c r="E2196" t="s">
        <v>642</v>
      </c>
      <c r="F2196" t="s">
        <v>630</v>
      </c>
      <c r="G2196" t="s">
        <v>3474</v>
      </c>
      <c r="P2196">
        <v>128</v>
      </c>
      <c r="Q2196">
        <v>240</v>
      </c>
      <c r="R2196">
        <v>540</v>
      </c>
      <c r="S2196">
        <v>600</v>
      </c>
      <c r="T2196">
        <v>865</v>
      </c>
      <c r="U2196">
        <v>744</v>
      </c>
      <c r="V2196">
        <v>674</v>
      </c>
      <c r="W2196">
        <v>312</v>
      </c>
      <c r="X2196">
        <v>240</v>
      </c>
      <c r="Y2196">
        <v>240</v>
      </c>
      <c r="Z2196">
        <v>178</v>
      </c>
      <c r="AA2196">
        <v>40</v>
      </c>
      <c r="CH2196" t="str">
        <f t="shared" si="34"/>
        <v>D-0189</v>
      </c>
      <c r="CI2196" s="1" t="s">
        <v>102</v>
      </c>
    </row>
    <row r="2197" spans="1:87">
      <c r="A2197" t="s">
        <v>3475</v>
      </c>
      <c r="B2197">
        <v>4038</v>
      </c>
      <c r="C2197" t="s">
        <v>1192</v>
      </c>
      <c r="D2197" t="s">
        <v>195</v>
      </c>
      <c r="E2197" t="s">
        <v>642</v>
      </c>
      <c r="F2197" t="s">
        <v>630</v>
      </c>
      <c r="G2197" t="s">
        <v>3474</v>
      </c>
      <c r="Q2197">
        <v>110</v>
      </c>
      <c r="R2197">
        <v>480</v>
      </c>
      <c r="S2197">
        <v>600</v>
      </c>
      <c r="T2197">
        <v>865</v>
      </c>
      <c r="U2197">
        <v>720</v>
      </c>
      <c r="V2197">
        <v>674</v>
      </c>
      <c r="W2197">
        <v>240</v>
      </c>
      <c r="X2197">
        <v>240</v>
      </c>
      <c r="Y2197">
        <v>109</v>
      </c>
      <c r="CH2197" t="str">
        <f t="shared" si="34"/>
        <v>D-0189</v>
      </c>
      <c r="CI2197" s="1" t="s">
        <v>102</v>
      </c>
    </row>
    <row r="2198" spans="1:87">
      <c r="A2198" t="s">
        <v>3476</v>
      </c>
      <c r="B2198">
        <v>3543</v>
      </c>
      <c r="C2198" t="s">
        <v>1192</v>
      </c>
      <c r="D2198" t="s">
        <v>195</v>
      </c>
      <c r="E2198" t="s">
        <v>642</v>
      </c>
      <c r="F2198" t="s">
        <v>630</v>
      </c>
      <c r="G2198" t="s">
        <v>3474</v>
      </c>
      <c r="R2198">
        <v>444</v>
      </c>
      <c r="S2198">
        <v>564</v>
      </c>
      <c r="T2198">
        <v>781</v>
      </c>
      <c r="U2198">
        <v>720</v>
      </c>
      <c r="V2198">
        <v>602</v>
      </c>
      <c r="W2198">
        <v>240</v>
      </c>
      <c r="X2198">
        <v>192</v>
      </c>
      <c r="CH2198" t="str">
        <f t="shared" si="34"/>
        <v>D-0189</v>
      </c>
      <c r="CI2198" s="1" t="s">
        <v>102</v>
      </c>
    </row>
    <row r="2199" spans="1:87">
      <c r="A2199" t="s">
        <v>3477</v>
      </c>
      <c r="B2199">
        <v>2600</v>
      </c>
      <c r="C2199" t="s">
        <v>1192</v>
      </c>
      <c r="D2199" t="s">
        <v>195</v>
      </c>
      <c r="E2199" t="s">
        <v>642</v>
      </c>
      <c r="F2199" t="s">
        <v>630</v>
      </c>
      <c r="G2199" t="s">
        <v>3474</v>
      </c>
      <c r="R2199">
        <v>324</v>
      </c>
      <c r="S2199">
        <v>438</v>
      </c>
      <c r="T2199">
        <v>655</v>
      </c>
      <c r="U2199">
        <v>562</v>
      </c>
      <c r="V2199">
        <v>496</v>
      </c>
      <c r="W2199">
        <v>125</v>
      </c>
      <c r="CH2199" t="str">
        <f t="shared" si="34"/>
        <v>D-0189</v>
      </c>
      <c r="CI2199" s="1" t="s">
        <v>102</v>
      </c>
    </row>
    <row r="2200" spans="1:87">
      <c r="A2200" t="s">
        <v>3478</v>
      </c>
      <c r="B2200">
        <v>6</v>
      </c>
      <c r="C2200" t="s">
        <v>3479</v>
      </c>
      <c r="D2200" t="s">
        <v>223</v>
      </c>
      <c r="E2200" t="s">
        <v>629</v>
      </c>
      <c r="F2200" t="s">
        <v>693</v>
      </c>
      <c r="G2200" t="s">
        <v>3480</v>
      </c>
      <c r="AB2200">
        <v>6</v>
      </c>
      <c r="CH2200" t="str">
        <f t="shared" si="34"/>
        <v>D-0263</v>
      </c>
      <c r="CI2200" s="1" t="s">
        <v>102</v>
      </c>
    </row>
    <row r="2201" spans="1:87">
      <c r="A2201" t="s">
        <v>3753</v>
      </c>
      <c r="B2201">
        <v>2202</v>
      </c>
      <c r="C2201" t="s">
        <v>3388</v>
      </c>
      <c r="D2201" t="s">
        <v>308</v>
      </c>
      <c r="E2201" t="s">
        <v>629</v>
      </c>
      <c r="F2201" t="s">
        <v>633</v>
      </c>
      <c r="G2201" t="s">
        <v>3389</v>
      </c>
      <c r="T2201">
        <v>42</v>
      </c>
      <c r="U2201">
        <v>154</v>
      </c>
      <c r="V2201">
        <v>166</v>
      </c>
      <c r="W2201">
        <v>184</v>
      </c>
      <c r="X2201">
        <v>208</v>
      </c>
      <c r="Y2201">
        <v>308</v>
      </c>
      <c r="Z2201">
        <v>314</v>
      </c>
      <c r="AA2201">
        <v>214</v>
      </c>
      <c r="AB2201">
        <v>202</v>
      </c>
      <c r="AC2201">
        <v>54</v>
      </c>
      <c r="AD2201">
        <v>178</v>
      </c>
      <c r="AF2201">
        <v>154</v>
      </c>
      <c r="AH2201">
        <v>18</v>
      </c>
      <c r="AJ2201">
        <v>6</v>
      </c>
      <c r="CH2201" t="str">
        <f t="shared" si="34"/>
        <v>D-0454</v>
      </c>
      <c r="CI2201" s="1" t="s">
        <v>102</v>
      </c>
    </row>
    <row r="2202" spans="1:87">
      <c r="A2202" t="s">
        <v>3754</v>
      </c>
      <c r="B2202">
        <v>7243</v>
      </c>
      <c r="C2202" t="s">
        <v>3487</v>
      </c>
      <c r="D2202" t="s">
        <v>308</v>
      </c>
      <c r="E2202" t="s">
        <v>629</v>
      </c>
      <c r="F2202" t="s">
        <v>633</v>
      </c>
      <c r="G2202" t="s">
        <v>2593</v>
      </c>
      <c r="R2202">
        <v>12</v>
      </c>
      <c r="S2202">
        <v>18</v>
      </c>
      <c r="T2202">
        <v>300</v>
      </c>
      <c r="U2202">
        <v>438</v>
      </c>
      <c r="V2202">
        <v>534</v>
      </c>
      <c r="W2202">
        <v>612</v>
      </c>
      <c r="X2202">
        <v>730</v>
      </c>
      <c r="Y2202">
        <v>760</v>
      </c>
      <c r="Z2202">
        <v>767</v>
      </c>
      <c r="AA2202">
        <v>766</v>
      </c>
      <c r="AB2202">
        <v>718</v>
      </c>
      <c r="AC2202">
        <v>408</v>
      </c>
      <c r="AD2202">
        <v>592</v>
      </c>
      <c r="AE2202">
        <v>6</v>
      </c>
      <c r="AF2202">
        <v>426</v>
      </c>
      <c r="AH2202">
        <v>114</v>
      </c>
      <c r="AJ2202">
        <v>42</v>
      </c>
      <c r="CH2202" t="str">
        <f t="shared" si="34"/>
        <v>D-0454</v>
      </c>
      <c r="CI2202" s="1" t="s">
        <v>102</v>
      </c>
    </row>
    <row r="2203" spans="1:87">
      <c r="A2203" t="s">
        <v>5164</v>
      </c>
      <c r="B2203">
        <v>4441</v>
      </c>
      <c r="C2203" t="s">
        <v>5165</v>
      </c>
      <c r="D2203" t="s">
        <v>308</v>
      </c>
      <c r="E2203" t="s">
        <v>629</v>
      </c>
      <c r="F2203" t="s">
        <v>633</v>
      </c>
      <c r="G2203" t="s">
        <v>2593</v>
      </c>
      <c r="R2203">
        <v>37</v>
      </c>
      <c r="S2203">
        <v>33</v>
      </c>
      <c r="T2203">
        <v>117</v>
      </c>
      <c r="U2203">
        <v>138</v>
      </c>
      <c r="V2203">
        <v>263</v>
      </c>
      <c r="W2203">
        <v>284</v>
      </c>
      <c r="X2203">
        <v>404</v>
      </c>
      <c r="Y2203">
        <v>435</v>
      </c>
      <c r="Z2203">
        <v>514</v>
      </c>
      <c r="AA2203">
        <v>510</v>
      </c>
      <c r="AB2203">
        <v>503</v>
      </c>
      <c r="AC2203">
        <v>295</v>
      </c>
      <c r="AD2203">
        <v>401</v>
      </c>
      <c r="AE2203">
        <v>58</v>
      </c>
      <c r="AF2203">
        <v>289</v>
      </c>
      <c r="AH2203">
        <v>110</v>
      </c>
      <c r="AJ2203">
        <v>50</v>
      </c>
      <c r="CH2203" t="str">
        <f t="shared" si="34"/>
        <v>D-0454</v>
      </c>
      <c r="CI2203" s="1" t="s">
        <v>102</v>
      </c>
    </row>
    <row r="2204" spans="1:87">
      <c r="A2204" t="s">
        <v>3756</v>
      </c>
      <c r="B2204">
        <v>348</v>
      </c>
      <c r="C2204" t="s">
        <v>3300</v>
      </c>
      <c r="D2204" t="s">
        <v>180</v>
      </c>
      <c r="E2204" t="s">
        <v>629</v>
      </c>
      <c r="F2204" t="s">
        <v>725</v>
      </c>
      <c r="G2204" t="s">
        <v>3301</v>
      </c>
      <c r="R2204">
        <v>3</v>
      </c>
      <c r="S2204">
        <v>3</v>
      </c>
      <c r="T2204">
        <v>25</v>
      </c>
      <c r="U2204">
        <v>10</v>
      </c>
      <c r="V2204">
        <v>50</v>
      </c>
      <c r="W2204">
        <v>53</v>
      </c>
      <c r="X2204">
        <v>64</v>
      </c>
      <c r="Y2204">
        <v>46</v>
      </c>
      <c r="Z2204">
        <v>38</v>
      </c>
      <c r="AA2204">
        <v>17</v>
      </c>
      <c r="AB2204">
        <v>16</v>
      </c>
      <c r="AC2204">
        <v>7</v>
      </c>
      <c r="AD2204">
        <v>10</v>
      </c>
      <c r="AE2204">
        <v>3</v>
      </c>
      <c r="AF2204">
        <v>3</v>
      </c>
      <c r="CH2204" t="str">
        <f t="shared" si="34"/>
        <v>D-0155</v>
      </c>
      <c r="CI2204" s="1" t="s">
        <v>102</v>
      </c>
    </row>
    <row r="2205" spans="1:87">
      <c r="A2205" t="s">
        <v>3757</v>
      </c>
      <c r="B2205">
        <v>834</v>
      </c>
      <c r="C2205" t="s">
        <v>3300</v>
      </c>
      <c r="D2205" t="s">
        <v>180</v>
      </c>
      <c r="E2205" t="s">
        <v>629</v>
      </c>
      <c r="F2205" t="s">
        <v>725</v>
      </c>
      <c r="G2205" t="s">
        <v>3301</v>
      </c>
      <c r="R2205">
        <v>6</v>
      </c>
      <c r="S2205">
        <v>3</v>
      </c>
      <c r="T2205">
        <v>31</v>
      </c>
      <c r="U2205">
        <v>16</v>
      </c>
      <c r="V2205">
        <v>74</v>
      </c>
      <c r="W2205">
        <v>66</v>
      </c>
      <c r="X2205">
        <v>113</v>
      </c>
      <c r="Y2205">
        <v>92</v>
      </c>
      <c r="Z2205">
        <v>128</v>
      </c>
      <c r="AA2205">
        <v>80</v>
      </c>
      <c r="AB2205">
        <v>102</v>
      </c>
      <c r="AC2205">
        <v>30</v>
      </c>
      <c r="AD2205">
        <v>49</v>
      </c>
      <c r="AE2205">
        <v>3</v>
      </c>
      <c r="AF2205">
        <v>28</v>
      </c>
      <c r="AH2205">
        <v>13</v>
      </c>
      <c r="CH2205" t="str">
        <f t="shared" si="34"/>
        <v>D-0155</v>
      </c>
      <c r="CI2205" s="1" t="s">
        <v>102</v>
      </c>
    </row>
    <row r="2206" spans="1:87">
      <c r="A2206" t="s">
        <v>3758</v>
      </c>
      <c r="B2206">
        <v>1382</v>
      </c>
      <c r="C2206" t="s">
        <v>3300</v>
      </c>
      <c r="D2206" t="s">
        <v>180</v>
      </c>
      <c r="E2206" t="s">
        <v>629</v>
      </c>
      <c r="F2206" t="s">
        <v>725</v>
      </c>
      <c r="G2206" t="s">
        <v>3301</v>
      </c>
      <c r="T2206">
        <v>49</v>
      </c>
      <c r="U2206">
        <v>43</v>
      </c>
      <c r="V2206">
        <v>145</v>
      </c>
      <c r="W2206">
        <v>113</v>
      </c>
      <c r="X2206">
        <v>231</v>
      </c>
      <c r="Y2206">
        <v>183</v>
      </c>
      <c r="Z2206">
        <v>246</v>
      </c>
      <c r="AA2206">
        <v>127</v>
      </c>
      <c r="AB2206">
        <v>132</v>
      </c>
      <c r="AC2206">
        <v>27</v>
      </c>
      <c r="AD2206">
        <v>60</v>
      </c>
      <c r="AE2206">
        <v>10</v>
      </c>
      <c r="AF2206">
        <v>16</v>
      </c>
      <c r="CH2206" t="str">
        <f t="shared" si="34"/>
        <v>D-0155</v>
      </c>
      <c r="CI2206" s="1" t="s">
        <v>102</v>
      </c>
    </row>
    <row r="2207" spans="1:87">
      <c r="A2207" t="s">
        <v>3759</v>
      </c>
      <c r="B2207">
        <v>1054</v>
      </c>
      <c r="C2207" t="s">
        <v>3300</v>
      </c>
      <c r="D2207" t="s">
        <v>180</v>
      </c>
      <c r="E2207" t="s">
        <v>629</v>
      </c>
      <c r="F2207" t="s">
        <v>725</v>
      </c>
      <c r="G2207" t="s">
        <v>3301</v>
      </c>
      <c r="R2207">
        <v>10</v>
      </c>
      <c r="S2207">
        <v>10</v>
      </c>
      <c r="T2207">
        <v>56</v>
      </c>
      <c r="U2207">
        <v>50</v>
      </c>
      <c r="V2207">
        <v>159</v>
      </c>
      <c r="W2207">
        <v>145</v>
      </c>
      <c r="X2207">
        <v>249</v>
      </c>
      <c r="Y2207">
        <v>165</v>
      </c>
      <c r="Z2207">
        <v>132</v>
      </c>
      <c r="AA2207">
        <v>30</v>
      </c>
      <c r="AB2207">
        <v>39</v>
      </c>
      <c r="AC2207">
        <v>3</v>
      </c>
      <c r="AD2207">
        <v>4</v>
      </c>
      <c r="AE2207">
        <v>1</v>
      </c>
      <c r="AF2207">
        <v>1</v>
      </c>
      <c r="CH2207" t="str">
        <f t="shared" si="34"/>
        <v>D-0155</v>
      </c>
      <c r="CI2207" s="1" t="s">
        <v>102</v>
      </c>
    </row>
    <row r="2208" spans="1:87">
      <c r="A2208" t="s">
        <v>3760</v>
      </c>
      <c r="B2208">
        <v>2007</v>
      </c>
      <c r="C2208" t="s">
        <v>3300</v>
      </c>
      <c r="D2208" t="s">
        <v>180</v>
      </c>
      <c r="E2208" t="s">
        <v>629</v>
      </c>
      <c r="F2208" t="s">
        <v>725</v>
      </c>
      <c r="G2208" t="s">
        <v>3301</v>
      </c>
      <c r="T2208">
        <v>76</v>
      </c>
      <c r="U2208">
        <v>85</v>
      </c>
      <c r="V2208">
        <v>207</v>
      </c>
      <c r="W2208">
        <v>217</v>
      </c>
      <c r="X2208">
        <v>343</v>
      </c>
      <c r="Y2208">
        <v>295</v>
      </c>
      <c r="Z2208">
        <v>330</v>
      </c>
      <c r="AA2208">
        <v>170</v>
      </c>
      <c r="AB2208">
        <v>154</v>
      </c>
      <c r="AC2208">
        <v>33</v>
      </c>
      <c r="AD2208">
        <v>69</v>
      </c>
      <c r="AE2208">
        <v>13</v>
      </c>
      <c r="AF2208">
        <v>15</v>
      </c>
      <c r="CH2208" t="str">
        <f t="shared" si="34"/>
        <v>D-0155</v>
      </c>
      <c r="CI2208" s="1" t="s">
        <v>102</v>
      </c>
    </row>
    <row r="2209" spans="1:87">
      <c r="A2209" t="s">
        <v>3761</v>
      </c>
      <c r="B2209">
        <v>95</v>
      </c>
      <c r="C2209" t="s">
        <v>3300</v>
      </c>
      <c r="D2209" t="s">
        <v>180</v>
      </c>
      <c r="E2209" t="s">
        <v>629</v>
      </c>
      <c r="F2209" t="s">
        <v>725</v>
      </c>
      <c r="G2209" t="s">
        <v>3301</v>
      </c>
      <c r="R2209">
        <v>1</v>
      </c>
      <c r="S2209">
        <v>1</v>
      </c>
      <c r="T2209">
        <v>7</v>
      </c>
      <c r="U2209">
        <v>3</v>
      </c>
      <c r="V2209">
        <v>13</v>
      </c>
      <c r="W2209">
        <v>14</v>
      </c>
      <c r="X2209">
        <v>17</v>
      </c>
      <c r="Y2209">
        <v>12</v>
      </c>
      <c r="Z2209">
        <v>10</v>
      </c>
      <c r="AA2209">
        <v>5</v>
      </c>
      <c r="AB2209">
        <v>5</v>
      </c>
      <c r="AC2209">
        <v>2</v>
      </c>
      <c r="AD2209">
        <v>3</v>
      </c>
      <c r="AE2209">
        <v>1</v>
      </c>
      <c r="AF2209">
        <v>1</v>
      </c>
      <c r="CH2209" t="str">
        <f t="shared" si="34"/>
        <v>D-0155</v>
      </c>
      <c r="CI2209" s="1" t="s">
        <v>102</v>
      </c>
    </row>
    <row r="2210" spans="1:87">
      <c r="A2210" t="s">
        <v>3762</v>
      </c>
      <c r="B2210">
        <v>1956</v>
      </c>
      <c r="C2210" t="s">
        <v>3300</v>
      </c>
      <c r="D2210" t="s">
        <v>180</v>
      </c>
      <c r="E2210" t="s">
        <v>629</v>
      </c>
      <c r="F2210" t="s">
        <v>725</v>
      </c>
      <c r="G2210" t="s">
        <v>3301</v>
      </c>
      <c r="R2210">
        <v>2</v>
      </c>
      <c r="S2210">
        <v>2</v>
      </c>
      <c r="T2210">
        <v>71</v>
      </c>
      <c r="U2210">
        <v>81</v>
      </c>
      <c r="V2210">
        <v>257</v>
      </c>
      <c r="W2210">
        <v>271</v>
      </c>
      <c r="X2210">
        <v>429</v>
      </c>
      <c r="Y2210">
        <v>279</v>
      </c>
      <c r="Z2210">
        <v>252</v>
      </c>
      <c r="AA2210">
        <v>124</v>
      </c>
      <c r="AB2210">
        <v>106</v>
      </c>
      <c r="AC2210">
        <v>33</v>
      </c>
      <c r="AD2210">
        <v>41</v>
      </c>
      <c r="AE2210">
        <v>2</v>
      </c>
      <c r="AF2210">
        <v>6</v>
      </c>
      <c r="CH2210" t="str">
        <f t="shared" si="34"/>
        <v>D-0155</v>
      </c>
      <c r="CI2210" s="1" t="s">
        <v>102</v>
      </c>
    </row>
    <row r="2211" spans="1:87">
      <c r="A2211" t="s">
        <v>3763</v>
      </c>
      <c r="B2211">
        <v>32</v>
      </c>
      <c r="C2211" t="s">
        <v>3300</v>
      </c>
      <c r="D2211" t="s">
        <v>180</v>
      </c>
      <c r="E2211" t="s">
        <v>629</v>
      </c>
      <c r="F2211" t="s">
        <v>725</v>
      </c>
      <c r="G2211" t="s">
        <v>3301</v>
      </c>
      <c r="S2211">
        <v>1</v>
      </c>
      <c r="T2211">
        <v>1</v>
      </c>
      <c r="U2211">
        <v>1</v>
      </c>
      <c r="V2211">
        <v>3</v>
      </c>
      <c r="W2211">
        <v>3</v>
      </c>
      <c r="X2211">
        <v>5</v>
      </c>
      <c r="Y2211">
        <v>4</v>
      </c>
      <c r="Z2211">
        <v>5</v>
      </c>
      <c r="AA2211">
        <v>3</v>
      </c>
      <c r="AB2211">
        <v>3</v>
      </c>
      <c r="AC2211">
        <v>1</v>
      </c>
      <c r="AD2211">
        <v>1</v>
      </c>
      <c r="AF2211">
        <v>1</v>
      </c>
      <c r="CH2211" t="str">
        <f t="shared" si="34"/>
        <v>D-0155</v>
      </c>
      <c r="CI2211" s="1" t="s">
        <v>102</v>
      </c>
    </row>
    <row r="2212" spans="1:87">
      <c r="A2212" t="s">
        <v>3764</v>
      </c>
      <c r="B2212">
        <v>870</v>
      </c>
      <c r="C2212" t="s">
        <v>3300</v>
      </c>
      <c r="D2212" t="s">
        <v>180</v>
      </c>
      <c r="E2212" t="s">
        <v>629</v>
      </c>
      <c r="F2212" t="s">
        <v>725</v>
      </c>
      <c r="G2212" t="s">
        <v>3301</v>
      </c>
      <c r="T2212">
        <v>31</v>
      </c>
      <c r="U2212">
        <v>26</v>
      </c>
      <c r="V2212">
        <v>89</v>
      </c>
      <c r="W2212">
        <v>74</v>
      </c>
      <c r="X2212">
        <v>147</v>
      </c>
      <c r="Y2212">
        <v>114</v>
      </c>
      <c r="Z2212">
        <v>160</v>
      </c>
      <c r="AA2212">
        <v>79</v>
      </c>
      <c r="AB2212">
        <v>83</v>
      </c>
      <c r="AC2212">
        <v>17</v>
      </c>
      <c r="AD2212">
        <v>38</v>
      </c>
      <c r="AE2212">
        <v>6</v>
      </c>
      <c r="AF2212">
        <v>6</v>
      </c>
      <c r="CH2212" t="str">
        <f t="shared" si="34"/>
        <v>D-0155</v>
      </c>
      <c r="CI2212" s="1" t="s">
        <v>102</v>
      </c>
    </row>
    <row r="2213" spans="1:87">
      <c r="A2213" t="s">
        <v>3765</v>
      </c>
      <c r="B2213">
        <v>1205</v>
      </c>
      <c r="C2213" t="s">
        <v>3766</v>
      </c>
      <c r="D2213" t="s">
        <v>457</v>
      </c>
      <c r="E2213" t="s">
        <v>629</v>
      </c>
      <c r="F2213" t="s">
        <v>672</v>
      </c>
      <c r="G2213" t="s">
        <v>686</v>
      </c>
      <c r="V2213">
        <v>100</v>
      </c>
      <c r="W2213">
        <v>100</v>
      </c>
      <c r="X2213">
        <v>205</v>
      </c>
      <c r="Y2213">
        <v>100</v>
      </c>
      <c r="Z2213">
        <v>200</v>
      </c>
      <c r="AA2213">
        <v>100</v>
      </c>
      <c r="AB2213">
        <v>100</v>
      </c>
      <c r="AC2213">
        <v>100</v>
      </c>
      <c r="AD2213">
        <v>100</v>
      </c>
      <c r="AF2213">
        <v>100</v>
      </c>
      <c r="CH2213" t="str">
        <f t="shared" si="34"/>
        <v>JV1-0695-3</v>
      </c>
      <c r="CI2213" s="1" t="s">
        <v>102</v>
      </c>
    </row>
    <row r="2214" spans="1:87">
      <c r="A2214" t="s">
        <v>3767</v>
      </c>
      <c r="B2214">
        <v>1805</v>
      </c>
      <c r="C2214" t="s">
        <v>3766</v>
      </c>
      <c r="D2214" t="s">
        <v>457</v>
      </c>
      <c r="E2214" t="s">
        <v>629</v>
      </c>
      <c r="F2214" t="s">
        <v>672</v>
      </c>
      <c r="G2214" t="s">
        <v>686</v>
      </c>
      <c r="V2214">
        <v>150</v>
      </c>
      <c r="W2214">
        <v>150</v>
      </c>
      <c r="X2214">
        <v>305</v>
      </c>
      <c r="Y2214">
        <v>150</v>
      </c>
      <c r="Z2214">
        <v>300</v>
      </c>
      <c r="AA2214">
        <v>150</v>
      </c>
      <c r="AB2214">
        <v>150</v>
      </c>
      <c r="AC2214">
        <v>150</v>
      </c>
      <c r="AD2214">
        <v>150</v>
      </c>
      <c r="AF2214">
        <v>150</v>
      </c>
      <c r="CH2214" t="str">
        <f t="shared" si="34"/>
        <v>JV1-0695-3</v>
      </c>
      <c r="CI2214" s="1" t="s">
        <v>102</v>
      </c>
    </row>
    <row r="2215" spans="1:87">
      <c r="A2215" t="s">
        <v>3768</v>
      </c>
      <c r="B2215">
        <v>1109</v>
      </c>
      <c r="C2215" t="s">
        <v>3766</v>
      </c>
      <c r="D2215" t="s">
        <v>457</v>
      </c>
      <c r="E2215" t="s">
        <v>629</v>
      </c>
      <c r="F2215" t="s">
        <v>672</v>
      </c>
      <c r="G2215" t="s">
        <v>686</v>
      </c>
      <c r="V2215">
        <v>162</v>
      </c>
      <c r="W2215">
        <v>168</v>
      </c>
      <c r="X2215">
        <v>77</v>
      </c>
      <c r="Y2215">
        <v>234</v>
      </c>
      <c r="Z2215">
        <v>30</v>
      </c>
      <c r="AA2215">
        <v>162</v>
      </c>
      <c r="AB2215">
        <v>198</v>
      </c>
      <c r="AC2215">
        <v>18</v>
      </c>
      <c r="AD2215">
        <v>42</v>
      </c>
      <c r="AF2215">
        <v>18</v>
      </c>
      <c r="CH2215" t="str">
        <f t="shared" si="34"/>
        <v>JV1-0695-3</v>
      </c>
      <c r="CI2215" s="1" t="s">
        <v>102</v>
      </c>
    </row>
    <row r="2216" spans="1:87">
      <c r="A2216" t="s">
        <v>3769</v>
      </c>
      <c r="B2216">
        <v>1505</v>
      </c>
      <c r="C2216" t="s">
        <v>3766</v>
      </c>
      <c r="D2216" t="s">
        <v>457</v>
      </c>
      <c r="E2216" t="s">
        <v>629</v>
      </c>
      <c r="F2216" t="s">
        <v>672</v>
      </c>
      <c r="G2216" t="s">
        <v>686</v>
      </c>
      <c r="V2216">
        <v>125</v>
      </c>
      <c r="W2216">
        <v>125</v>
      </c>
      <c r="X2216">
        <v>255</v>
      </c>
      <c r="Y2216">
        <v>125</v>
      </c>
      <c r="Z2216">
        <v>250</v>
      </c>
      <c r="AA2216">
        <v>125</v>
      </c>
      <c r="AB2216">
        <v>125</v>
      </c>
      <c r="AC2216">
        <v>125</v>
      </c>
      <c r="AD2216">
        <v>125</v>
      </c>
      <c r="AF2216">
        <v>125</v>
      </c>
      <c r="CH2216" t="str">
        <f t="shared" si="34"/>
        <v>JV1-0695-3</v>
      </c>
      <c r="CI2216" s="1" t="s">
        <v>102</v>
      </c>
    </row>
    <row r="2217" spans="1:87">
      <c r="A2217" t="s">
        <v>3770</v>
      </c>
      <c r="B2217">
        <v>2645</v>
      </c>
      <c r="C2217" t="s">
        <v>3766</v>
      </c>
      <c r="D2217" t="s">
        <v>457</v>
      </c>
      <c r="E2217" t="s">
        <v>629</v>
      </c>
      <c r="F2217" t="s">
        <v>672</v>
      </c>
      <c r="G2217" t="s">
        <v>686</v>
      </c>
      <c r="V2217">
        <v>220</v>
      </c>
      <c r="W2217">
        <v>220</v>
      </c>
      <c r="X2217">
        <v>445</v>
      </c>
      <c r="Y2217">
        <v>220</v>
      </c>
      <c r="Z2217">
        <v>440</v>
      </c>
      <c r="AA2217">
        <v>220</v>
      </c>
      <c r="AB2217">
        <v>220</v>
      </c>
      <c r="AC2217">
        <v>220</v>
      </c>
      <c r="AD2217">
        <v>220</v>
      </c>
      <c r="AF2217">
        <v>220</v>
      </c>
      <c r="CH2217" t="str">
        <f t="shared" si="34"/>
        <v>JV1-0695-3</v>
      </c>
      <c r="CI2217" s="1" t="s">
        <v>102</v>
      </c>
    </row>
    <row r="2218" spans="1:87">
      <c r="A2218" t="s">
        <v>3771</v>
      </c>
      <c r="B2218">
        <v>575</v>
      </c>
      <c r="C2218" t="s">
        <v>3766</v>
      </c>
      <c r="D2218" t="s">
        <v>457</v>
      </c>
      <c r="E2218" t="s">
        <v>629</v>
      </c>
      <c r="F2218" t="s">
        <v>672</v>
      </c>
      <c r="G2218" t="s">
        <v>686</v>
      </c>
      <c r="V2218">
        <v>96</v>
      </c>
      <c r="W2218">
        <v>72</v>
      </c>
      <c r="X2218">
        <v>47</v>
      </c>
      <c r="Y2218">
        <v>138</v>
      </c>
      <c r="Z2218">
        <v>6</v>
      </c>
      <c r="AA2218">
        <v>96</v>
      </c>
      <c r="AB2218">
        <v>72</v>
      </c>
      <c r="AC2218">
        <v>12</v>
      </c>
      <c r="AD2218">
        <v>24</v>
      </c>
      <c r="AF2218">
        <v>12</v>
      </c>
      <c r="CH2218" t="str">
        <f t="shared" si="34"/>
        <v>JV1-0695-3</v>
      </c>
      <c r="CI2218" s="1" t="s">
        <v>102</v>
      </c>
    </row>
    <row r="2219" spans="1:87">
      <c r="A2219" t="s">
        <v>3772</v>
      </c>
      <c r="B2219">
        <v>791</v>
      </c>
      <c r="C2219" t="s">
        <v>3766</v>
      </c>
      <c r="D2219" t="s">
        <v>457</v>
      </c>
      <c r="E2219" t="s">
        <v>629</v>
      </c>
      <c r="F2219" t="s">
        <v>672</v>
      </c>
      <c r="G2219" t="s">
        <v>686</v>
      </c>
      <c r="V2219">
        <v>138</v>
      </c>
      <c r="W2219">
        <v>90</v>
      </c>
      <c r="X2219">
        <v>65</v>
      </c>
      <c r="Y2219">
        <v>192</v>
      </c>
      <c r="Z2219">
        <v>12</v>
      </c>
      <c r="AA2219">
        <v>138</v>
      </c>
      <c r="AB2219">
        <v>102</v>
      </c>
      <c r="AC2219">
        <v>12</v>
      </c>
      <c r="AD2219">
        <v>30</v>
      </c>
      <c r="AF2219">
        <v>12</v>
      </c>
      <c r="CH2219" t="str">
        <f t="shared" si="34"/>
        <v>JV1-0695-3</v>
      </c>
      <c r="CI2219" s="1" t="s">
        <v>102</v>
      </c>
    </row>
    <row r="2220" spans="1:87">
      <c r="A2220" t="s">
        <v>3773</v>
      </c>
      <c r="B2220">
        <v>4013</v>
      </c>
      <c r="C2220" t="s">
        <v>3774</v>
      </c>
      <c r="D2220" t="s">
        <v>457</v>
      </c>
      <c r="E2220" t="s">
        <v>629</v>
      </c>
      <c r="F2220" t="s">
        <v>672</v>
      </c>
      <c r="G2220" t="s">
        <v>686</v>
      </c>
      <c r="N2220">
        <v>334</v>
      </c>
      <c r="O2220">
        <v>334</v>
      </c>
      <c r="P2220">
        <v>334</v>
      </c>
      <c r="Q2220">
        <v>668</v>
      </c>
      <c r="R2220">
        <v>334</v>
      </c>
      <c r="S2220">
        <v>668</v>
      </c>
      <c r="T2220">
        <v>668</v>
      </c>
      <c r="U2220">
        <v>339</v>
      </c>
      <c r="V2220">
        <v>334</v>
      </c>
      <c r="CH2220" t="str">
        <f t="shared" si="34"/>
        <v>JV1-0695-3</v>
      </c>
      <c r="CI2220" s="1" t="s">
        <v>102</v>
      </c>
    </row>
    <row r="2221" spans="1:87">
      <c r="A2221" t="s">
        <v>3775</v>
      </c>
      <c r="B2221">
        <v>1997</v>
      </c>
      <c r="C2221" t="s">
        <v>3774</v>
      </c>
      <c r="D2221" t="s">
        <v>457</v>
      </c>
      <c r="E2221" t="s">
        <v>629</v>
      </c>
      <c r="F2221" t="s">
        <v>672</v>
      </c>
      <c r="G2221" t="s">
        <v>686</v>
      </c>
      <c r="N2221">
        <v>166</v>
      </c>
      <c r="O2221">
        <v>166</v>
      </c>
      <c r="P2221">
        <v>166</v>
      </c>
      <c r="Q2221">
        <v>332</v>
      </c>
      <c r="R2221">
        <v>166</v>
      </c>
      <c r="S2221">
        <v>332</v>
      </c>
      <c r="T2221">
        <v>332</v>
      </c>
      <c r="U2221">
        <v>171</v>
      </c>
      <c r="V2221">
        <v>166</v>
      </c>
      <c r="CH2221" t="str">
        <f t="shared" si="34"/>
        <v>JV1-0695-3</v>
      </c>
      <c r="CI2221" s="1" t="s">
        <v>102</v>
      </c>
    </row>
    <row r="2222" spans="1:87">
      <c r="A2222" t="s">
        <v>3776</v>
      </c>
      <c r="B2222">
        <v>1</v>
      </c>
      <c r="C2222" t="s">
        <v>3388</v>
      </c>
      <c r="D2222" t="s">
        <v>308</v>
      </c>
      <c r="E2222" t="s">
        <v>629</v>
      </c>
      <c r="F2222" t="s">
        <v>633</v>
      </c>
      <c r="G2222" t="s">
        <v>3389</v>
      </c>
      <c r="AB2222">
        <v>1</v>
      </c>
      <c r="CH2222" t="str">
        <f t="shared" si="34"/>
        <v>D-0454</v>
      </c>
      <c r="CI2222" s="1" t="s">
        <v>102</v>
      </c>
    </row>
    <row r="2223" spans="1:87">
      <c r="A2223" t="s">
        <v>3777</v>
      </c>
      <c r="B2223">
        <v>1</v>
      </c>
      <c r="C2223" t="s">
        <v>3391</v>
      </c>
      <c r="D2223" t="s">
        <v>308</v>
      </c>
      <c r="E2223" t="s">
        <v>629</v>
      </c>
      <c r="F2223" t="s">
        <v>633</v>
      </c>
      <c r="G2223" t="s">
        <v>3392</v>
      </c>
      <c r="AB2223">
        <v>1</v>
      </c>
      <c r="CH2223" t="str">
        <f t="shared" si="34"/>
        <v>D-0454</v>
      </c>
      <c r="CI2223" s="1" t="s">
        <v>102</v>
      </c>
    </row>
    <row r="2224" spans="1:87">
      <c r="A2224" t="s">
        <v>3778</v>
      </c>
      <c r="B2224">
        <v>1</v>
      </c>
      <c r="C2224" t="s">
        <v>3385</v>
      </c>
      <c r="D2224" t="s">
        <v>308</v>
      </c>
      <c r="E2224" t="s">
        <v>629</v>
      </c>
      <c r="F2224" t="s">
        <v>633</v>
      </c>
      <c r="G2224" t="s">
        <v>3386</v>
      </c>
      <c r="U2224">
        <v>1</v>
      </c>
      <c r="CH2224" t="str">
        <f t="shared" si="34"/>
        <v>D-0454</v>
      </c>
      <c r="CI2224" s="1" t="s">
        <v>102</v>
      </c>
    </row>
    <row r="2225" spans="1:87">
      <c r="A2225" t="s">
        <v>3779</v>
      </c>
      <c r="B2225">
        <v>9732</v>
      </c>
      <c r="C2225" t="s">
        <v>993</v>
      </c>
      <c r="D2225" t="s">
        <v>308</v>
      </c>
      <c r="E2225" t="s">
        <v>629</v>
      </c>
      <c r="F2225" t="s">
        <v>633</v>
      </c>
      <c r="G2225" t="s">
        <v>3241</v>
      </c>
      <c r="M2225">
        <v>42</v>
      </c>
      <c r="N2225">
        <v>72</v>
      </c>
      <c r="O2225">
        <v>589</v>
      </c>
      <c r="P2225">
        <v>649</v>
      </c>
      <c r="Q2225">
        <v>1003</v>
      </c>
      <c r="R2225">
        <v>1105</v>
      </c>
      <c r="S2225">
        <v>1640</v>
      </c>
      <c r="T2225">
        <v>1592</v>
      </c>
      <c r="U2225">
        <v>1045</v>
      </c>
      <c r="V2225">
        <v>691</v>
      </c>
      <c r="W2225">
        <v>775</v>
      </c>
      <c r="Y2225">
        <v>517</v>
      </c>
      <c r="AA2225">
        <v>12</v>
      </c>
      <c r="CH2225" t="str">
        <f t="shared" si="34"/>
        <v>D-0454</v>
      </c>
      <c r="CI2225" s="1" t="s">
        <v>102</v>
      </c>
    </row>
    <row r="2226" spans="1:87">
      <c r="A2226" t="s">
        <v>3780</v>
      </c>
      <c r="B2226">
        <v>782</v>
      </c>
      <c r="C2226" t="s">
        <v>3388</v>
      </c>
      <c r="D2226" t="s">
        <v>308</v>
      </c>
      <c r="E2226" t="s">
        <v>629</v>
      </c>
      <c r="F2226" t="s">
        <v>633</v>
      </c>
      <c r="G2226" t="s">
        <v>3389</v>
      </c>
      <c r="T2226">
        <v>56</v>
      </c>
      <c r="U2226">
        <v>57</v>
      </c>
      <c r="V2226">
        <v>72</v>
      </c>
      <c r="W2226">
        <v>72</v>
      </c>
      <c r="X2226">
        <v>83</v>
      </c>
      <c r="Y2226">
        <v>79</v>
      </c>
      <c r="Z2226">
        <v>79</v>
      </c>
      <c r="AA2226">
        <v>80</v>
      </c>
      <c r="AB2226">
        <v>68</v>
      </c>
      <c r="AC2226">
        <v>46</v>
      </c>
      <c r="AD2226">
        <v>51</v>
      </c>
      <c r="AF2226">
        <v>39</v>
      </c>
      <c r="CH2226" t="str">
        <f t="shared" si="34"/>
        <v>D-0454</v>
      </c>
      <c r="CI2226" s="1" t="s">
        <v>102</v>
      </c>
    </row>
    <row r="2227" spans="1:87">
      <c r="A2227" t="s">
        <v>3781</v>
      </c>
      <c r="B2227">
        <v>3566</v>
      </c>
      <c r="C2227" t="s">
        <v>3782</v>
      </c>
      <c r="D2227" t="s">
        <v>308</v>
      </c>
      <c r="E2227" t="s">
        <v>629</v>
      </c>
      <c r="F2227" t="s">
        <v>633</v>
      </c>
      <c r="G2227" t="s">
        <v>3783</v>
      </c>
      <c r="R2227">
        <v>6</v>
      </c>
      <c r="T2227">
        <v>270</v>
      </c>
      <c r="U2227">
        <v>118</v>
      </c>
      <c r="V2227">
        <v>294</v>
      </c>
      <c r="W2227">
        <v>294</v>
      </c>
      <c r="X2227">
        <v>318</v>
      </c>
      <c r="Y2227">
        <v>318</v>
      </c>
      <c r="Z2227">
        <v>437</v>
      </c>
      <c r="AA2227">
        <v>430</v>
      </c>
      <c r="AB2227">
        <v>430</v>
      </c>
      <c r="AC2227">
        <v>142</v>
      </c>
      <c r="AD2227">
        <v>319</v>
      </c>
      <c r="AE2227">
        <v>6</v>
      </c>
      <c r="AF2227">
        <v>148</v>
      </c>
      <c r="AH2227">
        <v>24</v>
      </c>
      <c r="AJ2227">
        <v>12</v>
      </c>
      <c r="CH2227" t="str">
        <f t="shared" si="34"/>
        <v>D-0454</v>
      </c>
      <c r="CI2227" s="1" t="s">
        <v>102</v>
      </c>
    </row>
    <row r="2228" spans="1:87">
      <c r="A2228" t="s">
        <v>3784</v>
      </c>
      <c r="B2228">
        <v>1</v>
      </c>
      <c r="C2228" t="s">
        <v>3785</v>
      </c>
      <c r="D2228" t="s">
        <v>308</v>
      </c>
      <c r="E2228" t="s">
        <v>629</v>
      </c>
      <c r="F2228" t="s">
        <v>633</v>
      </c>
      <c r="G2228" t="s">
        <v>3786</v>
      </c>
      <c r="AD2228">
        <v>1</v>
      </c>
      <c r="CH2228" t="str">
        <f t="shared" si="34"/>
        <v>D-0454</v>
      </c>
      <c r="CI2228" s="1" t="s">
        <v>102</v>
      </c>
    </row>
    <row r="2229" spans="1:87">
      <c r="A2229" t="s">
        <v>3787</v>
      </c>
      <c r="B2229">
        <v>5558</v>
      </c>
      <c r="C2229" t="s">
        <v>3785</v>
      </c>
      <c r="D2229" t="s">
        <v>308</v>
      </c>
      <c r="E2229" t="s">
        <v>629</v>
      </c>
      <c r="F2229" t="s">
        <v>633</v>
      </c>
      <c r="G2229" t="s">
        <v>3786</v>
      </c>
      <c r="R2229">
        <v>61</v>
      </c>
      <c r="S2229">
        <v>64</v>
      </c>
      <c r="T2229">
        <v>131</v>
      </c>
      <c r="U2229">
        <v>162</v>
      </c>
      <c r="V2229">
        <v>370</v>
      </c>
      <c r="W2229">
        <v>313</v>
      </c>
      <c r="X2229">
        <v>609</v>
      </c>
      <c r="Y2229">
        <v>451</v>
      </c>
      <c r="Z2229">
        <v>786</v>
      </c>
      <c r="AA2229">
        <v>520</v>
      </c>
      <c r="AB2229">
        <v>701</v>
      </c>
      <c r="AC2229">
        <v>288</v>
      </c>
      <c r="AD2229">
        <v>528</v>
      </c>
      <c r="AE2229">
        <v>86</v>
      </c>
      <c r="AF2229">
        <v>284</v>
      </c>
      <c r="AH2229">
        <v>128</v>
      </c>
      <c r="AJ2229">
        <v>76</v>
      </c>
      <c r="CH2229" t="str">
        <f t="shared" si="34"/>
        <v>D-0454</v>
      </c>
      <c r="CI2229" s="1" t="s">
        <v>102</v>
      </c>
    </row>
    <row r="2230" spans="1:87">
      <c r="A2230" t="s">
        <v>3788</v>
      </c>
      <c r="B2230">
        <v>9798</v>
      </c>
      <c r="C2230" t="s">
        <v>3789</v>
      </c>
      <c r="D2230" t="s">
        <v>308</v>
      </c>
      <c r="E2230" t="s">
        <v>629</v>
      </c>
      <c r="F2230" t="s">
        <v>633</v>
      </c>
      <c r="G2230" t="s">
        <v>3790</v>
      </c>
      <c r="M2230">
        <v>18</v>
      </c>
      <c r="N2230">
        <v>24</v>
      </c>
      <c r="O2230">
        <v>680</v>
      </c>
      <c r="P2230">
        <v>714</v>
      </c>
      <c r="Q2230">
        <v>1284</v>
      </c>
      <c r="R2230">
        <v>1290</v>
      </c>
      <c r="S2230">
        <v>1356</v>
      </c>
      <c r="T2230">
        <v>1273</v>
      </c>
      <c r="U2230">
        <v>1276</v>
      </c>
      <c r="V2230">
        <v>628</v>
      </c>
      <c r="W2230">
        <v>674</v>
      </c>
      <c r="Y2230">
        <v>563</v>
      </c>
      <c r="AA2230">
        <v>18</v>
      </c>
      <c r="CH2230" t="str">
        <f t="shared" si="34"/>
        <v>D-0454</v>
      </c>
      <c r="CI2230" s="1" t="s">
        <v>102</v>
      </c>
    </row>
    <row r="2231" spans="1:87">
      <c r="A2231" t="s">
        <v>3791</v>
      </c>
      <c r="B2231">
        <v>1713</v>
      </c>
      <c r="C2231" t="s">
        <v>3792</v>
      </c>
      <c r="D2231" t="s">
        <v>308</v>
      </c>
      <c r="E2231" t="s">
        <v>629</v>
      </c>
      <c r="F2231" t="s">
        <v>633</v>
      </c>
      <c r="G2231" t="s">
        <v>3793</v>
      </c>
      <c r="M2231">
        <v>137</v>
      </c>
      <c r="N2231">
        <v>191</v>
      </c>
      <c r="O2231">
        <v>213</v>
      </c>
      <c r="P2231">
        <v>316</v>
      </c>
      <c r="Q2231">
        <v>239</v>
      </c>
      <c r="R2231">
        <v>116</v>
      </c>
      <c r="S2231">
        <v>136</v>
      </c>
      <c r="T2231">
        <v>138</v>
      </c>
      <c r="U2231">
        <v>97</v>
      </c>
      <c r="V2231">
        <v>64</v>
      </c>
      <c r="W2231">
        <v>66</v>
      </c>
      <c r="CH2231" t="str">
        <f t="shared" si="34"/>
        <v>D-0454</v>
      </c>
      <c r="CI2231" s="1" t="s">
        <v>102</v>
      </c>
    </row>
    <row r="2232" spans="1:87">
      <c r="A2232" t="s">
        <v>3794</v>
      </c>
      <c r="B2232">
        <v>11311</v>
      </c>
      <c r="C2232" t="s">
        <v>3782</v>
      </c>
      <c r="D2232" t="s">
        <v>308</v>
      </c>
      <c r="E2232" t="s">
        <v>629</v>
      </c>
      <c r="F2232" t="s">
        <v>633</v>
      </c>
      <c r="G2232" t="s">
        <v>3783</v>
      </c>
      <c r="R2232">
        <v>126</v>
      </c>
      <c r="S2232">
        <v>154</v>
      </c>
      <c r="T2232">
        <v>262</v>
      </c>
      <c r="U2232">
        <v>432</v>
      </c>
      <c r="V2232">
        <v>828</v>
      </c>
      <c r="W2232">
        <v>784</v>
      </c>
      <c r="X2232">
        <v>1083</v>
      </c>
      <c r="Y2232">
        <v>1065</v>
      </c>
      <c r="Z2232">
        <v>1256</v>
      </c>
      <c r="AA2232">
        <v>1228</v>
      </c>
      <c r="AB2232">
        <v>1188</v>
      </c>
      <c r="AC2232">
        <v>666</v>
      </c>
      <c r="AD2232">
        <v>963</v>
      </c>
      <c r="AE2232">
        <v>144</v>
      </c>
      <c r="AF2232">
        <v>736</v>
      </c>
      <c r="AH2232">
        <v>235</v>
      </c>
      <c r="AJ2232">
        <v>161</v>
      </c>
      <c r="CH2232" t="str">
        <f t="shared" si="34"/>
        <v>D-0454</v>
      </c>
      <c r="CI2232" s="1" t="s">
        <v>102</v>
      </c>
    </row>
    <row r="2233" spans="1:87">
      <c r="A2233" t="s">
        <v>3795</v>
      </c>
      <c r="B2233">
        <v>4959</v>
      </c>
      <c r="C2233" t="s">
        <v>715</v>
      </c>
      <c r="D2233" t="s">
        <v>308</v>
      </c>
      <c r="E2233" t="s">
        <v>629</v>
      </c>
      <c r="F2233" t="s">
        <v>633</v>
      </c>
      <c r="G2233" t="s">
        <v>2286</v>
      </c>
      <c r="R2233">
        <v>18</v>
      </c>
      <c r="S2233">
        <v>18</v>
      </c>
      <c r="T2233">
        <v>73</v>
      </c>
      <c r="U2233">
        <v>230</v>
      </c>
      <c r="V2233">
        <v>437</v>
      </c>
      <c r="W2233">
        <v>376</v>
      </c>
      <c r="X2233">
        <v>477</v>
      </c>
      <c r="Y2233">
        <v>488</v>
      </c>
      <c r="Z2233">
        <v>536</v>
      </c>
      <c r="AA2233">
        <v>547</v>
      </c>
      <c r="AB2233">
        <v>554</v>
      </c>
      <c r="AC2233">
        <v>291</v>
      </c>
      <c r="AD2233">
        <v>526</v>
      </c>
      <c r="AF2233">
        <v>364</v>
      </c>
      <c r="AH2233">
        <v>12</v>
      </c>
      <c r="AJ2233">
        <v>12</v>
      </c>
      <c r="CH2233" t="str">
        <f t="shared" si="34"/>
        <v>D-0454</v>
      </c>
      <c r="CI2233" s="1" t="s">
        <v>102</v>
      </c>
    </row>
    <row r="2234" spans="1:87">
      <c r="A2234" t="s">
        <v>3796</v>
      </c>
      <c r="B2234">
        <v>9458</v>
      </c>
      <c r="C2234" t="s">
        <v>993</v>
      </c>
      <c r="D2234" t="s">
        <v>308</v>
      </c>
      <c r="E2234" t="s">
        <v>629</v>
      </c>
      <c r="F2234" t="s">
        <v>633</v>
      </c>
      <c r="G2234" t="s">
        <v>3241</v>
      </c>
      <c r="M2234">
        <v>18</v>
      </c>
      <c r="N2234">
        <v>18</v>
      </c>
      <c r="O2234">
        <v>436</v>
      </c>
      <c r="P2234">
        <v>650</v>
      </c>
      <c r="Q2234">
        <v>1419</v>
      </c>
      <c r="R2234">
        <v>1427</v>
      </c>
      <c r="S2234">
        <v>1405</v>
      </c>
      <c r="T2234">
        <v>1245</v>
      </c>
      <c r="U2234">
        <v>1236</v>
      </c>
      <c r="V2234">
        <v>868</v>
      </c>
      <c r="W2234">
        <v>468</v>
      </c>
      <c r="Y2234">
        <v>250</v>
      </c>
      <c r="AA2234">
        <v>18</v>
      </c>
      <c r="CH2234" t="str">
        <f t="shared" si="34"/>
        <v>D-0454</v>
      </c>
      <c r="CI2234" s="1" t="s">
        <v>102</v>
      </c>
    </row>
    <row r="2235" spans="1:87">
      <c r="A2235" t="s">
        <v>3797</v>
      </c>
      <c r="B2235">
        <v>7201</v>
      </c>
      <c r="C2235" t="s">
        <v>993</v>
      </c>
      <c r="D2235" t="s">
        <v>308</v>
      </c>
      <c r="E2235" t="s">
        <v>629</v>
      </c>
      <c r="F2235" t="s">
        <v>633</v>
      </c>
      <c r="G2235" t="s">
        <v>3241</v>
      </c>
      <c r="O2235">
        <v>600</v>
      </c>
      <c r="P2235">
        <v>600</v>
      </c>
      <c r="Q2235">
        <v>900</v>
      </c>
      <c r="R2235">
        <v>900</v>
      </c>
      <c r="S2235">
        <v>900</v>
      </c>
      <c r="T2235">
        <v>900</v>
      </c>
      <c r="U2235">
        <v>901</v>
      </c>
      <c r="V2235">
        <v>600</v>
      </c>
      <c r="W2235">
        <v>600</v>
      </c>
      <c r="Y2235">
        <v>300</v>
      </c>
      <c r="CH2235" t="str">
        <f t="shared" si="34"/>
        <v>D-0454</v>
      </c>
      <c r="CI2235" s="1" t="s">
        <v>102</v>
      </c>
    </row>
    <row r="2236" spans="1:87">
      <c r="A2236" t="s">
        <v>3798</v>
      </c>
      <c r="B2236">
        <v>2854</v>
      </c>
      <c r="C2236" t="s">
        <v>3394</v>
      </c>
      <c r="D2236" t="s">
        <v>308</v>
      </c>
      <c r="E2236" t="s">
        <v>629</v>
      </c>
      <c r="F2236" t="s">
        <v>633</v>
      </c>
      <c r="G2236" t="s">
        <v>2418</v>
      </c>
      <c r="R2236">
        <v>29</v>
      </c>
      <c r="S2236">
        <v>26</v>
      </c>
      <c r="T2236">
        <v>81</v>
      </c>
      <c r="U2236">
        <v>93</v>
      </c>
      <c r="V2236">
        <v>173</v>
      </c>
      <c r="W2236">
        <v>184</v>
      </c>
      <c r="X2236">
        <v>260</v>
      </c>
      <c r="Y2236">
        <v>278</v>
      </c>
      <c r="Z2236">
        <v>324</v>
      </c>
      <c r="AA2236">
        <v>322</v>
      </c>
      <c r="AB2236">
        <v>318</v>
      </c>
      <c r="AC2236">
        <v>185</v>
      </c>
      <c r="AD2236">
        <v>252</v>
      </c>
      <c r="AE2236">
        <v>35</v>
      </c>
      <c r="AF2236">
        <v>187</v>
      </c>
      <c r="AH2236">
        <v>71</v>
      </c>
      <c r="AJ2236">
        <v>36</v>
      </c>
      <c r="CH2236" t="str">
        <f t="shared" si="34"/>
        <v>D-0454</v>
      </c>
      <c r="CI2236" s="1" t="s">
        <v>102</v>
      </c>
    </row>
    <row r="2237" spans="1:87">
      <c r="A2237" t="s">
        <v>3799</v>
      </c>
      <c r="B2237">
        <v>3607</v>
      </c>
      <c r="C2237" t="s">
        <v>1045</v>
      </c>
      <c r="D2237" t="s">
        <v>223</v>
      </c>
      <c r="E2237" t="s">
        <v>629</v>
      </c>
      <c r="F2237" t="s">
        <v>693</v>
      </c>
      <c r="G2237" t="s">
        <v>2283</v>
      </c>
      <c r="T2237">
        <v>100</v>
      </c>
      <c r="U2237">
        <v>200</v>
      </c>
      <c r="V2237">
        <v>500</v>
      </c>
      <c r="W2237">
        <v>500</v>
      </c>
      <c r="X2237">
        <v>707</v>
      </c>
      <c r="Y2237">
        <v>600</v>
      </c>
      <c r="Z2237">
        <v>500</v>
      </c>
      <c r="AA2237">
        <v>300</v>
      </c>
      <c r="AB2237">
        <v>200</v>
      </c>
      <c r="CH2237" t="str">
        <f t="shared" si="34"/>
        <v>D-0263</v>
      </c>
      <c r="CI2237" s="1" t="s">
        <v>102</v>
      </c>
    </row>
    <row r="2238" spans="1:87">
      <c r="A2238" t="s">
        <v>3800</v>
      </c>
      <c r="B2238">
        <v>26</v>
      </c>
      <c r="C2238" t="s">
        <v>3739</v>
      </c>
      <c r="D2238" t="s">
        <v>251</v>
      </c>
      <c r="E2238" t="s">
        <v>629</v>
      </c>
      <c r="F2238" t="s">
        <v>657</v>
      </c>
      <c r="G2238" t="s">
        <v>3740</v>
      </c>
      <c r="O2238">
        <v>2</v>
      </c>
      <c r="P2238">
        <v>2</v>
      </c>
      <c r="Q2238">
        <v>2</v>
      </c>
      <c r="R2238">
        <v>3</v>
      </c>
      <c r="S2238">
        <v>3</v>
      </c>
      <c r="U2238">
        <v>4</v>
      </c>
      <c r="V2238">
        <v>10</v>
      </c>
      <c r="CH2238" t="str">
        <f t="shared" si="34"/>
        <v>D-0272</v>
      </c>
      <c r="CI2238" s="1" t="s">
        <v>102</v>
      </c>
    </row>
    <row r="2239" spans="1:87">
      <c r="A2239" t="s">
        <v>3801</v>
      </c>
      <c r="B2239">
        <v>5</v>
      </c>
      <c r="C2239" t="s">
        <v>771</v>
      </c>
      <c r="D2239" t="s">
        <v>251</v>
      </c>
      <c r="E2239" t="s">
        <v>629</v>
      </c>
      <c r="F2239" t="s">
        <v>657</v>
      </c>
      <c r="G2239" t="s">
        <v>3420</v>
      </c>
      <c r="M2239">
        <v>1</v>
      </c>
      <c r="O2239">
        <v>3</v>
      </c>
      <c r="R2239">
        <v>1</v>
      </c>
      <c r="CH2239" t="str">
        <f t="shared" si="34"/>
        <v>D-0272</v>
      </c>
      <c r="CI2239" s="1" t="s">
        <v>102</v>
      </c>
    </row>
    <row r="2240" spans="1:87">
      <c r="A2240" t="s">
        <v>3802</v>
      </c>
      <c r="B2240">
        <v>313</v>
      </c>
      <c r="C2240" t="s">
        <v>750</v>
      </c>
      <c r="D2240" t="s">
        <v>282</v>
      </c>
      <c r="E2240" t="s">
        <v>639</v>
      </c>
      <c r="F2240" t="s">
        <v>699</v>
      </c>
      <c r="G2240" t="s">
        <v>751</v>
      </c>
      <c r="H2240">
        <v>80</v>
      </c>
      <c r="K2240">
        <v>60</v>
      </c>
      <c r="L2240">
        <v>63</v>
      </c>
      <c r="CF2240">
        <v>30</v>
      </c>
      <c r="CH2240" t="str">
        <f t="shared" si="34"/>
        <v>D-0390</v>
      </c>
      <c r="CI2240" s="1" t="s">
        <v>102</v>
      </c>
    </row>
    <row r="2241" spans="1:87">
      <c r="A2241" t="s">
        <v>3803</v>
      </c>
      <c r="B2241">
        <v>313</v>
      </c>
      <c r="C2241" t="s">
        <v>748</v>
      </c>
      <c r="D2241" t="s">
        <v>282</v>
      </c>
      <c r="E2241" t="s">
        <v>639</v>
      </c>
      <c r="F2241" t="s">
        <v>699</v>
      </c>
      <c r="G2241" t="s">
        <v>749</v>
      </c>
      <c r="H2241">
        <v>80</v>
      </c>
      <c r="K2241">
        <v>60</v>
      </c>
      <c r="L2241">
        <v>63</v>
      </c>
      <c r="CF2241">
        <v>30</v>
      </c>
      <c r="CH2241" t="str">
        <f t="shared" si="34"/>
        <v>D-0390</v>
      </c>
      <c r="CI2241" s="1" t="s">
        <v>102</v>
      </c>
    </row>
    <row r="2242" spans="1:87">
      <c r="A2242" t="s">
        <v>3804</v>
      </c>
      <c r="B2242">
        <v>61</v>
      </c>
      <c r="C2242" t="s">
        <v>1146</v>
      </c>
      <c r="D2242" t="s">
        <v>282</v>
      </c>
      <c r="E2242" t="s">
        <v>639</v>
      </c>
      <c r="F2242" t="s">
        <v>699</v>
      </c>
      <c r="G2242" t="s">
        <v>749</v>
      </c>
      <c r="H2242">
        <v>5</v>
      </c>
      <c r="I2242">
        <v>5</v>
      </c>
      <c r="J2242">
        <v>5</v>
      </c>
      <c r="K2242">
        <v>5</v>
      </c>
      <c r="L2242">
        <v>6</v>
      </c>
      <c r="CD2242">
        <v>5</v>
      </c>
      <c r="CE2242">
        <v>5</v>
      </c>
      <c r="CF2242">
        <v>5</v>
      </c>
      <c r="CG2242">
        <v>5</v>
      </c>
      <c r="CH2242" t="str">
        <f t="shared" ref="CH2242:CH2305" si="35">TRIM(IFERROR(IFERROR(MID($D2242,FIND("(D-",$D2242)+1,6),LEFT($D2242,FIND("(",$D2242)-1)),$D2242))</f>
        <v>D-0390</v>
      </c>
      <c r="CI2242" s="1" t="s">
        <v>102</v>
      </c>
    </row>
    <row r="2243" spans="1:87">
      <c r="A2243" t="s">
        <v>3805</v>
      </c>
      <c r="B2243">
        <v>41</v>
      </c>
      <c r="C2243" t="s">
        <v>1146</v>
      </c>
      <c r="D2243" t="s">
        <v>282</v>
      </c>
      <c r="E2243" t="s">
        <v>639</v>
      </c>
      <c r="F2243" t="s">
        <v>699</v>
      </c>
      <c r="G2243" t="s">
        <v>749</v>
      </c>
      <c r="H2243">
        <v>5</v>
      </c>
      <c r="I2243">
        <v>5</v>
      </c>
      <c r="K2243">
        <v>10</v>
      </c>
      <c r="L2243">
        <v>11</v>
      </c>
      <c r="CH2243" t="str">
        <f t="shared" si="35"/>
        <v>D-0390</v>
      </c>
      <c r="CI2243" s="1" t="s">
        <v>102</v>
      </c>
    </row>
    <row r="2244" spans="1:87">
      <c r="A2244" t="s">
        <v>3806</v>
      </c>
      <c r="B2244">
        <v>51</v>
      </c>
      <c r="C2244" t="s">
        <v>748</v>
      </c>
      <c r="D2244" t="s">
        <v>282</v>
      </c>
      <c r="E2244" t="s">
        <v>639</v>
      </c>
      <c r="F2244" t="s">
        <v>699</v>
      </c>
      <c r="G2244" t="s">
        <v>749</v>
      </c>
      <c r="H2244">
        <v>5</v>
      </c>
      <c r="I2244">
        <v>5</v>
      </c>
      <c r="J2244">
        <v>5</v>
      </c>
      <c r="K2244">
        <v>5</v>
      </c>
      <c r="L2244">
        <v>6</v>
      </c>
      <c r="CF2244">
        <v>5</v>
      </c>
      <c r="CG2244">
        <v>5</v>
      </c>
      <c r="CH2244" t="str">
        <f t="shared" si="35"/>
        <v>D-0390</v>
      </c>
      <c r="CI2244" s="1" t="s">
        <v>102</v>
      </c>
    </row>
    <row r="2245" spans="1:87">
      <c r="A2245" t="s">
        <v>3807</v>
      </c>
      <c r="B2245">
        <v>151</v>
      </c>
      <c r="C2245" t="s">
        <v>1146</v>
      </c>
      <c r="D2245" t="s">
        <v>282</v>
      </c>
      <c r="E2245" t="s">
        <v>639</v>
      </c>
      <c r="F2245" t="s">
        <v>699</v>
      </c>
      <c r="G2245" t="s">
        <v>749</v>
      </c>
      <c r="H2245">
        <v>15</v>
      </c>
      <c r="I2245">
        <v>25</v>
      </c>
      <c r="K2245">
        <v>20</v>
      </c>
      <c r="L2245">
        <v>26</v>
      </c>
      <c r="CD2245">
        <v>5</v>
      </c>
      <c r="CE2245">
        <v>10</v>
      </c>
      <c r="CF2245">
        <v>15</v>
      </c>
      <c r="CH2245" t="str">
        <f t="shared" si="35"/>
        <v>D-0390</v>
      </c>
      <c r="CI2245" s="1" t="s">
        <v>102</v>
      </c>
    </row>
    <row r="2246" spans="1:87">
      <c r="A2246" t="s">
        <v>3808</v>
      </c>
      <c r="B2246">
        <v>6580</v>
      </c>
      <c r="C2246" t="s">
        <v>1011</v>
      </c>
      <c r="D2246" t="s">
        <v>284</v>
      </c>
      <c r="E2246" t="s">
        <v>698</v>
      </c>
      <c r="F2246" t="s">
        <v>699</v>
      </c>
      <c r="G2246" t="s">
        <v>749</v>
      </c>
      <c r="M2246">
        <v>560</v>
      </c>
      <c r="N2246">
        <v>920</v>
      </c>
      <c r="O2246">
        <v>890</v>
      </c>
      <c r="P2246">
        <v>1070</v>
      </c>
      <c r="Q2246">
        <v>920</v>
      </c>
      <c r="R2246">
        <v>1090</v>
      </c>
      <c r="S2246">
        <v>1130</v>
      </c>
      <c r="CH2246" t="str">
        <f t="shared" si="35"/>
        <v>D-0391</v>
      </c>
      <c r="CI2246" s="1" t="s">
        <v>102</v>
      </c>
    </row>
    <row r="2247" spans="1:87">
      <c r="A2247" t="s">
        <v>3810</v>
      </c>
      <c r="B2247">
        <v>39</v>
      </c>
      <c r="C2247" t="s">
        <v>2519</v>
      </c>
      <c r="D2247" t="s">
        <v>444</v>
      </c>
      <c r="E2247" t="s">
        <v>629</v>
      </c>
      <c r="F2247" t="s">
        <v>636</v>
      </c>
      <c r="G2247" t="s">
        <v>2520</v>
      </c>
      <c r="R2247">
        <v>2</v>
      </c>
      <c r="S2247">
        <v>2</v>
      </c>
      <c r="T2247">
        <v>3</v>
      </c>
      <c r="U2247">
        <v>2</v>
      </c>
      <c r="V2247">
        <v>2</v>
      </c>
      <c r="W2247">
        <v>2</v>
      </c>
      <c r="X2247">
        <v>4</v>
      </c>
      <c r="Y2247">
        <v>2</v>
      </c>
      <c r="AA2247">
        <v>5</v>
      </c>
      <c r="AB2247">
        <v>6</v>
      </c>
      <c r="AC2247">
        <v>3</v>
      </c>
      <c r="AE2247">
        <v>3</v>
      </c>
      <c r="AF2247">
        <v>3</v>
      </c>
      <c r="CH2247" t="str">
        <f t="shared" si="35"/>
        <v>D-0686</v>
      </c>
      <c r="CI2247" s="1" t="s">
        <v>102</v>
      </c>
    </row>
    <row r="2248" spans="1:87">
      <c r="A2248" t="s">
        <v>3813</v>
      </c>
      <c r="B2248">
        <v>2134</v>
      </c>
      <c r="C2248" t="s">
        <v>3814</v>
      </c>
      <c r="D2248" t="s">
        <v>363</v>
      </c>
      <c r="E2248" t="s">
        <v>676</v>
      </c>
      <c r="F2248" t="s">
        <v>3815</v>
      </c>
      <c r="G2248" t="s">
        <v>3816</v>
      </c>
      <c r="M2248">
        <v>27</v>
      </c>
      <c r="N2248">
        <v>34</v>
      </c>
      <c r="O2248">
        <v>42</v>
      </c>
      <c r="P2248">
        <v>62</v>
      </c>
      <c r="Q2248">
        <v>66</v>
      </c>
      <c r="R2248">
        <v>80</v>
      </c>
      <c r="S2248">
        <v>83</v>
      </c>
      <c r="T2248">
        <v>96</v>
      </c>
      <c r="U2248">
        <v>127</v>
      </c>
      <c r="V2248">
        <v>176</v>
      </c>
      <c r="W2248">
        <v>169</v>
      </c>
      <c r="X2248">
        <v>245</v>
      </c>
      <c r="Y2248">
        <v>245</v>
      </c>
      <c r="Z2248">
        <v>221</v>
      </c>
      <c r="AA2248">
        <v>198</v>
      </c>
      <c r="AB2248">
        <v>153</v>
      </c>
      <c r="AD2248">
        <v>71</v>
      </c>
      <c r="AF2248">
        <v>39</v>
      </c>
      <c r="CH2248" t="str">
        <f t="shared" si="35"/>
        <v>D-0523</v>
      </c>
      <c r="CI2248" s="1" t="s">
        <v>102</v>
      </c>
    </row>
    <row r="2249" spans="1:87">
      <c r="A2249" t="s">
        <v>3817</v>
      </c>
      <c r="B2249">
        <v>18</v>
      </c>
      <c r="C2249" t="s">
        <v>3814</v>
      </c>
      <c r="D2249" t="s">
        <v>363</v>
      </c>
      <c r="E2249" t="s">
        <v>676</v>
      </c>
      <c r="F2249" t="s">
        <v>3815</v>
      </c>
      <c r="G2249" t="s">
        <v>3816</v>
      </c>
      <c r="M2249">
        <v>1</v>
      </c>
      <c r="N2249">
        <v>1</v>
      </c>
      <c r="O2249">
        <v>1</v>
      </c>
      <c r="P2249">
        <v>1</v>
      </c>
      <c r="Q2249">
        <v>1</v>
      </c>
      <c r="R2249">
        <v>1</v>
      </c>
      <c r="S2249">
        <v>1</v>
      </c>
      <c r="T2249">
        <v>1</v>
      </c>
      <c r="U2249">
        <v>1</v>
      </c>
      <c r="V2249">
        <v>1</v>
      </c>
      <c r="W2249">
        <v>1</v>
      </c>
      <c r="X2249">
        <v>1</v>
      </c>
      <c r="Y2249">
        <v>1</v>
      </c>
      <c r="Z2249">
        <v>1</v>
      </c>
      <c r="AA2249">
        <v>1</v>
      </c>
      <c r="AB2249">
        <v>1</v>
      </c>
      <c r="AD2249">
        <v>1</v>
      </c>
      <c r="AF2249">
        <v>1</v>
      </c>
      <c r="CH2249" t="str">
        <f t="shared" si="35"/>
        <v>D-0523</v>
      </c>
      <c r="CI2249" s="1" t="s">
        <v>102</v>
      </c>
    </row>
    <row r="2250" spans="1:87">
      <c r="A2250" t="s">
        <v>3818</v>
      </c>
      <c r="B2250">
        <v>308</v>
      </c>
      <c r="C2250" t="s">
        <v>3814</v>
      </c>
      <c r="D2250" t="s">
        <v>363</v>
      </c>
      <c r="E2250" t="s">
        <v>676</v>
      </c>
      <c r="F2250" t="s">
        <v>3815</v>
      </c>
      <c r="G2250" t="s">
        <v>3816</v>
      </c>
      <c r="M2250">
        <v>26</v>
      </c>
      <c r="N2250">
        <v>33</v>
      </c>
      <c r="O2250">
        <v>41</v>
      </c>
      <c r="P2250">
        <v>61</v>
      </c>
      <c r="Q2250">
        <v>67</v>
      </c>
      <c r="S2250">
        <v>80</v>
      </c>
      <c r="CH2250" t="str">
        <f t="shared" si="35"/>
        <v>D-0523</v>
      </c>
      <c r="CI2250" s="1" t="s">
        <v>102</v>
      </c>
    </row>
    <row r="2251" spans="1:87">
      <c r="A2251" t="s">
        <v>3819</v>
      </c>
      <c r="B2251">
        <v>3</v>
      </c>
      <c r="C2251" t="s">
        <v>3814</v>
      </c>
      <c r="D2251" t="s">
        <v>363</v>
      </c>
      <c r="E2251" t="s">
        <v>676</v>
      </c>
      <c r="F2251" t="s">
        <v>3815</v>
      </c>
      <c r="G2251" t="s">
        <v>3816</v>
      </c>
      <c r="X2251">
        <v>3</v>
      </c>
      <c r="CH2251" t="str">
        <f t="shared" si="35"/>
        <v>D-0523</v>
      </c>
      <c r="CI2251" s="1" t="s">
        <v>102</v>
      </c>
    </row>
    <row r="2252" spans="1:87">
      <c r="A2252" t="s">
        <v>3820</v>
      </c>
      <c r="B2252">
        <v>11499</v>
      </c>
      <c r="C2252" t="s">
        <v>3821</v>
      </c>
      <c r="D2252" t="s">
        <v>435</v>
      </c>
      <c r="E2252" t="s">
        <v>642</v>
      </c>
      <c r="F2252" t="s">
        <v>644</v>
      </c>
      <c r="G2252" t="s">
        <v>3822</v>
      </c>
      <c r="Q2252">
        <v>237</v>
      </c>
      <c r="R2252">
        <v>575</v>
      </c>
      <c r="S2252">
        <v>1034</v>
      </c>
      <c r="T2252">
        <v>1609</v>
      </c>
      <c r="U2252">
        <v>1609</v>
      </c>
      <c r="V2252">
        <v>2068</v>
      </c>
      <c r="W2252">
        <v>1724</v>
      </c>
      <c r="X2252">
        <v>1149</v>
      </c>
      <c r="Y2252">
        <v>919</v>
      </c>
      <c r="Z2252">
        <v>575</v>
      </c>
      <c r="CH2252" t="str">
        <f t="shared" si="35"/>
        <v>D-0638</v>
      </c>
      <c r="CI2252" s="1" t="s">
        <v>102</v>
      </c>
    </row>
    <row r="2253" spans="1:87">
      <c r="A2253" t="s">
        <v>3823</v>
      </c>
      <c r="B2253">
        <v>225</v>
      </c>
      <c r="C2253" t="s">
        <v>976</v>
      </c>
      <c r="D2253" t="s">
        <v>116</v>
      </c>
      <c r="E2253" t="s">
        <v>974</v>
      </c>
      <c r="F2253" t="s">
        <v>632</v>
      </c>
      <c r="G2253" t="s">
        <v>2693</v>
      </c>
      <c r="M2253">
        <v>225</v>
      </c>
      <c r="CH2253" t="str">
        <f t="shared" si="35"/>
        <v>D-0005</v>
      </c>
      <c r="CI2253" s="1" t="s">
        <v>102</v>
      </c>
    </row>
    <row r="2254" spans="1:87">
      <c r="A2254" t="s">
        <v>3824</v>
      </c>
      <c r="B2254">
        <v>1675</v>
      </c>
      <c r="C2254" t="s">
        <v>3825</v>
      </c>
      <c r="D2254" t="s">
        <v>435</v>
      </c>
      <c r="E2254" t="s">
        <v>629</v>
      </c>
      <c r="F2254" t="s">
        <v>644</v>
      </c>
      <c r="G2254" t="s">
        <v>3826</v>
      </c>
      <c r="Z2254">
        <v>1675</v>
      </c>
      <c r="CH2254" t="str">
        <f t="shared" si="35"/>
        <v>D-0638</v>
      </c>
      <c r="CI2254" s="1" t="s">
        <v>102</v>
      </c>
    </row>
    <row r="2255" spans="1:87">
      <c r="A2255" t="s">
        <v>3827</v>
      </c>
      <c r="B2255">
        <v>7513</v>
      </c>
      <c r="C2255" t="s">
        <v>3825</v>
      </c>
      <c r="D2255" t="s">
        <v>435</v>
      </c>
      <c r="E2255" t="s">
        <v>629</v>
      </c>
      <c r="F2255" t="s">
        <v>644</v>
      </c>
      <c r="G2255" t="s">
        <v>3826</v>
      </c>
      <c r="V2255">
        <v>841</v>
      </c>
      <c r="W2255">
        <v>834</v>
      </c>
      <c r="X2255">
        <v>834</v>
      </c>
      <c r="Y2255">
        <v>1668</v>
      </c>
      <c r="AA2255">
        <v>1668</v>
      </c>
      <c r="AB2255">
        <v>834</v>
      </c>
      <c r="AD2255">
        <v>834</v>
      </c>
      <c r="CH2255" t="str">
        <f t="shared" si="35"/>
        <v>D-0638</v>
      </c>
      <c r="CI2255" s="1" t="s">
        <v>102</v>
      </c>
    </row>
    <row r="2256" spans="1:87">
      <c r="A2256" t="s">
        <v>3828</v>
      </c>
      <c r="B2256">
        <v>2746</v>
      </c>
      <c r="C2256" t="s">
        <v>3829</v>
      </c>
      <c r="D2256" t="s">
        <v>119</v>
      </c>
      <c r="E2256" t="s">
        <v>659</v>
      </c>
      <c r="F2256" t="s">
        <v>660</v>
      </c>
      <c r="G2256" t="s">
        <v>3830</v>
      </c>
      <c r="J2256">
        <v>53</v>
      </c>
      <c r="L2256">
        <v>70</v>
      </c>
      <c r="N2256">
        <v>148</v>
      </c>
      <c r="P2256">
        <v>230</v>
      </c>
      <c r="R2256">
        <v>321</v>
      </c>
      <c r="T2256">
        <v>394</v>
      </c>
      <c r="V2256">
        <v>482</v>
      </c>
      <c r="X2256">
        <v>525</v>
      </c>
      <c r="Z2256">
        <v>523</v>
      </c>
      <c r="CH2256" t="str">
        <f t="shared" si="35"/>
        <v>D-0007</v>
      </c>
      <c r="CI2256" s="1" t="s">
        <v>102</v>
      </c>
    </row>
    <row r="2257" spans="1:87">
      <c r="A2257" t="s">
        <v>3831</v>
      </c>
      <c r="B2257">
        <v>2383</v>
      </c>
      <c r="C2257" t="s">
        <v>3829</v>
      </c>
      <c r="D2257" t="s">
        <v>119</v>
      </c>
      <c r="E2257" t="s">
        <v>659</v>
      </c>
      <c r="F2257" t="s">
        <v>660</v>
      </c>
      <c r="G2257" t="s">
        <v>3830</v>
      </c>
      <c r="J2257">
        <v>46</v>
      </c>
      <c r="L2257">
        <v>60</v>
      </c>
      <c r="N2257">
        <v>128</v>
      </c>
      <c r="P2257">
        <v>201</v>
      </c>
      <c r="R2257">
        <v>278</v>
      </c>
      <c r="T2257">
        <v>343</v>
      </c>
      <c r="V2257">
        <v>418</v>
      </c>
      <c r="X2257">
        <v>456</v>
      </c>
      <c r="Z2257">
        <v>453</v>
      </c>
      <c r="CH2257" t="str">
        <f t="shared" si="35"/>
        <v>D-0007</v>
      </c>
      <c r="CI2257" s="1" t="s">
        <v>102</v>
      </c>
    </row>
    <row r="2258" spans="1:87">
      <c r="A2258" t="s">
        <v>3832</v>
      </c>
      <c r="B2258">
        <v>12</v>
      </c>
      <c r="C2258" t="s">
        <v>1452</v>
      </c>
      <c r="D2258" t="s">
        <v>119</v>
      </c>
      <c r="E2258" t="s">
        <v>659</v>
      </c>
      <c r="F2258" t="s">
        <v>660</v>
      </c>
      <c r="G2258" t="s">
        <v>2693</v>
      </c>
      <c r="J2258">
        <v>12</v>
      </c>
      <c r="CH2258" t="str">
        <f t="shared" si="35"/>
        <v>D-0007</v>
      </c>
      <c r="CI2258" s="1" t="s">
        <v>102</v>
      </c>
    </row>
    <row r="2259" spans="1:87">
      <c r="A2259" t="s">
        <v>3833</v>
      </c>
      <c r="B2259">
        <v>3751</v>
      </c>
      <c r="C2259" t="s">
        <v>1452</v>
      </c>
      <c r="D2259" t="s">
        <v>119</v>
      </c>
      <c r="E2259" t="s">
        <v>659</v>
      </c>
      <c r="F2259" t="s">
        <v>660</v>
      </c>
      <c r="G2259" t="s">
        <v>2693</v>
      </c>
      <c r="J2259">
        <v>38</v>
      </c>
      <c r="L2259">
        <v>1</v>
      </c>
      <c r="N2259">
        <v>53</v>
      </c>
      <c r="R2259">
        <v>287</v>
      </c>
      <c r="T2259">
        <v>625</v>
      </c>
      <c r="V2259">
        <v>875</v>
      </c>
      <c r="X2259">
        <v>913</v>
      </c>
      <c r="Z2259">
        <v>959</v>
      </c>
      <c r="CH2259" t="str">
        <f t="shared" si="35"/>
        <v>D-0007</v>
      </c>
      <c r="CI2259" s="1" t="s">
        <v>102</v>
      </c>
    </row>
    <row r="2260" spans="1:87">
      <c r="A2260" t="s">
        <v>3834</v>
      </c>
      <c r="B2260">
        <v>6115</v>
      </c>
      <c r="C2260" t="s">
        <v>3835</v>
      </c>
      <c r="D2260" t="s">
        <v>118</v>
      </c>
      <c r="E2260" t="s">
        <v>696</v>
      </c>
      <c r="F2260" t="s">
        <v>630</v>
      </c>
      <c r="G2260" t="s">
        <v>3836</v>
      </c>
      <c r="H2260">
        <v>954</v>
      </c>
      <c r="I2260">
        <v>523</v>
      </c>
      <c r="J2260">
        <v>531</v>
      </c>
      <c r="K2260">
        <v>211</v>
      </c>
      <c r="L2260">
        <v>1089</v>
      </c>
      <c r="AA2260">
        <v>55</v>
      </c>
      <c r="AB2260">
        <v>611</v>
      </c>
      <c r="AC2260">
        <v>53</v>
      </c>
      <c r="AD2260">
        <v>738</v>
      </c>
      <c r="AE2260">
        <v>417</v>
      </c>
      <c r="AF2260">
        <v>843</v>
      </c>
      <c r="AG2260">
        <v>90</v>
      </c>
      <c r="CH2260" t="str">
        <f t="shared" si="35"/>
        <v>D-0006</v>
      </c>
      <c r="CI2260" s="1" t="s">
        <v>102</v>
      </c>
    </row>
    <row r="2261" spans="1:87">
      <c r="A2261" t="s">
        <v>3837</v>
      </c>
      <c r="B2261">
        <v>1699</v>
      </c>
      <c r="C2261" t="s">
        <v>3838</v>
      </c>
      <c r="D2261" t="s">
        <v>118</v>
      </c>
      <c r="E2261" t="s">
        <v>696</v>
      </c>
      <c r="F2261" t="s">
        <v>3839</v>
      </c>
      <c r="G2261" t="s">
        <v>2693</v>
      </c>
      <c r="H2261">
        <v>234</v>
      </c>
      <c r="I2261">
        <v>102</v>
      </c>
      <c r="J2261">
        <v>234</v>
      </c>
      <c r="K2261">
        <v>54</v>
      </c>
      <c r="L2261">
        <v>78</v>
      </c>
      <c r="AA2261">
        <v>60</v>
      </c>
      <c r="AB2261">
        <v>168</v>
      </c>
      <c r="AC2261">
        <v>66</v>
      </c>
      <c r="AD2261">
        <v>217</v>
      </c>
      <c r="AE2261">
        <v>108</v>
      </c>
      <c r="AF2261">
        <v>276</v>
      </c>
      <c r="AG2261">
        <v>102</v>
      </c>
      <c r="CH2261" t="str">
        <f t="shared" si="35"/>
        <v>D-0006</v>
      </c>
      <c r="CI2261" s="1" t="s">
        <v>102</v>
      </c>
    </row>
    <row r="2262" spans="1:87">
      <c r="A2262" t="s">
        <v>3840</v>
      </c>
      <c r="B2262">
        <v>1525</v>
      </c>
      <c r="C2262" t="s">
        <v>3838</v>
      </c>
      <c r="D2262" t="s">
        <v>118</v>
      </c>
      <c r="E2262" t="s">
        <v>696</v>
      </c>
      <c r="F2262" t="s">
        <v>3839</v>
      </c>
      <c r="G2262" t="s">
        <v>2693</v>
      </c>
      <c r="H2262">
        <v>210</v>
      </c>
      <c r="I2262">
        <v>78</v>
      </c>
      <c r="J2262">
        <v>246</v>
      </c>
      <c r="K2262">
        <v>78</v>
      </c>
      <c r="L2262">
        <v>210</v>
      </c>
      <c r="AA2262">
        <v>54</v>
      </c>
      <c r="AB2262">
        <v>138</v>
      </c>
      <c r="AC2262">
        <v>42</v>
      </c>
      <c r="AD2262">
        <v>163</v>
      </c>
      <c r="AE2262">
        <v>60</v>
      </c>
      <c r="AF2262">
        <v>192</v>
      </c>
      <c r="AG2262">
        <v>54</v>
      </c>
      <c r="CH2262" t="str">
        <f t="shared" si="35"/>
        <v>D-0006</v>
      </c>
      <c r="CI2262" s="1" t="s">
        <v>102</v>
      </c>
    </row>
    <row r="2263" spans="1:87">
      <c r="A2263" t="s">
        <v>3841</v>
      </c>
      <c r="B2263">
        <v>1957</v>
      </c>
      <c r="C2263" t="s">
        <v>976</v>
      </c>
      <c r="D2263" t="s">
        <v>116</v>
      </c>
      <c r="E2263" t="s">
        <v>974</v>
      </c>
      <c r="F2263" t="s">
        <v>632</v>
      </c>
      <c r="G2263" t="s">
        <v>2693</v>
      </c>
      <c r="M2263">
        <v>199</v>
      </c>
      <c r="N2263">
        <v>166</v>
      </c>
      <c r="O2263">
        <v>190</v>
      </c>
      <c r="P2263">
        <v>456</v>
      </c>
      <c r="R2263">
        <v>522</v>
      </c>
      <c r="S2263">
        <v>190</v>
      </c>
      <c r="T2263">
        <v>234</v>
      </c>
      <c r="CH2263" t="str">
        <f t="shared" si="35"/>
        <v>D-0005</v>
      </c>
      <c r="CI2263" s="1" t="s">
        <v>102</v>
      </c>
    </row>
    <row r="2264" spans="1:87">
      <c r="A2264" t="s">
        <v>3842</v>
      </c>
      <c r="B2264">
        <v>5345</v>
      </c>
      <c r="C2264" t="s">
        <v>3843</v>
      </c>
      <c r="D2264" t="s">
        <v>222</v>
      </c>
      <c r="E2264" t="s">
        <v>642</v>
      </c>
      <c r="F2264" t="s">
        <v>690</v>
      </c>
      <c r="G2264" t="s">
        <v>3844</v>
      </c>
      <c r="P2264">
        <v>136</v>
      </c>
      <c r="Q2264">
        <v>196</v>
      </c>
      <c r="R2264">
        <v>366</v>
      </c>
      <c r="S2264">
        <v>379</v>
      </c>
      <c r="T2264">
        <v>588</v>
      </c>
      <c r="U2264">
        <v>610</v>
      </c>
      <c r="V2264">
        <v>696</v>
      </c>
      <c r="W2264">
        <v>565</v>
      </c>
      <c r="X2264">
        <v>591</v>
      </c>
      <c r="Y2264">
        <v>356</v>
      </c>
      <c r="Z2264">
        <v>363</v>
      </c>
      <c r="AA2264">
        <v>148</v>
      </c>
      <c r="AB2264">
        <v>202</v>
      </c>
      <c r="AC2264">
        <v>75</v>
      </c>
      <c r="AD2264">
        <v>74</v>
      </c>
      <c r="CH2264" t="str">
        <f t="shared" si="35"/>
        <v>D-0262</v>
      </c>
      <c r="CI2264" s="1" t="s">
        <v>102</v>
      </c>
    </row>
    <row r="2265" spans="1:87">
      <c r="A2265" t="s">
        <v>3845</v>
      </c>
      <c r="B2265">
        <v>13931</v>
      </c>
      <c r="C2265" t="s">
        <v>3843</v>
      </c>
      <c r="D2265" t="s">
        <v>222</v>
      </c>
      <c r="E2265" t="s">
        <v>642</v>
      </c>
      <c r="F2265" t="s">
        <v>690</v>
      </c>
      <c r="G2265" t="s">
        <v>3844</v>
      </c>
      <c r="P2265">
        <v>175</v>
      </c>
      <c r="Q2265">
        <v>254</v>
      </c>
      <c r="R2265">
        <v>756</v>
      </c>
      <c r="S2265">
        <v>896</v>
      </c>
      <c r="T2265">
        <v>1610</v>
      </c>
      <c r="U2265">
        <v>1820</v>
      </c>
      <c r="V2265">
        <v>1968</v>
      </c>
      <c r="W2265">
        <v>1780</v>
      </c>
      <c r="X2265">
        <v>1618</v>
      </c>
      <c r="Y2265">
        <v>1074</v>
      </c>
      <c r="Z2265">
        <v>912</v>
      </c>
      <c r="AA2265">
        <v>282</v>
      </c>
      <c r="AB2265">
        <v>454</v>
      </c>
      <c r="AC2265">
        <v>142</v>
      </c>
      <c r="AD2265">
        <v>190</v>
      </c>
      <c r="CH2265" t="str">
        <f t="shared" si="35"/>
        <v>D-0262</v>
      </c>
      <c r="CI2265" s="1" t="s">
        <v>102</v>
      </c>
    </row>
    <row r="2266" spans="1:87">
      <c r="A2266" t="s">
        <v>3846</v>
      </c>
      <c r="B2266">
        <v>2837</v>
      </c>
      <c r="C2266" t="s">
        <v>3847</v>
      </c>
      <c r="D2266" t="s">
        <v>223</v>
      </c>
      <c r="E2266" t="s">
        <v>642</v>
      </c>
      <c r="F2266" t="s">
        <v>690</v>
      </c>
      <c r="G2266" t="s">
        <v>3848</v>
      </c>
      <c r="R2266">
        <v>42</v>
      </c>
      <c r="S2266">
        <v>475</v>
      </c>
      <c r="T2266">
        <v>457</v>
      </c>
      <c r="U2266">
        <v>634</v>
      </c>
      <c r="V2266">
        <v>594</v>
      </c>
      <c r="W2266">
        <v>426</v>
      </c>
      <c r="X2266">
        <v>139</v>
      </c>
      <c r="Y2266">
        <v>56</v>
      </c>
      <c r="AB2266">
        <v>14</v>
      </c>
      <c r="CH2266" t="str">
        <f t="shared" si="35"/>
        <v>D-0263</v>
      </c>
      <c r="CI2266" s="1" t="s">
        <v>102</v>
      </c>
    </row>
    <row r="2267" spans="1:87">
      <c r="A2267" t="s">
        <v>3849</v>
      </c>
      <c r="B2267">
        <v>848</v>
      </c>
      <c r="C2267" t="s">
        <v>3825</v>
      </c>
      <c r="D2267" t="s">
        <v>435</v>
      </c>
      <c r="E2267" t="s">
        <v>629</v>
      </c>
      <c r="F2267" t="s">
        <v>644</v>
      </c>
      <c r="G2267" t="s">
        <v>3826</v>
      </c>
      <c r="Y2267">
        <v>14</v>
      </c>
      <c r="AC2267">
        <v>834</v>
      </c>
      <c r="CH2267" t="str">
        <f t="shared" si="35"/>
        <v>D-0638</v>
      </c>
      <c r="CI2267" s="1" t="s">
        <v>102</v>
      </c>
    </row>
    <row r="2268" spans="1:87">
      <c r="A2268" t="s">
        <v>3851</v>
      </c>
      <c r="B2268">
        <v>7</v>
      </c>
      <c r="C2268" t="s">
        <v>3852</v>
      </c>
      <c r="D2268" t="s">
        <v>218</v>
      </c>
      <c r="E2268" t="s">
        <v>629</v>
      </c>
      <c r="F2268" t="s">
        <v>693</v>
      </c>
      <c r="G2268" t="s">
        <v>3853</v>
      </c>
      <c r="X2268">
        <v>7</v>
      </c>
      <c r="CH2268" t="str">
        <f t="shared" si="35"/>
        <v>D-0260</v>
      </c>
      <c r="CI2268" s="1" t="s">
        <v>102</v>
      </c>
    </row>
    <row r="2269" spans="1:87">
      <c r="A2269" t="s">
        <v>3857</v>
      </c>
      <c r="B2269">
        <v>419</v>
      </c>
      <c r="C2269" t="s">
        <v>3300</v>
      </c>
      <c r="D2269" t="s">
        <v>180</v>
      </c>
      <c r="E2269" t="s">
        <v>629</v>
      </c>
      <c r="F2269" t="s">
        <v>725</v>
      </c>
      <c r="G2269" t="s">
        <v>3301</v>
      </c>
      <c r="S2269">
        <v>9</v>
      </c>
      <c r="T2269">
        <v>21</v>
      </c>
      <c r="U2269">
        <v>21</v>
      </c>
      <c r="V2269">
        <v>30</v>
      </c>
      <c r="W2269">
        <v>54</v>
      </c>
      <c r="X2269">
        <v>66</v>
      </c>
      <c r="Y2269">
        <v>63</v>
      </c>
      <c r="Z2269">
        <v>56</v>
      </c>
      <c r="AA2269">
        <v>42</v>
      </c>
      <c r="AB2269">
        <v>36</v>
      </c>
      <c r="AC2269">
        <v>9</v>
      </c>
      <c r="AD2269">
        <v>12</v>
      </c>
      <c r="CH2269" t="str">
        <f t="shared" si="35"/>
        <v>D-0155</v>
      </c>
      <c r="CI2269" s="1" t="s">
        <v>102</v>
      </c>
    </row>
    <row r="2270" spans="1:87">
      <c r="A2270" t="s">
        <v>3858</v>
      </c>
      <c r="B2270">
        <v>2105</v>
      </c>
      <c r="C2270" t="s">
        <v>3859</v>
      </c>
      <c r="D2270" t="s">
        <v>359</v>
      </c>
      <c r="E2270" t="s">
        <v>642</v>
      </c>
      <c r="F2270" t="s">
        <v>654</v>
      </c>
      <c r="G2270" t="s">
        <v>3860</v>
      </c>
      <c r="P2270">
        <v>74</v>
      </c>
      <c r="Q2270">
        <v>167</v>
      </c>
      <c r="R2270">
        <v>277</v>
      </c>
      <c r="S2270">
        <v>316</v>
      </c>
      <c r="T2270">
        <v>506</v>
      </c>
      <c r="U2270">
        <v>345</v>
      </c>
      <c r="V2270">
        <v>197</v>
      </c>
      <c r="W2270">
        <v>130</v>
      </c>
      <c r="X2270">
        <v>93</v>
      </c>
      <c r="CH2270" t="str">
        <f t="shared" si="35"/>
        <v>D-0522</v>
      </c>
      <c r="CI2270" s="1" t="s">
        <v>102</v>
      </c>
    </row>
    <row r="2271" spans="1:87">
      <c r="A2271" t="s">
        <v>3861</v>
      </c>
      <c r="B2271">
        <v>2731</v>
      </c>
      <c r="C2271" t="s">
        <v>3862</v>
      </c>
      <c r="D2271" t="s">
        <v>359</v>
      </c>
      <c r="E2271" t="s">
        <v>642</v>
      </c>
      <c r="F2271" t="s">
        <v>654</v>
      </c>
      <c r="G2271" t="s">
        <v>3863</v>
      </c>
      <c r="P2271">
        <v>102</v>
      </c>
      <c r="Q2271">
        <v>230</v>
      </c>
      <c r="R2271">
        <v>388</v>
      </c>
      <c r="S2271">
        <v>411</v>
      </c>
      <c r="T2271">
        <v>662</v>
      </c>
      <c r="U2271">
        <v>442</v>
      </c>
      <c r="V2271">
        <v>239</v>
      </c>
      <c r="W2271">
        <v>155</v>
      </c>
      <c r="X2271">
        <v>102</v>
      </c>
      <c r="CH2271" t="str">
        <f t="shared" si="35"/>
        <v>D-0522</v>
      </c>
      <c r="CI2271" s="1" t="s">
        <v>102</v>
      </c>
    </row>
    <row r="2272" spans="1:87">
      <c r="A2272" t="s">
        <v>3867</v>
      </c>
      <c r="B2272">
        <v>46066</v>
      </c>
      <c r="C2272" t="s">
        <v>3868</v>
      </c>
      <c r="D2272" t="s">
        <v>95</v>
      </c>
      <c r="E2272" t="s">
        <v>629</v>
      </c>
      <c r="F2272" t="s">
        <v>654</v>
      </c>
      <c r="G2272" t="s">
        <v>3869</v>
      </c>
      <c r="N2272">
        <v>59</v>
      </c>
      <c r="O2272">
        <v>191</v>
      </c>
      <c r="P2272">
        <v>290</v>
      </c>
      <c r="Q2272">
        <v>763</v>
      </c>
      <c r="R2272">
        <v>1027</v>
      </c>
      <c r="S2272">
        <v>1006</v>
      </c>
      <c r="T2272">
        <v>1174</v>
      </c>
      <c r="U2272">
        <v>1506</v>
      </c>
      <c r="V2272">
        <v>3508</v>
      </c>
      <c r="W2272">
        <v>3725</v>
      </c>
      <c r="X2272">
        <v>5063</v>
      </c>
      <c r="Y2272">
        <v>4901</v>
      </c>
      <c r="Z2272">
        <v>5219</v>
      </c>
      <c r="AA2272">
        <v>4689</v>
      </c>
      <c r="AB2272">
        <v>4486</v>
      </c>
      <c r="AC2272">
        <v>2768</v>
      </c>
      <c r="AD2272">
        <v>3305</v>
      </c>
      <c r="AE2272">
        <v>17</v>
      </c>
      <c r="AF2272">
        <v>2047</v>
      </c>
      <c r="AH2272">
        <v>322</v>
      </c>
      <c r="CH2272" t="str">
        <f t="shared" si="35"/>
        <v>EOR-13</v>
      </c>
      <c r="CI2272" s="1" t="s">
        <v>102</v>
      </c>
    </row>
    <row r="2273" spans="1:87">
      <c r="A2273" t="s">
        <v>3877</v>
      </c>
      <c r="B2273">
        <v>21</v>
      </c>
      <c r="C2273" t="s">
        <v>3859</v>
      </c>
      <c r="D2273" t="s">
        <v>359</v>
      </c>
      <c r="E2273" t="s">
        <v>642</v>
      </c>
      <c r="F2273" t="s">
        <v>654</v>
      </c>
      <c r="G2273" t="s">
        <v>3860</v>
      </c>
      <c r="P2273">
        <v>2</v>
      </c>
      <c r="Q2273">
        <v>2</v>
      </c>
      <c r="R2273">
        <v>3</v>
      </c>
      <c r="S2273">
        <v>3</v>
      </c>
      <c r="T2273">
        <v>3</v>
      </c>
      <c r="U2273">
        <v>3</v>
      </c>
      <c r="V2273">
        <v>3</v>
      </c>
      <c r="W2273">
        <v>1</v>
      </c>
      <c r="X2273">
        <v>1</v>
      </c>
      <c r="CH2273" t="str">
        <f t="shared" si="35"/>
        <v>D-0522</v>
      </c>
      <c r="CI2273" s="1" t="s">
        <v>102</v>
      </c>
    </row>
    <row r="2274" spans="1:87">
      <c r="A2274" t="s">
        <v>3878</v>
      </c>
      <c r="B2274">
        <v>27</v>
      </c>
      <c r="C2274" t="s">
        <v>3862</v>
      </c>
      <c r="D2274" t="s">
        <v>359</v>
      </c>
      <c r="E2274" t="s">
        <v>642</v>
      </c>
      <c r="F2274" t="s">
        <v>654</v>
      </c>
      <c r="G2274" t="s">
        <v>3863</v>
      </c>
      <c r="P2274">
        <v>3</v>
      </c>
      <c r="Q2274">
        <v>3</v>
      </c>
      <c r="R2274">
        <v>3</v>
      </c>
      <c r="S2274">
        <v>3</v>
      </c>
      <c r="T2274">
        <v>3</v>
      </c>
      <c r="U2274">
        <v>3</v>
      </c>
      <c r="V2274">
        <v>3</v>
      </c>
      <c r="W2274">
        <v>3</v>
      </c>
      <c r="X2274">
        <v>3</v>
      </c>
      <c r="CH2274" t="str">
        <f t="shared" si="35"/>
        <v>D-0522</v>
      </c>
      <c r="CI2274" s="1" t="s">
        <v>102</v>
      </c>
    </row>
    <row r="2275" spans="1:87">
      <c r="A2275" t="s">
        <v>3880</v>
      </c>
      <c r="B2275">
        <v>460</v>
      </c>
      <c r="C2275" t="s">
        <v>3868</v>
      </c>
      <c r="D2275" t="s">
        <v>95</v>
      </c>
      <c r="E2275" t="s">
        <v>629</v>
      </c>
      <c r="F2275" t="s">
        <v>654</v>
      </c>
      <c r="G2275" t="s">
        <v>3869</v>
      </c>
      <c r="N2275">
        <v>1</v>
      </c>
      <c r="O2275">
        <v>1</v>
      </c>
      <c r="P2275">
        <v>1</v>
      </c>
      <c r="Q2275">
        <v>8</v>
      </c>
      <c r="R2275">
        <v>10</v>
      </c>
      <c r="S2275">
        <v>10</v>
      </c>
      <c r="T2275">
        <v>10</v>
      </c>
      <c r="U2275">
        <v>15</v>
      </c>
      <c r="V2275">
        <v>35</v>
      </c>
      <c r="W2275">
        <v>35</v>
      </c>
      <c r="X2275">
        <v>50</v>
      </c>
      <c r="Y2275">
        <v>50</v>
      </c>
      <c r="Z2275">
        <v>50</v>
      </c>
      <c r="AA2275">
        <v>50</v>
      </c>
      <c r="AB2275">
        <v>45</v>
      </c>
      <c r="AC2275">
        <v>30</v>
      </c>
      <c r="AD2275">
        <v>35</v>
      </c>
      <c r="AE2275">
        <v>1</v>
      </c>
      <c r="AF2275">
        <v>20</v>
      </c>
      <c r="AH2275">
        <v>3</v>
      </c>
      <c r="CH2275" t="str">
        <f t="shared" si="35"/>
        <v>EOR-13</v>
      </c>
      <c r="CI2275" s="1" t="s">
        <v>102</v>
      </c>
    </row>
    <row r="2276" spans="1:87">
      <c r="A2276" t="s">
        <v>3885</v>
      </c>
      <c r="B2276">
        <v>4670</v>
      </c>
      <c r="C2276" t="s">
        <v>1115</v>
      </c>
      <c r="D2276" t="s">
        <v>249</v>
      </c>
      <c r="E2276" t="s">
        <v>642</v>
      </c>
      <c r="F2276" t="s">
        <v>657</v>
      </c>
      <c r="G2276" t="s">
        <v>1116</v>
      </c>
      <c r="P2276">
        <v>46</v>
      </c>
      <c r="Q2276">
        <v>204</v>
      </c>
      <c r="R2276">
        <v>420</v>
      </c>
      <c r="S2276">
        <v>384</v>
      </c>
      <c r="T2276">
        <v>661</v>
      </c>
      <c r="U2276">
        <v>540</v>
      </c>
      <c r="V2276">
        <v>660</v>
      </c>
      <c r="W2276">
        <v>360</v>
      </c>
      <c r="X2276">
        <v>386</v>
      </c>
      <c r="Y2276">
        <v>240</v>
      </c>
      <c r="Z2276">
        <v>240</v>
      </c>
      <c r="AA2276">
        <v>165</v>
      </c>
      <c r="AB2276">
        <v>240</v>
      </c>
      <c r="AC2276">
        <v>74</v>
      </c>
      <c r="AD2276">
        <v>50</v>
      </c>
      <c r="CH2276" t="str">
        <f t="shared" si="35"/>
        <v>D-0271</v>
      </c>
      <c r="CI2276" s="1" t="s">
        <v>102</v>
      </c>
    </row>
    <row r="2277" spans="1:87">
      <c r="A2277" t="s">
        <v>3886</v>
      </c>
      <c r="B2277">
        <v>3895</v>
      </c>
      <c r="C2277" t="s">
        <v>1115</v>
      </c>
      <c r="D2277" t="s">
        <v>249</v>
      </c>
      <c r="E2277" t="s">
        <v>642</v>
      </c>
      <c r="F2277" t="s">
        <v>657</v>
      </c>
      <c r="G2277" t="s">
        <v>1116</v>
      </c>
      <c r="Q2277">
        <v>81</v>
      </c>
      <c r="R2277">
        <v>384</v>
      </c>
      <c r="S2277">
        <v>384</v>
      </c>
      <c r="T2277">
        <v>613</v>
      </c>
      <c r="U2277">
        <v>504</v>
      </c>
      <c r="V2277">
        <v>600</v>
      </c>
      <c r="W2277">
        <v>360</v>
      </c>
      <c r="X2277">
        <v>386</v>
      </c>
      <c r="Y2277">
        <v>175</v>
      </c>
      <c r="Z2277">
        <v>240</v>
      </c>
      <c r="AB2277">
        <v>168</v>
      </c>
      <c r="CH2277" t="str">
        <f t="shared" si="35"/>
        <v>D-0271</v>
      </c>
      <c r="CI2277" s="1" t="s">
        <v>102</v>
      </c>
    </row>
    <row r="2278" spans="1:87">
      <c r="A2278" t="s">
        <v>3887</v>
      </c>
      <c r="B2278">
        <v>2440</v>
      </c>
      <c r="C2278" t="s">
        <v>1115</v>
      </c>
      <c r="D2278" t="s">
        <v>249</v>
      </c>
      <c r="E2278" t="s">
        <v>642</v>
      </c>
      <c r="F2278" t="s">
        <v>657</v>
      </c>
      <c r="G2278" t="s">
        <v>1116</v>
      </c>
      <c r="R2278">
        <v>254</v>
      </c>
      <c r="S2278">
        <v>227</v>
      </c>
      <c r="T2278">
        <v>490</v>
      </c>
      <c r="U2278">
        <v>367</v>
      </c>
      <c r="V2278">
        <v>524</v>
      </c>
      <c r="W2278">
        <v>226</v>
      </c>
      <c r="X2278">
        <v>271</v>
      </c>
      <c r="Z2278">
        <v>81</v>
      </c>
      <c r="CH2278" t="str">
        <f t="shared" si="35"/>
        <v>D-0271</v>
      </c>
      <c r="CI2278" s="1" t="s">
        <v>102</v>
      </c>
    </row>
    <row r="2279" spans="1:87">
      <c r="A2279" t="s">
        <v>3891</v>
      </c>
      <c r="B2279">
        <v>913</v>
      </c>
      <c r="C2279" t="s">
        <v>2363</v>
      </c>
      <c r="D2279" t="s">
        <v>188</v>
      </c>
      <c r="E2279" t="s">
        <v>629</v>
      </c>
      <c r="F2279" t="s">
        <v>723</v>
      </c>
      <c r="G2279" t="s">
        <v>2364</v>
      </c>
      <c r="T2279">
        <v>25</v>
      </c>
      <c r="U2279">
        <v>35</v>
      </c>
      <c r="V2279">
        <v>85</v>
      </c>
      <c r="W2279">
        <v>108</v>
      </c>
      <c r="X2279">
        <v>105</v>
      </c>
      <c r="Y2279">
        <v>130</v>
      </c>
      <c r="Z2279">
        <v>120</v>
      </c>
      <c r="AA2279">
        <v>100</v>
      </c>
      <c r="AB2279">
        <v>85</v>
      </c>
      <c r="AC2279">
        <v>65</v>
      </c>
      <c r="AD2279">
        <v>35</v>
      </c>
      <c r="AF2279">
        <v>15</v>
      </c>
      <c r="AH2279">
        <v>5</v>
      </c>
      <c r="CH2279" t="str">
        <f t="shared" si="35"/>
        <v>D-0179</v>
      </c>
      <c r="CI2279" s="1" t="s">
        <v>102</v>
      </c>
    </row>
    <row r="2280" spans="1:87">
      <c r="A2280" t="s">
        <v>3892</v>
      </c>
      <c r="B2280">
        <v>161</v>
      </c>
      <c r="C2280" t="s">
        <v>2366</v>
      </c>
      <c r="D2280" t="s">
        <v>186</v>
      </c>
      <c r="E2280" t="s">
        <v>642</v>
      </c>
      <c r="F2280" t="s">
        <v>723</v>
      </c>
      <c r="G2280" t="s">
        <v>2364</v>
      </c>
      <c r="Q2280">
        <v>5</v>
      </c>
      <c r="R2280">
        <v>25</v>
      </c>
      <c r="S2280">
        <v>30</v>
      </c>
      <c r="T2280">
        <v>45</v>
      </c>
      <c r="U2280">
        <v>10</v>
      </c>
      <c r="V2280">
        <v>20</v>
      </c>
      <c r="W2280">
        <v>16</v>
      </c>
      <c r="X2280">
        <v>5</v>
      </c>
      <c r="Y2280">
        <v>5</v>
      </c>
      <c r="CH2280" t="str">
        <f t="shared" si="35"/>
        <v>D-0178</v>
      </c>
      <c r="CI2280" s="1" t="s">
        <v>102</v>
      </c>
    </row>
    <row r="2281" spans="1:87">
      <c r="A2281" t="s">
        <v>3893</v>
      </c>
      <c r="B2281">
        <v>378</v>
      </c>
      <c r="C2281" t="s">
        <v>722</v>
      </c>
      <c r="D2281" t="s">
        <v>188</v>
      </c>
      <c r="E2281" t="s">
        <v>629</v>
      </c>
      <c r="F2281" t="s">
        <v>723</v>
      </c>
      <c r="G2281" t="s">
        <v>724</v>
      </c>
      <c r="T2281">
        <v>5</v>
      </c>
      <c r="U2281">
        <v>20</v>
      </c>
      <c r="V2281">
        <v>30</v>
      </c>
      <c r="W2281">
        <v>38</v>
      </c>
      <c r="X2281">
        <v>80</v>
      </c>
      <c r="Y2281">
        <v>80</v>
      </c>
      <c r="Z2281">
        <v>35</v>
      </c>
      <c r="AA2281">
        <v>35</v>
      </c>
      <c r="AB2281">
        <v>35</v>
      </c>
      <c r="AC2281">
        <v>15</v>
      </c>
      <c r="AD2281">
        <v>5</v>
      </c>
      <c r="CH2281" t="str">
        <f t="shared" si="35"/>
        <v>D-0179</v>
      </c>
      <c r="CI2281" s="1" t="s">
        <v>102</v>
      </c>
    </row>
    <row r="2282" spans="1:87">
      <c r="A2282" t="s">
        <v>3894</v>
      </c>
      <c r="B2282">
        <v>678</v>
      </c>
      <c r="C2282" t="s">
        <v>1157</v>
      </c>
      <c r="D2282" t="s">
        <v>186</v>
      </c>
      <c r="E2282" t="s">
        <v>642</v>
      </c>
      <c r="F2282" t="s">
        <v>723</v>
      </c>
      <c r="G2282" t="s">
        <v>724</v>
      </c>
      <c r="P2282">
        <v>10</v>
      </c>
      <c r="Q2282">
        <v>10</v>
      </c>
      <c r="R2282">
        <v>25</v>
      </c>
      <c r="S2282">
        <v>60</v>
      </c>
      <c r="T2282">
        <v>150</v>
      </c>
      <c r="U2282">
        <v>90</v>
      </c>
      <c r="V2282">
        <v>125</v>
      </c>
      <c r="W2282">
        <v>113</v>
      </c>
      <c r="X2282">
        <v>60</v>
      </c>
      <c r="Y2282">
        <v>25</v>
      </c>
      <c r="Z2282">
        <v>10</v>
      </c>
      <c r="CH2282" t="str">
        <f t="shared" si="35"/>
        <v>D-0178</v>
      </c>
      <c r="CI2282" s="1" t="s">
        <v>102</v>
      </c>
    </row>
    <row r="2283" spans="1:87">
      <c r="A2283" t="s">
        <v>3895</v>
      </c>
      <c r="B2283">
        <v>80</v>
      </c>
      <c r="C2283" t="s">
        <v>979</v>
      </c>
      <c r="D2283" t="s">
        <v>186</v>
      </c>
      <c r="E2283" t="s">
        <v>642</v>
      </c>
      <c r="F2283" t="s">
        <v>723</v>
      </c>
      <c r="G2283" t="s">
        <v>980</v>
      </c>
      <c r="P2283">
        <v>5</v>
      </c>
      <c r="Q2283">
        <v>10</v>
      </c>
      <c r="R2283">
        <v>10</v>
      </c>
      <c r="S2283">
        <v>10</v>
      </c>
      <c r="T2283">
        <v>5</v>
      </c>
      <c r="U2283">
        <v>20</v>
      </c>
      <c r="V2283">
        <v>5</v>
      </c>
      <c r="W2283">
        <v>10</v>
      </c>
      <c r="X2283">
        <v>5</v>
      </c>
      <c r="CH2283" t="str">
        <f t="shared" si="35"/>
        <v>D-0178</v>
      </c>
      <c r="CI2283" s="1" t="s">
        <v>102</v>
      </c>
    </row>
    <row r="2284" spans="1:87">
      <c r="A2284" t="s">
        <v>3896</v>
      </c>
      <c r="B2284">
        <v>9005</v>
      </c>
      <c r="C2284" t="s">
        <v>3897</v>
      </c>
      <c r="D2284" t="s">
        <v>95</v>
      </c>
      <c r="E2284" t="s">
        <v>642</v>
      </c>
      <c r="F2284" t="s">
        <v>634</v>
      </c>
      <c r="G2284" t="s">
        <v>3898</v>
      </c>
      <c r="P2284">
        <v>30</v>
      </c>
      <c r="Q2284">
        <v>126</v>
      </c>
      <c r="R2284">
        <v>600</v>
      </c>
      <c r="S2284">
        <v>702</v>
      </c>
      <c r="T2284">
        <v>1151</v>
      </c>
      <c r="U2284">
        <v>1218</v>
      </c>
      <c r="V2284">
        <v>1440</v>
      </c>
      <c r="W2284">
        <v>1194</v>
      </c>
      <c r="X2284">
        <v>1098</v>
      </c>
      <c r="Y2284">
        <v>654</v>
      </c>
      <c r="Z2284">
        <v>522</v>
      </c>
      <c r="AA2284">
        <v>138</v>
      </c>
      <c r="AB2284">
        <v>102</v>
      </c>
      <c r="AC2284">
        <v>18</v>
      </c>
      <c r="AD2284">
        <v>12</v>
      </c>
      <c r="CH2284" t="str">
        <f t="shared" si="35"/>
        <v>EOR-13</v>
      </c>
      <c r="CI2284" s="1" t="s">
        <v>102</v>
      </c>
    </row>
    <row r="2285" spans="1:87">
      <c r="A2285" t="s">
        <v>3899</v>
      </c>
      <c r="B2285">
        <v>90</v>
      </c>
      <c r="C2285" t="s">
        <v>3897</v>
      </c>
      <c r="D2285" t="s">
        <v>95</v>
      </c>
      <c r="E2285" t="s">
        <v>642</v>
      </c>
      <c r="F2285" t="s">
        <v>634</v>
      </c>
      <c r="G2285" t="s">
        <v>3898</v>
      </c>
      <c r="P2285">
        <v>5</v>
      </c>
      <c r="Q2285">
        <v>5</v>
      </c>
      <c r="R2285">
        <v>5</v>
      </c>
      <c r="S2285">
        <v>5</v>
      </c>
      <c r="T2285">
        <v>8</v>
      </c>
      <c r="U2285">
        <v>8</v>
      </c>
      <c r="V2285">
        <v>8</v>
      </c>
      <c r="W2285">
        <v>8</v>
      </c>
      <c r="X2285">
        <v>8</v>
      </c>
      <c r="Y2285">
        <v>5</v>
      </c>
      <c r="Z2285">
        <v>5</v>
      </c>
      <c r="AA2285">
        <v>5</v>
      </c>
      <c r="AB2285">
        <v>5</v>
      </c>
      <c r="AC2285">
        <v>5</v>
      </c>
      <c r="AD2285">
        <v>5</v>
      </c>
      <c r="CH2285" t="str">
        <f t="shared" si="35"/>
        <v>EOR-13</v>
      </c>
      <c r="CI2285" s="1" t="s">
        <v>102</v>
      </c>
    </row>
    <row r="2286" spans="1:87">
      <c r="A2286" t="s">
        <v>5166</v>
      </c>
      <c r="B2286">
        <v>7</v>
      </c>
      <c r="C2286" t="s">
        <v>5152</v>
      </c>
      <c r="D2286" t="s">
        <v>5153</v>
      </c>
      <c r="E2286" t="s">
        <v>642</v>
      </c>
      <c r="F2286" t="s">
        <v>5146</v>
      </c>
      <c r="G2286" t="s">
        <v>2702</v>
      </c>
      <c r="AE2286">
        <v>2</v>
      </c>
      <c r="AF2286">
        <v>2</v>
      </c>
      <c r="AG2286">
        <v>1</v>
      </c>
      <c r="AH2286">
        <v>1</v>
      </c>
      <c r="AI2286">
        <v>1</v>
      </c>
      <c r="CH2286" t="str">
        <f t="shared" si="35"/>
        <v>D-0514</v>
      </c>
      <c r="CI2286" s="1" t="s">
        <v>102</v>
      </c>
    </row>
    <row r="2287" spans="1:87">
      <c r="A2287" t="s">
        <v>5167</v>
      </c>
      <c r="B2287">
        <v>16</v>
      </c>
      <c r="C2287" t="s">
        <v>5152</v>
      </c>
      <c r="D2287" t="s">
        <v>5153</v>
      </c>
      <c r="E2287" t="s">
        <v>642</v>
      </c>
      <c r="F2287" t="s">
        <v>5146</v>
      </c>
      <c r="G2287" t="s">
        <v>2702</v>
      </c>
      <c r="P2287">
        <v>3</v>
      </c>
      <c r="Q2287">
        <v>3</v>
      </c>
      <c r="AA2287">
        <v>4</v>
      </c>
      <c r="AC2287">
        <v>3</v>
      </c>
      <c r="AD2287">
        <v>3</v>
      </c>
      <c r="CH2287" t="str">
        <f t="shared" si="35"/>
        <v>D-0514</v>
      </c>
      <c r="CI2287" s="1" t="s">
        <v>102</v>
      </c>
    </row>
    <row r="2288" spans="1:87">
      <c r="A2288" t="s">
        <v>5168</v>
      </c>
      <c r="B2288">
        <v>47</v>
      </c>
      <c r="C2288" t="s">
        <v>5152</v>
      </c>
      <c r="D2288" t="s">
        <v>5153</v>
      </c>
      <c r="E2288" t="s">
        <v>642</v>
      </c>
      <c r="F2288" t="s">
        <v>5146</v>
      </c>
      <c r="G2288" t="s">
        <v>2702</v>
      </c>
      <c r="R2288">
        <v>3</v>
      </c>
      <c r="S2288">
        <v>4</v>
      </c>
      <c r="T2288">
        <v>4</v>
      </c>
      <c r="U2288">
        <v>6</v>
      </c>
      <c r="V2288">
        <v>6</v>
      </c>
      <c r="W2288">
        <v>6</v>
      </c>
      <c r="X2288">
        <v>6</v>
      </c>
      <c r="Y2288">
        <v>4</v>
      </c>
      <c r="Z2288">
        <v>4</v>
      </c>
      <c r="AB2288">
        <v>4</v>
      </c>
      <c r="CH2288" t="str">
        <f t="shared" si="35"/>
        <v>D-0514</v>
      </c>
      <c r="CI2288" s="1" t="s">
        <v>102</v>
      </c>
    </row>
    <row r="2289" spans="1:87">
      <c r="A2289" t="s">
        <v>3910</v>
      </c>
      <c r="B2289">
        <v>6</v>
      </c>
      <c r="C2289" t="s">
        <v>1024</v>
      </c>
      <c r="D2289" t="s">
        <v>291</v>
      </c>
      <c r="E2289" t="s">
        <v>642</v>
      </c>
      <c r="F2289" t="s">
        <v>661</v>
      </c>
      <c r="G2289" t="s">
        <v>3084</v>
      </c>
      <c r="AD2289">
        <v>6</v>
      </c>
      <c r="CH2289" t="str">
        <f t="shared" si="35"/>
        <v>D-0419</v>
      </c>
      <c r="CI2289" s="1" t="s">
        <v>102</v>
      </c>
    </row>
    <row r="2290" spans="1:87">
      <c r="A2290" t="s">
        <v>3911</v>
      </c>
      <c r="B2290">
        <v>6</v>
      </c>
      <c r="C2290" t="s">
        <v>1024</v>
      </c>
      <c r="D2290" t="s">
        <v>291</v>
      </c>
      <c r="E2290" t="s">
        <v>642</v>
      </c>
      <c r="F2290" t="s">
        <v>661</v>
      </c>
      <c r="G2290" t="s">
        <v>3084</v>
      </c>
      <c r="AC2290">
        <v>6</v>
      </c>
      <c r="CH2290" t="str">
        <f t="shared" si="35"/>
        <v>D-0419</v>
      </c>
      <c r="CI2290" s="1" t="s">
        <v>102</v>
      </c>
    </row>
    <row r="2291" spans="1:87">
      <c r="A2291" t="s">
        <v>3912</v>
      </c>
      <c r="B2291">
        <v>6</v>
      </c>
      <c r="C2291" t="s">
        <v>1024</v>
      </c>
      <c r="D2291" t="s">
        <v>291</v>
      </c>
      <c r="E2291" t="s">
        <v>642</v>
      </c>
      <c r="F2291" t="s">
        <v>661</v>
      </c>
      <c r="G2291" t="s">
        <v>3084</v>
      </c>
      <c r="AB2291">
        <v>6</v>
      </c>
      <c r="CH2291" t="str">
        <f t="shared" si="35"/>
        <v>D-0419</v>
      </c>
      <c r="CI2291" s="1" t="s">
        <v>102</v>
      </c>
    </row>
    <row r="2292" spans="1:87">
      <c r="A2292" t="s">
        <v>3913</v>
      </c>
      <c r="B2292">
        <v>6</v>
      </c>
      <c r="C2292" t="s">
        <v>1024</v>
      </c>
      <c r="D2292" t="s">
        <v>291</v>
      </c>
      <c r="E2292" t="s">
        <v>642</v>
      </c>
      <c r="F2292" t="s">
        <v>661</v>
      </c>
      <c r="G2292" t="s">
        <v>3084</v>
      </c>
      <c r="AA2292">
        <v>6</v>
      </c>
      <c r="CH2292" t="str">
        <f t="shared" si="35"/>
        <v>D-0419</v>
      </c>
      <c r="CI2292" s="1" t="s">
        <v>102</v>
      </c>
    </row>
    <row r="2293" spans="1:87">
      <c r="A2293" t="s">
        <v>3914</v>
      </c>
      <c r="B2293">
        <v>6</v>
      </c>
      <c r="C2293" t="s">
        <v>1024</v>
      </c>
      <c r="D2293" t="s">
        <v>291</v>
      </c>
      <c r="E2293" t="s">
        <v>642</v>
      </c>
      <c r="F2293" t="s">
        <v>661</v>
      </c>
      <c r="G2293" t="s">
        <v>3084</v>
      </c>
      <c r="Z2293">
        <v>6</v>
      </c>
      <c r="CH2293" t="str">
        <f t="shared" si="35"/>
        <v>D-0419</v>
      </c>
      <c r="CI2293" s="1" t="s">
        <v>102</v>
      </c>
    </row>
    <row r="2294" spans="1:87">
      <c r="A2294" t="s">
        <v>3915</v>
      </c>
      <c r="B2294">
        <v>6</v>
      </c>
      <c r="C2294" t="s">
        <v>1024</v>
      </c>
      <c r="D2294" t="s">
        <v>291</v>
      </c>
      <c r="E2294" t="s">
        <v>642</v>
      </c>
      <c r="F2294" t="s">
        <v>661</v>
      </c>
      <c r="G2294" t="s">
        <v>3084</v>
      </c>
      <c r="Y2294">
        <v>6</v>
      </c>
      <c r="CH2294" t="str">
        <f t="shared" si="35"/>
        <v>D-0419</v>
      </c>
      <c r="CI2294" s="1" t="s">
        <v>102</v>
      </c>
    </row>
    <row r="2295" spans="1:87">
      <c r="A2295" t="s">
        <v>3916</v>
      </c>
      <c r="B2295">
        <v>6</v>
      </c>
      <c r="C2295" t="s">
        <v>1024</v>
      </c>
      <c r="D2295" t="s">
        <v>291</v>
      </c>
      <c r="E2295" t="s">
        <v>642</v>
      </c>
      <c r="F2295" t="s">
        <v>661</v>
      </c>
      <c r="G2295" t="s">
        <v>3084</v>
      </c>
      <c r="X2295">
        <v>6</v>
      </c>
      <c r="CH2295" t="str">
        <f t="shared" si="35"/>
        <v>D-0419</v>
      </c>
      <c r="CI2295" s="1" t="s">
        <v>102</v>
      </c>
    </row>
    <row r="2296" spans="1:87">
      <c r="A2296" t="s">
        <v>3917</v>
      </c>
      <c r="B2296">
        <v>18</v>
      </c>
      <c r="C2296" t="s">
        <v>1024</v>
      </c>
      <c r="D2296" t="s">
        <v>291</v>
      </c>
      <c r="E2296" t="s">
        <v>642</v>
      </c>
      <c r="F2296" t="s">
        <v>661</v>
      </c>
      <c r="G2296" t="s">
        <v>3084</v>
      </c>
      <c r="W2296">
        <v>18</v>
      </c>
      <c r="CH2296" t="str">
        <f t="shared" si="35"/>
        <v>D-0419</v>
      </c>
      <c r="CI2296" s="1" t="s">
        <v>102</v>
      </c>
    </row>
    <row r="2297" spans="1:87">
      <c r="A2297" t="s">
        <v>3918</v>
      </c>
      <c r="B2297">
        <v>42</v>
      </c>
      <c r="C2297" t="s">
        <v>1024</v>
      </c>
      <c r="D2297" t="s">
        <v>291</v>
      </c>
      <c r="E2297" t="s">
        <v>642</v>
      </c>
      <c r="F2297" t="s">
        <v>661</v>
      </c>
      <c r="G2297" t="s">
        <v>3084</v>
      </c>
      <c r="V2297">
        <v>42</v>
      </c>
      <c r="CH2297" t="str">
        <f t="shared" si="35"/>
        <v>D-0419</v>
      </c>
      <c r="CI2297" s="1" t="s">
        <v>102</v>
      </c>
    </row>
    <row r="2298" spans="1:87">
      <c r="A2298" t="s">
        <v>3919</v>
      </c>
      <c r="B2298">
        <v>48</v>
      </c>
      <c r="C2298" t="s">
        <v>1024</v>
      </c>
      <c r="D2298" t="s">
        <v>291</v>
      </c>
      <c r="E2298" t="s">
        <v>642</v>
      </c>
      <c r="F2298" t="s">
        <v>661</v>
      </c>
      <c r="G2298" t="s">
        <v>3084</v>
      </c>
      <c r="U2298">
        <v>48</v>
      </c>
      <c r="CH2298" t="str">
        <f t="shared" si="35"/>
        <v>D-0419</v>
      </c>
      <c r="CI2298" s="1" t="s">
        <v>102</v>
      </c>
    </row>
    <row r="2299" spans="1:87">
      <c r="A2299" t="s">
        <v>3920</v>
      </c>
      <c r="B2299">
        <v>54</v>
      </c>
      <c r="C2299" t="s">
        <v>1024</v>
      </c>
      <c r="D2299" t="s">
        <v>291</v>
      </c>
      <c r="E2299" t="s">
        <v>642</v>
      </c>
      <c r="F2299" t="s">
        <v>661</v>
      </c>
      <c r="G2299" t="s">
        <v>3084</v>
      </c>
      <c r="T2299">
        <v>54</v>
      </c>
      <c r="CH2299" t="str">
        <f t="shared" si="35"/>
        <v>D-0419</v>
      </c>
      <c r="CI2299" s="1" t="s">
        <v>102</v>
      </c>
    </row>
    <row r="2300" spans="1:87">
      <c r="A2300" t="s">
        <v>3921</v>
      </c>
      <c r="B2300">
        <v>42</v>
      </c>
      <c r="C2300" t="s">
        <v>1024</v>
      </c>
      <c r="D2300" t="s">
        <v>291</v>
      </c>
      <c r="E2300" t="s">
        <v>642</v>
      </c>
      <c r="F2300" t="s">
        <v>661</v>
      </c>
      <c r="G2300" t="s">
        <v>3084</v>
      </c>
      <c r="S2300">
        <v>42</v>
      </c>
      <c r="CH2300" t="str">
        <f t="shared" si="35"/>
        <v>D-0419</v>
      </c>
      <c r="CI2300" s="1" t="s">
        <v>102</v>
      </c>
    </row>
    <row r="2301" spans="1:87">
      <c r="A2301" t="s">
        <v>3922</v>
      </c>
      <c r="B2301">
        <v>24</v>
      </c>
      <c r="C2301" t="s">
        <v>1024</v>
      </c>
      <c r="D2301" t="s">
        <v>291</v>
      </c>
      <c r="E2301" t="s">
        <v>642</v>
      </c>
      <c r="F2301" t="s">
        <v>661</v>
      </c>
      <c r="G2301" t="s">
        <v>3084</v>
      </c>
      <c r="R2301">
        <v>24</v>
      </c>
      <c r="CH2301" t="str">
        <f t="shared" si="35"/>
        <v>D-0419</v>
      </c>
      <c r="CI2301" s="1" t="s">
        <v>102</v>
      </c>
    </row>
    <row r="2302" spans="1:87">
      <c r="A2302" t="s">
        <v>3923</v>
      </c>
      <c r="B2302">
        <v>73</v>
      </c>
      <c r="C2302" t="s">
        <v>1024</v>
      </c>
      <c r="D2302" t="s">
        <v>291</v>
      </c>
      <c r="E2302" t="s">
        <v>642</v>
      </c>
      <c r="F2302" t="s">
        <v>661</v>
      </c>
      <c r="G2302" t="s">
        <v>3084</v>
      </c>
      <c r="Z2302">
        <v>73</v>
      </c>
      <c r="CH2302" t="str">
        <f t="shared" si="35"/>
        <v>D-0419</v>
      </c>
      <c r="CI2302" s="1" t="s">
        <v>102</v>
      </c>
    </row>
    <row r="2303" spans="1:87">
      <c r="A2303" t="s">
        <v>3924</v>
      </c>
      <c r="B2303">
        <v>76</v>
      </c>
      <c r="C2303" t="s">
        <v>1024</v>
      </c>
      <c r="D2303" t="s">
        <v>291</v>
      </c>
      <c r="E2303" t="s">
        <v>642</v>
      </c>
      <c r="F2303" t="s">
        <v>661</v>
      </c>
      <c r="G2303" t="s">
        <v>3084</v>
      </c>
      <c r="Y2303">
        <v>76</v>
      </c>
      <c r="CH2303" t="str">
        <f t="shared" si="35"/>
        <v>D-0419</v>
      </c>
      <c r="CI2303" s="1" t="s">
        <v>102</v>
      </c>
    </row>
    <row r="2304" spans="1:87">
      <c r="A2304" t="s">
        <v>3925</v>
      </c>
      <c r="B2304">
        <v>130</v>
      </c>
      <c r="C2304" t="s">
        <v>1024</v>
      </c>
      <c r="D2304" t="s">
        <v>291</v>
      </c>
      <c r="E2304" t="s">
        <v>642</v>
      </c>
      <c r="F2304" t="s">
        <v>661</v>
      </c>
      <c r="G2304" t="s">
        <v>3084</v>
      </c>
      <c r="X2304">
        <v>130</v>
      </c>
      <c r="CH2304" t="str">
        <f t="shared" si="35"/>
        <v>D-0419</v>
      </c>
      <c r="CI2304" s="1" t="s">
        <v>102</v>
      </c>
    </row>
    <row r="2305" spans="1:87">
      <c r="A2305" t="s">
        <v>3926</v>
      </c>
      <c r="B2305">
        <v>192</v>
      </c>
      <c r="C2305" t="s">
        <v>1024</v>
      </c>
      <c r="D2305" t="s">
        <v>291</v>
      </c>
      <c r="E2305" t="s">
        <v>642</v>
      </c>
      <c r="F2305" t="s">
        <v>661</v>
      </c>
      <c r="G2305" t="s">
        <v>3084</v>
      </c>
      <c r="W2305">
        <v>192</v>
      </c>
      <c r="CH2305" t="str">
        <f t="shared" si="35"/>
        <v>D-0419</v>
      </c>
      <c r="CI2305" s="1" t="s">
        <v>102</v>
      </c>
    </row>
    <row r="2306" spans="1:87">
      <c r="A2306" t="s">
        <v>3927</v>
      </c>
      <c r="B2306">
        <v>420</v>
      </c>
      <c r="C2306" t="s">
        <v>1024</v>
      </c>
      <c r="D2306" t="s">
        <v>291</v>
      </c>
      <c r="E2306" t="s">
        <v>642</v>
      </c>
      <c r="F2306" t="s">
        <v>661</v>
      </c>
      <c r="G2306" t="s">
        <v>3084</v>
      </c>
      <c r="V2306">
        <v>420</v>
      </c>
      <c r="CH2306" t="str">
        <f t="shared" ref="CH2306:CH2369" si="36">TRIM(IFERROR(IFERROR(MID($D2306,FIND("(D-",$D2306)+1,6),LEFT($D2306,FIND("(",$D2306)-1)),$D2306))</f>
        <v>D-0419</v>
      </c>
      <c r="CI2306" s="1" t="s">
        <v>102</v>
      </c>
    </row>
    <row r="2307" spans="1:87">
      <c r="A2307" t="s">
        <v>3928</v>
      </c>
      <c r="B2307">
        <v>406</v>
      </c>
      <c r="C2307" t="s">
        <v>1024</v>
      </c>
      <c r="D2307" t="s">
        <v>291</v>
      </c>
      <c r="E2307" t="s">
        <v>642</v>
      </c>
      <c r="F2307" t="s">
        <v>661</v>
      </c>
      <c r="G2307" t="s">
        <v>3084</v>
      </c>
      <c r="U2307">
        <v>406</v>
      </c>
      <c r="CH2307" t="str">
        <f t="shared" si="36"/>
        <v>D-0419</v>
      </c>
      <c r="CI2307" s="1" t="s">
        <v>102</v>
      </c>
    </row>
    <row r="2308" spans="1:87">
      <c r="A2308" t="s">
        <v>3929</v>
      </c>
      <c r="B2308">
        <v>589</v>
      </c>
      <c r="C2308" t="s">
        <v>1024</v>
      </c>
      <c r="D2308" t="s">
        <v>291</v>
      </c>
      <c r="E2308" t="s">
        <v>642</v>
      </c>
      <c r="F2308" t="s">
        <v>661</v>
      </c>
      <c r="G2308" t="s">
        <v>3084</v>
      </c>
      <c r="T2308">
        <v>589</v>
      </c>
      <c r="CH2308" t="str">
        <f t="shared" si="36"/>
        <v>D-0419</v>
      </c>
      <c r="CI2308" s="1" t="s">
        <v>102</v>
      </c>
    </row>
    <row r="2309" spans="1:87">
      <c r="A2309" t="s">
        <v>3930</v>
      </c>
      <c r="B2309">
        <v>491</v>
      </c>
      <c r="C2309" t="s">
        <v>1024</v>
      </c>
      <c r="D2309" t="s">
        <v>291</v>
      </c>
      <c r="E2309" t="s">
        <v>642</v>
      </c>
      <c r="F2309" t="s">
        <v>661</v>
      </c>
      <c r="G2309" t="s">
        <v>3084</v>
      </c>
      <c r="S2309">
        <v>491</v>
      </c>
      <c r="CH2309" t="str">
        <f t="shared" si="36"/>
        <v>D-0419</v>
      </c>
      <c r="CI2309" s="1" t="s">
        <v>102</v>
      </c>
    </row>
    <row r="2310" spans="1:87">
      <c r="A2310" t="s">
        <v>3931</v>
      </c>
      <c r="B2310">
        <v>425</v>
      </c>
      <c r="C2310" t="s">
        <v>1024</v>
      </c>
      <c r="D2310" t="s">
        <v>291</v>
      </c>
      <c r="E2310" t="s">
        <v>642</v>
      </c>
      <c r="F2310" t="s">
        <v>661</v>
      </c>
      <c r="G2310" t="s">
        <v>3084</v>
      </c>
      <c r="R2310">
        <v>425</v>
      </c>
      <c r="CH2310" t="str">
        <f t="shared" si="36"/>
        <v>D-0419</v>
      </c>
      <c r="CI2310" s="1" t="s">
        <v>102</v>
      </c>
    </row>
    <row r="2311" spans="1:87">
      <c r="A2311" t="s">
        <v>3932</v>
      </c>
      <c r="B2311">
        <v>207</v>
      </c>
      <c r="C2311" t="s">
        <v>1024</v>
      </c>
      <c r="D2311" t="s">
        <v>291</v>
      </c>
      <c r="E2311" t="s">
        <v>642</v>
      </c>
      <c r="F2311" t="s">
        <v>661</v>
      </c>
      <c r="G2311" t="s">
        <v>3084</v>
      </c>
      <c r="Q2311">
        <v>207</v>
      </c>
      <c r="CH2311" t="str">
        <f t="shared" si="36"/>
        <v>D-0419</v>
      </c>
      <c r="CI2311" s="1" t="s">
        <v>102</v>
      </c>
    </row>
    <row r="2312" spans="1:87">
      <c r="A2312" t="s">
        <v>3933</v>
      </c>
      <c r="B2312">
        <v>122</v>
      </c>
      <c r="C2312" t="s">
        <v>1024</v>
      </c>
      <c r="D2312" t="s">
        <v>291</v>
      </c>
      <c r="E2312" t="s">
        <v>642</v>
      </c>
      <c r="F2312" t="s">
        <v>661</v>
      </c>
      <c r="G2312" t="s">
        <v>3084</v>
      </c>
      <c r="P2312">
        <v>122</v>
      </c>
      <c r="CH2312" t="str">
        <f t="shared" si="36"/>
        <v>D-0419</v>
      </c>
      <c r="CI2312" s="1" t="s">
        <v>102</v>
      </c>
    </row>
    <row r="2313" spans="1:87">
      <c r="A2313" t="s">
        <v>3934</v>
      </c>
      <c r="B2313">
        <v>12</v>
      </c>
      <c r="C2313" t="s">
        <v>1024</v>
      </c>
      <c r="D2313" t="s">
        <v>291</v>
      </c>
      <c r="E2313" t="s">
        <v>642</v>
      </c>
      <c r="F2313" t="s">
        <v>661</v>
      </c>
      <c r="G2313" t="s">
        <v>3084</v>
      </c>
      <c r="AD2313">
        <v>12</v>
      </c>
      <c r="CH2313" t="str">
        <f t="shared" si="36"/>
        <v>D-0419</v>
      </c>
      <c r="CI2313" s="1" t="s">
        <v>102</v>
      </c>
    </row>
    <row r="2314" spans="1:87">
      <c r="A2314" t="s">
        <v>3935</v>
      </c>
      <c r="B2314">
        <v>60</v>
      </c>
      <c r="C2314" t="s">
        <v>1024</v>
      </c>
      <c r="D2314" t="s">
        <v>291</v>
      </c>
      <c r="E2314" t="s">
        <v>642</v>
      </c>
      <c r="F2314" t="s">
        <v>661</v>
      </c>
      <c r="G2314" t="s">
        <v>3084</v>
      </c>
      <c r="AB2314">
        <v>60</v>
      </c>
      <c r="CH2314" t="str">
        <f t="shared" si="36"/>
        <v>D-0419</v>
      </c>
      <c r="CI2314" s="1" t="s">
        <v>102</v>
      </c>
    </row>
    <row r="2315" spans="1:87">
      <c r="A2315" t="s">
        <v>3936</v>
      </c>
      <c r="B2315">
        <v>6</v>
      </c>
      <c r="C2315" t="s">
        <v>1024</v>
      </c>
      <c r="D2315" t="s">
        <v>291</v>
      </c>
      <c r="E2315" t="s">
        <v>642</v>
      </c>
      <c r="F2315" t="s">
        <v>661</v>
      </c>
      <c r="G2315" t="s">
        <v>3084</v>
      </c>
      <c r="AA2315">
        <v>6</v>
      </c>
      <c r="CH2315" t="str">
        <f t="shared" si="36"/>
        <v>D-0419</v>
      </c>
      <c r="CI2315" s="1" t="s">
        <v>102</v>
      </c>
    </row>
    <row r="2316" spans="1:87">
      <c r="A2316" t="s">
        <v>3937</v>
      </c>
      <c r="B2316">
        <v>90</v>
      </c>
      <c r="C2316" t="s">
        <v>1024</v>
      </c>
      <c r="D2316" t="s">
        <v>291</v>
      </c>
      <c r="E2316" t="s">
        <v>642</v>
      </c>
      <c r="F2316" t="s">
        <v>661</v>
      </c>
      <c r="G2316" t="s">
        <v>3084</v>
      </c>
      <c r="Z2316">
        <v>90</v>
      </c>
      <c r="CH2316" t="str">
        <f t="shared" si="36"/>
        <v>D-0419</v>
      </c>
      <c r="CI2316" s="1" t="s">
        <v>102</v>
      </c>
    </row>
    <row r="2317" spans="1:87">
      <c r="A2317" t="s">
        <v>3938</v>
      </c>
      <c r="B2317">
        <v>30</v>
      </c>
      <c r="C2317" t="s">
        <v>1024</v>
      </c>
      <c r="D2317" t="s">
        <v>291</v>
      </c>
      <c r="E2317" t="s">
        <v>642</v>
      </c>
      <c r="F2317" t="s">
        <v>661</v>
      </c>
      <c r="G2317" t="s">
        <v>3084</v>
      </c>
      <c r="Y2317">
        <v>30</v>
      </c>
      <c r="CH2317" t="str">
        <f t="shared" si="36"/>
        <v>D-0419</v>
      </c>
      <c r="CI2317" s="1" t="s">
        <v>102</v>
      </c>
    </row>
    <row r="2318" spans="1:87">
      <c r="A2318" t="s">
        <v>3939</v>
      </c>
      <c r="B2318">
        <v>96</v>
      </c>
      <c r="C2318" t="s">
        <v>1024</v>
      </c>
      <c r="D2318" t="s">
        <v>291</v>
      </c>
      <c r="E2318" t="s">
        <v>642</v>
      </c>
      <c r="F2318" t="s">
        <v>661</v>
      </c>
      <c r="G2318" t="s">
        <v>3084</v>
      </c>
      <c r="X2318">
        <v>96</v>
      </c>
      <c r="CH2318" t="str">
        <f t="shared" si="36"/>
        <v>D-0419</v>
      </c>
      <c r="CI2318" s="1" t="s">
        <v>102</v>
      </c>
    </row>
    <row r="2319" spans="1:87">
      <c r="A2319" t="s">
        <v>3940</v>
      </c>
      <c r="B2319">
        <v>50</v>
      </c>
      <c r="C2319" t="s">
        <v>1024</v>
      </c>
      <c r="D2319" t="s">
        <v>291</v>
      </c>
      <c r="E2319" t="s">
        <v>642</v>
      </c>
      <c r="F2319" t="s">
        <v>661</v>
      </c>
      <c r="G2319" t="s">
        <v>3084</v>
      </c>
      <c r="W2319">
        <v>50</v>
      </c>
      <c r="CH2319" t="str">
        <f t="shared" si="36"/>
        <v>D-0419</v>
      </c>
      <c r="CI2319" s="1" t="s">
        <v>102</v>
      </c>
    </row>
    <row r="2320" spans="1:87">
      <c r="A2320" t="s">
        <v>3941</v>
      </c>
      <c r="B2320">
        <v>107</v>
      </c>
      <c r="C2320" t="s">
        <v>1024</v>
      </c>
      <c r="D2320" t="s">
        <v>291</v>
      </c>
      <c r="E2320" t="s">
        <v>642</v>
      </c>
      <c r="F2320" t="s">
        <v>661</v>
      </c>
      <c r="G2320" t="s">
        <v>3084</v>
      </c>
      <c r="V2320">
        <v>107</v>
      </c>
      <c r="CH2320" t="str">
        <f t="shared" si="36"/>
        <v>D-0419</v>
      </c>
      <c r="CI2320" s="1" t="s">
        <v>102</v>
      </c>
    </row>
    <row r="2321" spans="1:87">
      <c r="A2321" t="s">
        <v>3942</v>
      </c>
      <c r="B2321">
        <v>40</v>
      </c>
      <c r="C2321" t="s">
        <v>1024</v>
      </c>
      <c r="D2321" t="s">
        <v>291</v>
      </c>
      <c r="E2321" t="s">
        <v>642</v>
      </c>
      <c r="F2321" t="s">
        <v>661</v>
      </c>
      <c r="G2321" t="s">
        <v>3084</v>
      </c>
      <c r="U2321">
        <v>40</v>
      </c>
      <c r="CH2321" t="str">
        <f t="shared" si="36"/>
        <v>D-0419</v>
      </c>
      <c r="CI2321" s="1" t="s">
        <v>102</v>
      </c>
    </row>
    <row r="2322" spans="1:87">
      <c r="A2322" t="s">
        <v>3943</v>
      </c>
      <c r="B2322">
        <v>95</v>
      </c>
      <c r="C2322" t="s">
        <v>1024</v>
      </c>
      <c r="D2322" t="s">
        <v>291</v>
      </c>
      <c r="E2322" t="s">
        <v>642</v>
      </c>
      <c r="F2322" t="s">
        <v>661</v>
      </c>
      <c r="G2322" t="s">
        <v>3084</v>
      </c>
      <c r="T2322">
        <v>95</v>
      </c>
      <c r="CH2322" t="str">
        <f t="shared" si="36"/>
        <v>D-0419</v>
      </c>
      <c r="CI2322" s="1" t="s">
        <v>102</v>
      </c>
    </row>
    <row r="2323" spans="1:87">
      <c r="A2323" t="s">
        <v>3944</v>
      </c>
      <c r="B2323">
        <v>21</v>
      </c>
      <c r="C2323" t="s">
        <v>1024</v>
      </c>
      <c r="D2323" t="s">
        <v>291</v>
      </c>
      <c r="E2323" t="s">
        <v>642</v>
      </c>
      <c r="F2323" t="s">
        <v>661</v>
      </c>
      <c r="G2323" t="s">
        <v>3084</v>
      </c>
      <c r="S2323">
        <v>21</v>
      </c>
      <c r="CH2323" t="str">
        <f t="shared" si="36"/>
        <v>D-0419</v>
      </c>
      <c r="CI2323" s="1" t="s">
        <v>102</v>
      </c>
    </row>
    <row r="2324" spans="1:87">
      <c r="A2324" t="s">
        <v>3945</v>
      </c>
      <c r="B2324">
        <v>44</v>
      </c>
      <c r="C2324" t="s">
        <v>1024</v>
      </c>
      <c r="D2324" t="s">
        <v>291</v>
      </c>
      <c r="E2324" t="s">
        <v>642</v>
      </c>
      <c r="F2324" t="s">
        <v>661</v>
      </c>
      <c r="G2324" t="s">
        <v>3084</v>
      </c>
      <c r="R2324">
        <v>44</v>
      </c>
      <c r="CH2324" t="str">
        <f t="shared" si="36"/>
        <v>D-0419</v>
      </c>
      <c r="CI2324" s="1" t="s">
        <v>102</v>
      </c>
    </row>
    <row r="2325" spans="1:87">
      <c r="A2325" t="s">
        <v>3946</v>
      </c>
      <c r="B2325">
        <v>2</v>
      </c>
      <c r="C2325" t="s">
        <v>1024</v>
      </c>
      <c r="D2325" t="s">
        <v>291</v>
      </c>
      <c r="E2325" t="s">
        <v>642</v>
      </c>
      <c r="F2325" t="s">
        <v>661</v>
      </c>
      <c r="G2325" t="s">
        <v>3084</v>
      </c>
      <c r="Q2325">
        <v>2</v>
      </c>
      <c r="CH2325" t="str">
        <f t="shared" si="36"/>
        <v>D-0419</v>
      </c>
      <c r="CI2325" s="1" t="s">
        <v>102</v>
      </c>
    </row>
    <row r="2326" spans="1:87">
      <c r="A2326" t="s">
        <v>3947</v>
      </c>
      <c r="B2326">
        <v>18</v>
      </c>
      <c r="C2326" t="s">
        <v>1024</v>
      </c>
      <c r="D2326" t="s">
        <v>291</v>
      </c>
      <c r="E2326" t="s">
        <v>642</v>
      </c>
      <c r="F2326" t="s">
        <v>661</v>
      </c>
      <c r="G2326" t="s">
        <v>3084</v>
      </c>
      <c r="P2326">
        <v>18</v>
      </c>
      <c r="CH2326" t="str">
        <f t="shared" si="36"/>
        <v>D-0419</v>
      </c>
      <c r="CI2326" s="1" t="s">
        <v>102</v>
      </c>
    </row>
    <row r="2327" spans="1:87">
      <c r="A2327" t="s">
        <v>3948</v>
      </c>
      <c r="B2327">
        <v>39</v>
      </c>
      <c r="C2327" t="s">
        <v>1026</v>
      </c>
      <c r="D2327" t="s">
        <v>291</v>
      </c>
      <c r="E2327" t="s">
        <v>642</v>
      </c>
      <c r="F2327" t="s">
        <v>661</v>
      </c>
      <c r="G2327" t="s">
        <v>3100</v>
      </c>
      <c r="AD2327">
        <v>39</v>
      </c>
      <c r="CH2327" t="str">
        <f t="shared" si="36"/>
        <v>D-0419</v>
      </c>
      <c r="CI2327" s="1" t="s">
        <v>102</v>
      </c>
    </row>
    <row r="2328" spans="1:87">
      <c r="A2328" t="s">
        <v>3949</v>
      </c>
      <c r="B2328">
        <v>30</v>
      </c>
      <c r="C2328" t="s">
        <v>1026</v>
      </c>
      <c r="D2328" t="s">
        <v>291</v>
      </c>
      <c r="E2328" t="s">
        <v>642</v>
      </c>
      <c r="F2328" t="s">
        <v>661</v>
      </c>
      <c r="G2328" t="s">
        <v>3100</v>
      </c>
      <c r="AB2328">
        <v>30</v>
      </c>
      <c r="CH2328" t="str">
        <f t="shared" si="36"/>
        <v>D-0419</v>
      </c>
      <c r="CI2328" s="1" t="s">
        <v>102</v>
      </c>
    </row>
    <row r="2329" spans="1:87">
      <c r="A2329" t="s">
        <v>3950</v>
      </c>
      <c r="B2329">
        <v>210</v>
      </c>
      <c r="C2329" t="s">
        <v>1026</v>
      </c>
      <c r="D2329" t="s">
        <v>291</v>
      </c>
      <c r="E2329" t="s">
        <v>642</v>
      </c>
      <c r="F2329" t="s">
        <v>661</v>
      </c>
      <c r="G2329" t="s">
        <v>3100</v>
      </c>
      <c r="Z2329">
        <v>210</v>
      </c>
      <c r="CH2329" t="str">
        <f t="shared" si="36"/>
        <v>D-0419</v>
      </c>
      <c r="CI2329" s="1" t="s">
        <v>102</v>
      </c>
    </row>
    <row r="2330" spans="1:87">
      <c r="A2330" t="s">
        <v>3951</v>
      </c>
      <c r="B2330">
        <v>81</v>
      </c>
      <c r="C2330" t="s">
        <v>1026</v>
      </c>
      <c r="D2330" t="s">
        <v>291</v>
      </c>
      <c r="E2330" t="s">
        <v>642</v>
      </c>
      <c r="F2330" t="s">
        <v>661</v>
      </c>
      <c r="G2330" t="s">
        <v>3100</v>
      </c>
      <c r="Y2330">
        <v>81</v>
      </c>
      <c r="CH2330" t="str">
        <f t="shared" si="36"/>
        <v>D-0419</v>
      </c>
      <c r="CI2330" s="1" t="s">
        <v>102</v>
      </c>
    </row>
    <row r="2331" spans="1:87">
      <c r="A2331" t="s">
        <v>3952</v>
      </c>
      <c r="B2331">
        <v>388</v>
      </c>
      <c r="C2331" t="s">
        <v>1026</v>
      </c>
      <c r="D2331" t="s">
        <v>291</v>
      </c>
      <c r="E2331" t="s">
        <v>642</v>
      </c>
      <c r="F2331" t="s">
        <v>661</v>
      </c>
      <c r="G2331" t="s">
        <v>3100</v>
      </c>
      <c r="X2331">
        <v>388</v>
      </c>
      <c r="CH2331" t="str">
        <f t="shared" si="36"/>
        <v>D-0419</v>
      </c>
      <c r="CI2331" s="1" t="s">
        <v>102</v>
      </c>
    </row>
    <row r="2332" spans="1:87">
      <c r="A2332" t="s">
        <v>3953</v>
      </c>
      <c r="B2332">
        <v>317</v>
      </c>
      <c r="C2332" t="s">
        <v>1026</v>
      </c>
      <c r="D2332" t="s">
        <v>291</v>
      </c>
      <c r="E2332" t="s">
        <v>642</v>
      </c>
      <c r="F2332" t="s">
        <v>661</v>
      </c>
      <c r="G2332" t="s">
        <v>3100</v>
      </c>
      <c r="W2332">
        <v>317</v>
      </c>
      <c r="CH2332" t="str">
        <f t="shared" si="36"/>
        <v>D-0419</v>
      </c>
      <c r="CI2332" s="1" t="s">
        <v>102</v>
      </c>
    </row>
    <row r="2333" spans="1:87">
      <c r="A2333" t="s">
        <v>3954</v>
      </c>
      <c r="B2333">
        <v>738</v>
      </c>
      <c r="C2333" t="s">
        <v>1026</v>
      </c>
      <c r="D2333" t="s">
        <v>291</v>
      </c>
      <c r="E2333" t="s">
        <v>642</v>
      </c>
      <c r="F2333" t="s">
        <v>661</v>
      </c>
      <c r="G2333" t="s">
        <v>3100</v>
      </c>
      <c r="V2333">
        <v>738</v>
      </c>
      <c r="CH2333" t="str">
        <f t="shared" si="36"/>
        <v>D-0419</v>
      </c>
      <c r="CI2333" s="1" t="s">
        <v>102</v>
      </c>
    </row>
    <row r="2334" spans="1:87">
      <c r="A2334" t="s">
        <v>3955</v>
      </c>
      <c r="B2334">
        <v>500</v>
      </c>
      <c r="C2334" t="s">
        <v>1026</v>
      </c>
      <c r="D2334" t="s">
        <v>291</v>
      </c>
      <c r="E2334" t="s">
        <v>642</v>
      </c>
      <c r="F2334" t="s">
        <v>661</v>
      </c>
      <c r="G2334" t="s">
        <v>3100</v>
      </c>
      <c r="U2334">
        <v>500</v>
      </c>
      <c r="CH2334" t="str">
        <f t="shared" si="36"/>
        <v>D-0419</v>
      </c>
      <c r="CI2334" s="1" t="s">
        <v>102</v>
      </c>
    </row>
    <row r="2335" spans="1:87">
      <c r="A2335" t="s">
        <v>3956</v>
      </c>
      <c r="B2335">
        <v>760</v>
      </c>
      <c r="C2335" t="s">
        <v>1026</v>
      </c>
      <c r="D2335" t="s">
        <v>291</v>
      </c>
      <c r="E2335" t="s">
        <v>642</v>
      </c>
      <c r="F2335" t="s">
        <v>661</v>
      </c>
      <c r="G2335" t="s">
        <v>3100</v>
      </c>
      <c r="T2335">
        <v>760</v>
      </c>
      <c r="CH2335" t="str">
        <f t="shared" si="36"/>
        <v>D-0419</v>
      </c>
      <c r="CI2335" s="1" t="s">
        <v>102</v>
      </c>
    </row>
    <row r="2336" spans="1:87">
      <c r="A2336" t="s">
        <v>3957</v>
      </c>
      <c r="B2336">
        <v>566</v>
      </c>
      <c r="C2336" t="s">
        <v>1026</v>
      </c>
      <c r="D2336" t="s">
        <v>291</v>
      </c>
      <c r="E2336" t="s">
        <v>642</v>
      </c>
      <c r="F2336" t="s">
        <v>661</v>
      </c>
      <c r="G2336" t="s">
        <v>3100</v>
      </c>
      <c r="S2336">
        <v>566</v>
      </c>
      <c r="CH2336" t="str">
        <f t="shared" si="36"/>
        <v>D-0419</v>
      </c>
      <c r="CI2336" s="1" t="s">
        <v>102</v>
      </c>
    </row>
    <row r="2337" spans="1:87">
      <c r="A2337" t="s">
        <v>3958</v>
      </c>
      <c r="B2337">
        <v>505</v>
      </c>
      <c r="C2337" t="s">
        <v>1026</v>
      </c>
      <c r="D2337" t="s">
        <v>291</v>
      </c>
      <c r="E2337" t="s">
        <v>642</v>
      </c>
      <c r="F2337" t="s">
        <v>661</v>
      </c>
      <c r="G2337" t="s">
        <v>3100</v>
      </c>
      <c r="R2337">
        <v>505</v>
      </c>
      <c r="CH2337" t="str">
        <f t="shared" si="36"/>
        <v>D-0419</v>
      </c>
      <c r="CI2337" s="1" t="s">
        <v>102</v>
      </c>
    </row>
    <row r="2338" spans="1:87">
      <c r="A2338" t="s">
        <v>3959</v>
      </c>
      <c r="B2338">
        <v>226</v>
      </c>
      <c r="C2338" t="s">
        <v>1026</v>
      </c>
      <c r="D2338" t="s">
        <v>291</v>
      </c>
      <c r="E2338" t="s">
        <v>642</v>
      </c>
      <c r="F2338" t="s">
        <v>661</v>
      </c>
      <c r="G2338" t="s">
        <v>3100</v>
      </c>
      <c r="Q2338">
        <v>226</v>
      </c>
      <c r="CH2338" t="str">
        <f t="shared" si="36"/>
        <v>D-0419</v>
      </c>
      <c r="CI2338" s="1" t="s">
        <v>102</v>
      </c>
    </row>
    <row r="2339" spans="1:87">
      <c r="A2339" t="s">
        <v>3960</v>
      </c>
      <c r="B2339">
        <v>144</v>
      </c>
      <c r="C2339" t="s">
        <v>1026</v>
      </c>
      <c r="D2339" t="s">
        <v>291</v>
      </c>
      <c r="E2339" t="s">
        <v>642</v>
      </c>
      <c r="F2339" t="s">
        <v>661</v>
      </c>
      <c r="G2339" t="s">
        <v>3100</v>
      </c>
      <c r="P2339">
        <v>144</v>
      </c>
      <c r="CH2339" t="str">
        <f t="shared" si="36"/>
        <v>D-0419</v>
      </c>
      <c r="CI2339" s="1" t="s">
        <v>102</v>
      </c>
    </row>
    <row r="2340" spans="1:87">
      <c r="A2340" t="s">
        <v>3961</v>
      </c>
      <c r="B2340">
        <v>11</v>
      </c>
      <c r="C2340" t="s">
        <v>1122</v>
      </c>
      <c r="D2340" t="s">
        <v>291</v>
      </c>
      <c r="E2340" t="s">
        <v>642</v>
      </c>
      <c r="F2340" t="s">
        <v>661</v>
      </c>
      <c r="G2340" t="s">
        <v>2737</v>
      </c>
      <c r="AD2340">
        <v>11</v>
      </c>
      <c r="CH2340" t="str">
        <f t="shared" si="36"/>
        <v>D-0419</v>
      </c>
      <c r="CI2340" s="1" t="s">
        <v>102</v>
      </c>
    </row>
    <row r="2341" spans="1:87">
      <c r="A2341" t="s">
        <v>3962</v>
      </c>
      <c r="B2341">
        <v>12</v>
      </c>
      <c r="C2341" t="s">
        <v>1122</v>
      </c>
      <c r="D2341" t="s">
        <v>291</v>
      </c>
      <c r="E2341" t="s">
        <v>642</v>
      </c>
      <c r="F2341" t="s">
        <v>661</v>
      </c>
      <c r="G2341" t="s">
        <v>2737</v>
      </c>
      <c r="AC2341">
        <v>12</v>
      </c>
      <c r="CH2341" t="str">
        <f t="shared" si="36"/>
        <v>D-0419</v>
      </c>
      <c r="CI2341" s="1" t="s">
        <v>102</v>
      </c>
    </row>
    <row r="2342" spans="1:87">
      <c r="A2342" t="s">
        <v>3963</v>
      </c>
      <c r="B2342">
        <v>78</v>
      </c>
      <c r="C2342" t="s">
        <v>1122</v>
      </c>
      <c r="D2342" t="s">
        <v>291</v>
      </c>
      <c r="E2342" t="s">
        <v>642</v>
      </c>
      <c r="F2342" t="s">
        <v>661</v>
      </c>
      <c r="G2342" t="s">
        <v>2737</v>
      </c>
      <c r="AB2342">
        <v>78</v>
      </c>
      <c r="CH2342" t="str">
        <f t="shared" si="36"/>
        <v>D-0419</v>
      </c>
      <c r="CI2342" s="1" t="s">
        <v>102</v>
      </c>
    </row>
    <row r="2343" spans="1:87">
      <c r="A2343" t="s">
        <v>3964</v>
      </c>
      <c r="B2343">
        <v>11</v>
      </c>
      <c r="C2343" t="s">
        <v>1122</v>
      </c>
      <c r="D2343" t="s">
        <v>291</v>
      </c>
      <c r="E2343" t="s">
        <v>642</v>
      </c>
      <c r="F2343" t="s">
        <v>661</v>
      </c>
      <c r="G2343" t="s">
        <v>2737</v>
      </c>
      <c r="AA2343">
        <v>11</v>
      </c>
      <c r="CH2343" t="str">
        <f t="shared" si="36"/>
        <v>D-0419</v>
      </c>
      <c r="CI2343" s="1" t="s">
        <v>102</v>
      </c>
    </row>
    <row r="2344" spans="1:87">
      <c r="A2344" t="s">
        <v>3965</v>
      </c>
      <c r="B2344">
        <v>163</v>
      </c>
      <c r="C2344" t="s">
        <v>1122</v>
      </c>
      <c r="D2344" t="s">
        <v>291</v>
      </c>
      <c r="E2344" t="s">
        <v>642</v>
      </c>
      <c r="F2344" t="s">
        <v>661</v>
      </c>
      <c r="G2344" t="s">
        <v>2737</v>
      </c>
      <c r="Z2344">
        <v>163</v>
      </c>
      <c r="CH2344" t="str">
        <f t="shared" si="36"/>
        <v>D-0419</v>
      </c>
      <c r="CI2344" s="1" t="s">
        <v>102</v>
      </c>
    </row>
    <row r="2345" spans="1:87">
      <c r="A2345" t="s">
        <v>3966</v>
      </c>
      <c r="B2345">
        <v>147</v>
      </c>
      <c r="C2345" t="s">
        <v>1122</v>
      </c>
      <c r="D2345" t="s">
        <v>291</v>
      </c>
      <c r="E2345" t="s">
        <v>642</v>
      </c>
      <c r="F2345" t="s">
        <v>661</v>
      </c>
      <c r="G2345" t="s">
        <v>2737</v>
      </c>
      <c r="Y2345">
        <v>147</v>
      </c>
      <c r="CH2345" t="str">
        <f t="shared" si="36"/>
        <v>D-0419</v>
      </c>
      <c r="CI2345" s="1" t="s">
        <v>102</v>
      </c>
    </row>
    <row r="2346" spans="1:87">
      <c r="A2346" t="s">
        <v>3967</v>
      </c>
      <c r="B2346">
        <v>190</v>
      </c>
      <c r="C2346" t="s">
        <v>1122</v>
      </c>
      <c r="D2346" t="s">
        <v>291</v>
      </c>
      <c r="E2346" t="s">
        <v>642</v>
      </c>
      <c r="F2346" t="s">
        <v>661</v>
      </c>
      <c r="G2346" t="s">
        <v>2737</v>
      </c>
      <c r="X2346">
        <v>190</v>
      </c>
      <c r="CH2346" t="str">
        <f t="shared" si="36"/>
        <v>D-0419</v>
      </c>
      <c r="CI2346" s="1" t="s">
        <v>102</v>
      </c>
    </row>
    <row r="2347" spans="1:87">
      <c r="A2347" t="s">
        <v>3968</v>
      </c>
      <c r="B2347">
        <v>288</v>
      </c>
      <c r="C2347" t="s">
        <v>1122</v>
      </c>
      <c r="D2347" t="s">
        <v>291</v>
      </c>
      <c r="E2347" t="s">
        <v>642</v>
      </c>
      <c r="F2347" t="s">
        <v>661</v>
      </c>
      <c r="G2347" t="s">
        <v>2737</v>
      </c>
      <c r="W2347">
        <v>288</v>
      </c>
      <c r="CH2347" t="str">
        <f t="shared" si="36"/>
        <v>D-0419</v>
      </c>
      <c r="CI2347" s="1" t="s">
        <v>102</v>
      </c>
    </row>
    <row r="2348" spans="1:87">
      <c r="A2348" t="s">
        <v>3969</v>
      </c>
      <c r="B2348">
        <v>343</v>
      </c>
      <c r="C2348" t="s">
        <v>1122</v>
      </c>
      <c r="D2348" t="s">
        <v>291</v>
      </c>
      <c r="E2348" t="s">
        <v>642</v>
      </c>
      <c r="F2348" t="s">
        <v>661</v>
      </c>
      <c r="G2348" t="s">
        <v>2737</v>
      </c>
      <c r="V2348">
        <v>343</v>
      </c>
      <c r="CH2348" t="str">
        <f t="shared" si="36"/>
        <v>D-0419</v>
      </c>
      <c r="CI2348" s="1" t="s">
        <v>102</v>
      </c>
    </row>
    <row r="2349" spans="1:87">
      <c r="A2349" t="s">
        <v>3970</v>
      </c>
      <c r="B2349">
        <v>253</v>
      </c>
      <c r="C2349" t="s">
        <v>1122</v>
      </c>
      <c r="D2349" t="s">
        <v>291</v>
      </c>
      <c r="E2349" t="s">
        <v>642</v>
      </c>
      <c r="F2349" t="s">
        <v>661</v>
      </c>
      <c r="G2349" t="s">
        <v>2737</v>
      </c>
      <c r="U2349">
        <v>253</v>
      </c>
      <c r="CH2349" t="str">
        <f t="shared" si="36"/>
        <v>D-0419</v>
      </c>
      <c r="CI2349" s="1" t="s">
        <v>102</v>
      </c>
    </row>
    <row r="2350" spans="1:87">
      <c r="A2350" t="s">
        <v>3971</v>
      </c>
      <c r="B2350">
        <v>205</v>
      </c>
      <c r="C2350" t="s">
        <v>1122</v>
      </c>
      <c r="D2350" t="s">
        <v>291</v>
      </c>
      <c r="E2350" t="s">
        <v>642</v>
      </c>
      <c r="F2350" t="s">
        <v>661</v>
      </c>
      <c r="G2350" t="s">
        <v>2737</v>
      </c>
      <c r="T2350">
        <v>205</v>
      </c>
      <c r="CH2350" t="str">
        <f t="shared" si="36"/>
        <v>D-0419</v>
      </c>
      <c r="CI2350" s="1" t="s">
        <v>102</v>
      </c>
    </row>
    <row r="2351" spans="1:87">
      <c r="A2351" t="s">
        <v>3972</v>
      </c>
      <c r="B2351">
        <v>221</v>
      </c>
      <c r="C2351" t="s">
        <v>1122</v>
      </c>
      <c r="D2351" t="s">
        <v>291</v>
      </c>
      <c r="E2351" t="s">
        <v>642</v>
      </c>
      <c r="F2351" t="s">
        <v>661</v>
      </c>
      <c r="G2351" t="s">
        <v>2737</v>
      </c>
      <c r="S2351">
        <v>221</v>
      </c>
      <c r="CH2351" t="str">
        <f t="shared" si="36"/>
        <v>D-0419</v>
      </c>
      <c r="CI2351" s="1" t="s">
        <v>102</v>
      </c>
    </row>
    <row r="2352" spans="1:87">
      <c r="A2352" t="s">
        <v>3973</v>
      </c>
      <c r="B2352">
        <v>106</v>
      </c>
      <c r="C2352" t="s">
        <v>1122</v>
      </c>
      <c r="D2352" t="s">
        <v>291</v>
      </c>
      <c r="E2352" t="s">
        <v>642</v>
      </c>
      <c r="F2352" t="s">
        <v>661</v>
      </c>
      <c r="G2352" t="s">
        <v>2737</v>
      </c>
      <c r="R2352">
        <v>106</v>
      </c>
      <c r="CH2352" t="str">
        <f t="shared" si="36"/>
        <v>D-0419</v>
      </c>
      <c r="CI2352" s="1" t="s">
        <v>102</v>
      </c>
    </row>
    <row r="2353" spans="1:87">
      <c r="A2353" t="s">
        <v>3974</v>
      </c>
      <c r="B2353">
        <v>43</v>
      </c>
      <c r="C2353" t="s">
        <v>1122</v>
      </c>
      <c r="D2353" t="s">
        <v>291</v>
      </c>
      <c r="E2353" t="s">
        <v>642</v>
      </c>
      <c r="F2353" t="s">
        <v>661</v>
      </c>
      <c r="G2353" t="s">
        <v>2737</v>
      </c>
      <c r="Q2353">
        <v>43</v>
      </c>
      <c r="CH2353" t="str">
        <f t="shared" si="36"/>
        <v>D-0419</v>
      </c>
      <c r="CI2353" s="1" t="s">
        <v>102</v>
      </c>
    </row>
    <row r="2354" spans="1:87">
      <c r="A2354" t="s">
        <v>3975</v>
      </c>
      <c r="B2354">
        <v>30</v>
      </c>
      <c r="C2354" t="s">
        <v>1122</v>
      </c>
      <c r="D2354" t="s">
        <v>291</v>
      </c>
      <c r="E2354" t="s">
        <v>642</v>
      </c>
      <c r="F2354" t="s">
        <v>661</v>
      </c>
      <c r="G2354" t="s">
        <v>2737</v>
      </c>
      <c r="P2354">
        <v>30</v>
      </c>
      <c r="CH2354" t="str">
        <f t="shared" si="36"/>
        <v>D-0419</v>
      </c>
      <c r="CI2354" s="1" t="s">
        <v>102</v>
      </c>
    </row>
    <row r="2355" spans="1:87">
      <c r="A2355" t="s">
        <v>3976</v>
      </c>
      <c r="B2355">
        <v>6</v>
      </c>
      <c r="C2355" t="s">
        <v>1122</v>
      </c>
      <c r="D2355" t="s">
        <v>291</v>
      </c>
      <c r="E2355" t="s">
        <v>642</v>
      </c>
      <c r="F2355" t="s">
        <v>661</v>
      </c>
      <c r="G2355" t="s">
        <v>2737</v>
      </c>
      <c r="AB2355">
        <v>6</v>
      </c>
      <c r="CH2355" t="str">
        <f t="shared" si="36"/>
        <v>D-0419</v>
      </c>
      <c r="CI2355" s="1" t="s">
        <v>102</v>
      </c>
    </row>
    <row r="2356" spans="1:87">
      <c r="A2356" t="s">
        <v>3977</v>
      </c>
      <c r="B2356">
        <v>6</v>
      </c>
      <c r="C2356" t="s">
        <v>1122</v>
      </c>
      <c r="D2356" t="s">
        <v>291</v>
      </c>
      <c r="E2356" t="s">
        <v>642</v>
      </c>
      <c r="F2356" t="s">
        <v>661</v>
      </c>
      <c r="G2356" t="s">
        <v>2737</v>
      </c>
      <c r="AA2356">
        <v>6</v>
      </c>
      <c r="CH2356" t="str">
        <f t="shared" si="36"/>
        <v>D-0419</v>
      </c>
      <c r="CI2356" s="1" t="s">
        <v>102</v>
      </c>
    </row>
    <row r="2357" spans="1:87">
      <c r="A2357" t="s">
        <v>3978</v>
      </c>
      <c r="B2357">
        <v>13</v>
      </c>
      <c r="C2357" t="s">
        <v>1122</v>
      </c>
      <c r="D2357" t="s">
        <v>291</v>
      </c>
      <c r="E2357" t="s">
        <v>642</v>
      </c>
      <c r="F2357" t="s">
        <v>661</v>
      </c>
      <c r="G2357" t="s">
        <v>2737</v>
      </c>
      <c r="Z2357">
        <v>13</v>
      </c>
      <c r="CH2357" t="str">
        <f t="shared" si="36"/>
        <v>D-0419</v>
      </c>
      <c r="CI2357" s="1" t="s">
        <v>102</v>
      </c>
    </row>
    <row r="2358" spans="1:87">
      <c r="A2358" t="s">
        <v>3979</v>
      </c>
      <c r="B2358">
        <v>26</v>
      </c>
      <c r="C2358" t="s">
        <v>1122</v>
      </c>
      <c r="D2358" t="s">
        <v>291</v>
      </c>
      <c r="E2358" t="s">
        <v>642</v>
      </c>
      <c r="F2358" t="s">
        <v>661</v>
      </c>
      <c r="G2358" t="s">
        <v>2737</v>
      </c>
      <c r="Y2358">
        <v>26</v>
      </c>
      <c r="CH2358" t="str">
        <f t="shared" si="36"/>
        <v>D-0419</v>
      </c>
      <c r="CI2358" s="1" t="s">
        <v>102</v>
      </c>
    </row>
    <row r="2359" spans="1:87">
      <c r="A2359" t="s">
        <v>3980</v>
      </c>
      <c r="B2359">
        <v>21</v>
      </c>
      <c r="C2359" t="s">
        <v>1122</v>
      </c>
      <c r="D2359" t="s">
        <v>291</v>
      </c>
      <c r="E2359" t="s">
        <v>642</v>
      </c>
      <c r="F2359" t="s">
        <v>661</v>
      </c>
      <c r="G2359" t="s">
        <v>2737</v>
      </c>
      <c r="X2359">
        <v>21</v>
      </c>
      <c r="CH2359" t="str">
        <f t="shared" si="36"/>
        <v>D-0419</v>
      </c>
      <c r="CI2359" s="1" t="s">
        <v>102</v>
      </c>
    </row>
    <row r="2360" spans="1:87">
      <c r="A2360" t="s">
        <v>3981</v>
      </c>
      <c r="B2360">
        <v>40</v>
      </c>
      <c r="C2360" t="s">
        <v>1122</v>
      </c>
      <c r="D2360" t="s">
        <v>291</v>
      </c>
      <c r="E2360" t="s">
        <v>642</v>
      </c>
      <c r="F2360" t="s">
        <v>661</v>
      </c>
      <c r="G2360" t="s">
        <v>2737</v>
      </c>
      <c r="W2360">
        <v>40</v>
      </c>
      <c r="CH2360" t="str">
        <f t="shared" si="36"/>
        <v>D-0419</v>
      </c>
      <c r="CI2360" s="1" t="s">
        <v>102</v>
      </c>
    </row>
    <row r="2361" spans="1:87">
      <c r="A2361" t="s">
        <v>3982</v>
      </c>
      <c r="B2361">
        <v>42</v>
      </c>
      <c r="C2361" t="s">
        <v>1122</v>
      </c>
      <c r="D2361" t="s">
        <v>291</v>
      </c>
      <c r="E2361" t="s">
        <v>642</v>
      </c>
      <c r="F2361" t="s">
        <v>661</v>
      </c>
      <c r="G2361" t="s">
        <v>2737</v>
      </c>
      <c r="V2361">
        <v>42</v>
      </c>
      <c r="CH2361" t="str">
        <f t="shared" si="36"/>
        <v>D-0419</v>
      </c>
      <c r="CI2361" s="1" t="s">
        <v>102</v>
      </c>
    </row>
    <row r="2362" spans="1:87">
      <c r="A2362" t="s">
        <v>3983</v>
      </c>
      <c r="B2362">
        <v>29</v>
      </c>
      <c r="C2362" t="s">
        <v>1122</v>
      </c>
      <c r="D2362" t="s">
        <v>291</v>
      </c>
      <c r="E2362" t="s">
        <v>642</v>
      </c>
      <c r="F2362" t="s">
        <v>661</v>
      </c>
      <c r="G2362" t="s">
        <v>2737</v>
      </c>
      <c r="U2362">
        <v>29</v>
      </c>
      <c r="CH2362" t="str">
        <f t="shared" si="36"/>
        <v>D-0419</v>
      </c>
      <c r="CI2362" s="1" t="s">
        <v>102</v>
      </c>
    </row>
    <row r="2363" spans="1:87">
      <c r="A2363" t="s">
        <v>3984</v>
      </c>
      <c r="B2363">
        <v>42</v>
      </c>
      <c r="C2363" t="s">
        <v>1122</v>
      </c>
      <c r="D2363" t="s">
        <v>291</v>
      </c>
      <c r="E2363" t="s">
        <v>642</v>
      </c>
      <c r="F2363" t="s">
        <v>661</v>
      </c>
      <c r="G2363" t="s">
        <v>2737</v>
      </c>
      <c r="T2363">
        <v>42</v>
      </c>
      <c r="CH2363" t="str">
        <f t="shared" si="36"/>
        <v>D-0419</v>
      </c>
      <c r="CI2363" s="1" t="s">
        <v>102</v>
      </c>
    </row>
    <row r="2364" spans="1:87">
      <c r="A2364" t="s">
        <v>3985</v>
      </c>
      <c r="B2364">
        <v>28</v>
      </c>
      <c r="C2364" t="s">
        <v>1122</v>
      </c>
      <c r="D2364" t="s">
        <v>291</v>
      </c>
      <c r="E2364" t="s">
        <v>642</v>
      </c>
      <c r="F2364" t="s">
        <v>661</v>
      </c>
      <c r="G2364" t="s">
        <v>2737</v>
      </c>
      <c r="S2364">
        <v>28</v>
      </c>
      <c r="CH2364" t="str">
        <f t="shared" si="36"/>
        <v>D-0419</v>
      </c>
      <c r="CI2364" s="1" t="s">
        <v>102</v>
      </c>
    </row>
    <row r="2365" spans="1:87">
      <c r="A2365" t="s">
        <v>3986</v>
      </c>
      <c r="B2365">
        <v>21</v>
      </c>
      <c r="C2365" t="s">
        <v>1122</v>
      </c>
      <c r="D2365" t="s">
        <v>291</v>
      </c>
      <c r="E2365" t="s">
        <v>642</v>
      </c>
      <c r="F2365" t="s">
        <v>661</v>
      </c>
      <c r="G2365" t="s">
        <v>2737</v>
      </c>
      <c r="R2365">
        <v>21</v>
      </c>
      <c r="CH2365" t="str">
        <f t="shared" si="36"/>
        <v>D-0419</v>
      </c>
      <c r="CI2365" s="1" t="s">
        <v>102</v>
      </c>
    </row>
    <row r="2366" spans="1:87">
      <c r="A2366" t="s">
        <v>3987</v>
      </c>
      <c r="B2366">
        <v>7</v>
      </c>
      <c r="C2366" t="s">
        <v>1122</v>
      </c>
      <c r="D2366" t="s">
        <v>291</v>
      </c>
      <c r="E2366" t="s">
        <v>642</v>
      </c>
      <c r="F2366" t="s">
        <v>661</v>
      </c>
      <c r="G2366" t="s">
        <v>2737</v>
      </c>
      <c r="Q2366">
        <v>7</v>
      </c>
      <c r="CH2366" t="str">
        <f t="shared" si="36"/>
        <v>D-0419</v>
      </c>
      <c r="CI2366" s="1" t="s">
        <v>102</v>
      </c>
    </row>
    <row r="2367" spans="1:87">
      <c r="A2367" t="s">
        <v>3988</v>
      </c>
      <c r="B2367">
        <v>1</v>
      </c>
      <c r="C2367" t="s">
        <v>1122</v>
      </c>
      <c r="D2367" t="s">
        <v>291</v>
      </c>
      <c r="E2367" t="s">
        <v>642</v>
      </c>
      <c r="F2367" t="s">
        <v>661</v>
      </c>
      <c r="G2367" t="s">
        <v>2737</v>
      </c>
      <c r="P2367">
        <v>1</v>
      </c>
      <c r="CH2367" t="str">
        <f t="shared" si="36"/>
        <v>D-0419</v>
      </c>
      <c r="CI2367" s="1" t="s">
        <v>102</v>
      </c>
    </row>
    <row r="2368" spans="1:87">
      <c r="A2368" t="s">
        <v>3989</v>
      </c>
      <c r="B2368">
        <v>5</v>
      </c>
      <c r="C2368" t="s">
        <v>1122</v>
      </c>
      <c r="D2368" t="s">
        <v>291</v>
      </c>
      <c r="E2368" t="s">
        <v>642</v>
      </c>
      <c r="F2368" t="s">
        <v>661</v>
      </c>
      <c r="G2368" t="s">
        <v>2737</v>
      </c>
      <c r="Q2368">
        <v>5</v>
      </c>
      <c r="CH2368" t="str">
        <f t="shared" si="36"/>
        <v>D-0419</v>
      </c>
      <c r="CI2368" s="1" t="s">
        <v>102</v>
      </c>
    </row>
    <row r="2369" spans="1:87">
      <c r="A2369" t="s">
        <v>3990</v>
      </c>
      <c r="B2369">
        <v>9</v>
      </c>
      <c r="C2369" t="s">
        <v>1122</v>
      </c>
      <c r="D2369" t="s">
        <v>291</v>
      </c>
      <c r="E2369" t="s">
        <v>642</v>
      </c>
      <c r="F2369" t="s">
        <v>661</v>
      </c>
      <c r="G2369" t="s">
        <v>2737</v>
      </c>
      <c r="AC2369">
        <v>9</v>
      </c>
      <c r="CH2369" t="str">
        <f t="shared" si="36"/>
        <v>D-0419</v>
      </c>
      <c r="CI2369" s="1" t="s">
        <v>102</v>
      </c>
    </row>
    <row r="2370" spans="1:87">
      <c r="A2370" t="s">
        <v>3991</v>
      </c>
      <c r="B2370">
        <v>11</v>
      </c>
      <c r="C2370" t="s">
        <v>1122</v>
      </c>
      <c r="D2370" t="s">
        <v>291</v>
      </c>
      <c r="E2370" t="s">
        <v>642</v>
      </c>
      <c r="F2370" t="s">
        <v>661</v>
      </c>
      <c r="G2370" t="s">
        <v>2737</v>
      </c>
      <c r="AD2370">
        <v>11</v>
      </c>
      <c r="CH2370" t="str">
        <f t="shared" ref="CH2370:CH2433" si="37">TRIM(IFERROR(IFERROR(MID($D2370,FIND("(D-",$D2370)+1,6),LEFT($D2370,FIND("(",$D2370)-1)),$D2370))</f>
        <v>D-0419</v>
      </c>
      <c r="CI2370" s="1" t="s">
        <v>102</v>
      </c>
    </row>
    <row r="2371" spans="1:87">
      <c r="A2371" t="s">
        <v>3992</v>
      </c>
      <c r="B2371">
        <v>86</v>
      </c>
      <c r="C2371" t="s">
        <v>1122</v>
      </c>
      <c r="D2371" t="s">
        <v>291</v>
      </c>
      <c r="E2371" t="s">
        <v>642</v>
      </c>
      <c r="F2371" t="s">
        <v>661</v>
      </c>
      <c r="G2371" t="s">
        <v>2737</v>
      </c>
      <c r="AB2371">
        <v>86</v>
      </c>
      <c r="CH2371" t="str">
        <f t="shared" si="37"/>
        <v>D-0419</v>
      </c>
      <c r="CI2371" s="1" t="s">
        <v>102</v>
      </c>
    </row>
    <row r="2372" spans="1:87">
      <c r="A2372" t="s">
        <v>3993</v>
      </c>
      <c r="B2372">
        <v>14</v>
      </c>
      <c r="C2372" t="s">
        <v>1122</v>
      </c>
      <c r="D2372" t="s">
        <v>291</v>
      </c>
      <c r="E2372" t="s">
        <v>642</v>
      </c>
      <c r="F2372" t="s">
        <v>661</v>
      </c>
      <c r="G2372" t="s">
        <v>2737</v>
      </c>
      <c r="AA2372">
        <v>14</v>
      </c>
      <c r="CH2372" t="str">
        <f t="shared" si="37"/>
        <v>D-0419</v>
      </c>
      <c r="CI2372" s="1" t="s">
        <v>102</v>
      </c>
    </row>
    <row r="2373" spans="1:87">
      <c r="A2373" t="s">
        <v>3994</v>
      </c>
      <c r="B2373">
        <v>142</v>
      </c>
      <c r="C2373" t="s">
        <v>1122</v>
      </c>
      <c r="D2373" t="s">
        <v>291</v>
      </c>
      <c r="E2373" t="s">
        <v>642</v>
      </c>
      <c r="F2373" t="s">
        <v>661</v>
      </c>
      <c r="G2373" t="s">
        <v>2737</v>
      </c>
      <c r="Z2373">
        <v>142</v>
      </c>
      <c r="CH2373" t="str">
        <f t="shared" si="37"/>
        <v>D-0419</v>
      </c>
      <c r="CI2373" s="1" t="s">
        <v>102</v>
      </c>
    </row>
    <row r="2374" spans="1:87">
      <c r="A2374" t="s">
        <v>3995</v>
      </c>
      <c r="B2374">
        <v>72</v>
      </c>
      <c r="C2374" t="s">
        <v>1122</v>
      </c>
      <c r="D2374" t="s">
        <v>291</v>
      </c>
      <c r="E2374" t="s">
        <v>642</v>
      </c>
      <c r="F2374" t="s">
        <v>661</v>
      </c>
      <c r="G2374" t="s">
        <v>2737</v>
      </c>
      <c r="Y2374">
        <v>72</v>
      </c>
      <c r="CH2374" t="str">
        <f t="shared" si="37"/>
        <v>D-0419</v>
      </c>
      <c r="CI2374" s="1" t="s">
        <v>102</v>
      </c>
    </row>
    <row r="2375" spans="1:87">
      <c r="A2375" t="s">
        <v>3996</v>
      </c>
      <c r="B2375">
        <v>149</v>
      </c>
      <c r="C2375" t="s">
        <v>1122</v>
      </c>
      <c r="D2375" t="s">
        <v>291</v>
      </c>
      <c r="E2375" t="s">
        <v>642</v>
      </c>
      <c r="F2375" t="s">
        <v>661</v>
      </c>
      <c r="G2375" t="s">
        <v>2737</v>
      </c>
      <c r="X2375">
        <v>149</v>
      </c>
      <c r="CH2375" t="str">
        <f t="shared" si="37"/>
        <v>D-0419</v>
      </c>
      <c r="CI2375" s="1" t="s">
        <v>102</v>
      </c>
    </row>
    <row r="2376" spans="1:87">
      <c r="A2376" t="s">
        <v>3997</v>
      </c>
      <c r="B2376">
        <v>103</v>
      </c>
      <c r="C2376" t="s">
        <v>1122</v>
      </c>
      <c r="D2376" t="s">
        <v>291</v>
      </c>
      <c r="E2376" t="s">
        <v>642</v>
      </c>
      <c r="F2376" t="s">
        <v>661</v>
      </c>
      <c r="G2376" t="s">
        <v>2737</v>
      </c>
      <c r="W2376">
        <v>103</v>
      </c>
      <c r="CH2376" t="str">
        <f t="shared" si="37"/>
        <v>D-0419</v>
      </c>
      <c r="CI2376" s="1" t="s">
        <v>102</v>
      </c>
    </row>
    <row r="2377" spans="1:87">
      <c r="A2377" t="s">
        <v>3998</v>
      </c>
      <c r="B2377">
        <v>157</v>
      </c>
      <c r="C2377" t="s">
        <v>1122</v>
      </c>
      <c r="D2377" t="s">
        <v>291</v>
      </c>
      <c r="E2377" t="s">
        <v>642</v>
      </c>
      <c r="F2377" t="s">
        <v>661</v>
      </c>
      <c r="G2377" t="s">
        <v>2737</v>
      </c>
      <c r="V2377">
        <v>157</v>
      </c>
      <c r="CH2377" t="str">
        <f t="shared" si="37"/>
        <v>D-0419</v>
      </c>
      <c r="CI2377" s="1" t="s">
        <v>102</v>
      </c>
    </row>
    <row r="2378" spans="1:87">
      <c r="A2378" t="s">
        <v>3999</v>
      </c>
      <c r="B2378">
        <v>81</v>
      </c>
      <c r="C2378" t="s">
        <v>1122</v>
      </c>
      <c r="D2378" t="s">
        <v>291</v>
      </c>
      <c r="E2378" t="s">
        <v>642</v>
      </c>
      <c r="F2378" t="s">
        <v>661</v>
      </c>
      <c r="G2378" t="s">
        <v>2737</v>
      </c>
      <c r="U2378">
        <v>81</v>
      </c>
      <c r="CH2378" t="str">
        <f t="shared" si="37"/>
        <v>D-0419</v>
      </c>
      <c r="CI2378" s="1" t="s">
        <v>102</v>
      </c>
    </row>
    <row r="2379" spans="1:87">
      <c r="A2379" t="s">
        <v>4000</v>
      </c>
      <c r="B2379">
        <v>117</v>
      </c>
      <c r="C2379" t="s">
        <v>1122</v>
      </c>
      <c r="D2379" t="s">
        <v>291</v>
      </c>
      <c r="E2379" t="s">
        <v>642</v>
      </c>
      <c r="F2379" t="s">
        <v>661</v>
      </c>
      <c r="G2379" t="s">
        <v>2737</v>
      </c>
      <c r="T2379">
        <v>117</v>
      </c>
      <c r="CH2379" t="str">
        <f t="shared" si="37"/>
        <v>D-0419</v>
      </c>
      <c r="CI2379" s="1" t="s">
        <v>102</v>
      </c>
    </row>
    <row r="2380" spans="1:87">
      <c r="A2380" t="s">
        <v>4001</v>
      </c>
      <c r="B2380">
        <v>43</v>
      </c>
      <c r="C2380" t="s">
        <v>1122</v>
      </c>
      <c r="D2380" t="s">
        <v>291</v>
      </c>
      <c r="E2380" t="s">
        <v>642</v>
      </c>
      <c r="F2380" t="s">
        <v>661</v>
      </c>
      <c r="G2380" t="s">
        <v>2737</v>
      </c>
      <c r="S2380">
        <v>43</v>
      </c>
      <c r="CH2380" t="str">
        <f t="shared" si="37"/>
        <v>D-0419</v>
      </c>
      <c r="CI2380" s="1" t="s">
        <v>102</v>
      </c>
    </row>
    <row r="2381" spans="1:87">
      <c r="A2381" t="s">
        <v>4002</v>
      </c>
      <c r="B2381">
        <v>52</v>
      </c>
      <c r="C2381" t="s">
        <v>1122</v>
      </c>
      <c r="D2381" t="s">
        <v>291</v>
      </c>
      <c r="E2381" t="s">
        <v>642</v>
      </c>
      <c r="F2381" t="s">
        <v>661</v>
      </c>
      <c r="G2381" t="s">
        <v>2737</v>
      </c>
      <c r="R2381">
        <v>52</v>
      </c>
      <c r="CH2381" t="str">
        <f t="shared" si="37"/>
        <v>D-0419</v>
      </c>
      <c r="CI2381" s="1" t="s">
        <v>102</v>
      </c>
    </row>
    <row r="2382" spans="1:87">
      <c r="A2382" t="s">
        <v>4003</v>
      </c>
      <c r="B2382">
        <v>27</v>
      </c>
      <c r="C2382" t="s">
        <v>1122</v>
      </c>
      <c r="D2382" t="s">
        <v>291</v>
      </c>
      <c r="E2382" t="s">
        <v>642</v>
      </c>
      <c r="F2382" t="s">
        <v>661</v>
      </c>
      <c r="G2382" t="s">
        <v>2737</v>
      </c>
      <c r="P2382">
        <v>27</v>
      </c>
      <c r="CH2382" t="str">
        <f t="shared" si="37"/>
        <v>D-0419</v>
      </c>
      <c r="CI2382" s="1" t="s">
        <v>102</v>
      </c>
    </row>
    <row r="2383" spans="1:87">
      <c r="A2383" t="s">
        <v>4004</v>
      </c>
      <c r="B2383">
        <v>43</v>
      </c>
      <c r="C2383" t="s">
        <v>1123</v>
      </c>
      <c r="D2383" t="s">
        <v>291</v>
      </c>
      <c r="E2383" t="s">
        <v>642</v>
      </c>
      <c r="F2383" t="s">
        <v>661</v>
      </c>
      <c r="G2383" t="s">
        <v>3124</v>
      </c>
      <c r="AC2383">
        <v>43</v>
      </c>
      <c r="CH2383" t="str">
        <f t="shared" si="37"/>
        <v>D-0419</v>
      </c>
      <c r="CI2383" s="1" t="s">
        <v>102</v>
      </c>
    </row>
    <row r="2384" spans="1:87">
      <c r="A2384" t="s">
        <v>4005</v>
      </c>
      <c r="B2384">
        <v>295</v>
      </c>
      <c r="C2384" t="s">
        <v>1123</v>
      </c>
      <c r="D2384" t="s">
        <v>291</v>
      </c>
      <c r="E2384" t="s">
        <v>642</v>
      </c>
      <c r="F2384" t="s">
        <v>661</v>
      </c>
      <c r="G2384" t="s">
        <v>3124</v>
      </c>
      <c r="Y2384">
        <v>295</v>
      </c>
      <c r="CH2384" t="str">
        <f t="shared" si="37"/>
        <v>D-0419</v>
      </c>
      <c r="CI2384" s="1" t="s">
        <v>102</v>
      </c>
    </row>
    <row r="2385" spans="1:87">
      <c r="A2385" t="s">
        <v>4006</v>
      </c>
      <c r="B2385">
        <v>147</v>
      </c>
      <c r="C2385" t="s">
        <v>1123</v>
      </c>
      <c r="D2385" t="s">
        <v>291</v>
      </c>
      <c r="E2385" t="s">
        <v>642</v>
      </c>
      <c r="F2385" t="s">
        <v>661</v>
      </c>
      <c r="G2385" t="s">
        <v>3124</v>
      </c>
      <c r="Z2385">
        <v>147</v>
      </c>
      <c r="CH2385" t="str">
        <f t="shared" si="37"/>
        <v>D-0419</v>
      </c>
      <c r="CI2385" s="1" t="s">
        <v>102</v>
      </c>
    </row>
    <row r="2386" spans="1:87">
      <c r="A2386" t="s">
        <v>4007</v>
      </c>
      <c r="B2386">
        <v>88</v>
      </c>
      <c r="C2386" t="s">
        <v>1123</v>
      </c>
      <c r="D2386" t="s">
        <v>291</v>
      </c>
      <c r="E2386" t="s">
        <v>642</v>
      </c>
      <c r="F2386" t="s">
        <v>661</v>
      </c>
      <c r="G2386" t="s">
        <v>3124</v>
      </c>
      <c r="AB2386">
        <v>88</v>
      </c>
      <c r="CH2386" t="str">
        <f t="shared" si="37"/>
        <v>D-0419</v>
      </c>
      <c r="CI2386" s="1" t="s">
        <v>102</v>
      </c>
    </row>
    <row r="2387" spans="1:87">
      <c r="A2387" t="s">
        <v>4008</v>
      </c>
      <c r="B2387">
        <v>32</v>
      </c>
      <c r="C2387" t="s">
        <v>1123</v>
      </c>
      <c r="D2387" t="s">
        <v>291</v>
      </c>
      <c r="E2387" t="s">
        <v>642</v>
      </c>
      <c r="F2387" t="s">
        <v>661</v>
      </c>
      <c r="G2387" t="s">
        <v>3124</v>
      </c>
      <c r="AD2387">
        <v>32</v>
      </c>
      <c r="CH2387" t="str">
        <f t="shared" si="37"/>
        <v>D-0419</v>
      </c>
      <c r="CI2387" s="1" t="s">
        <v>102</v>
      </c>
    </row>
    <row r="2388" spans="1:87">
      <c r="A2388" t="s">
        <v>4009</v>
      </c>
      <c r="B2388">
        <v>90</v>
      </c>
      <c r="C2388" t="s">
        <v>1123</v>
      </c>
      <c r="D2388" t="s">
        <v>291</v>
      </c>
      <c r="E2388" t="s">
        <v>642</v>
      </c>
      <c r="F2388" t="s">
        <v>661</v>
      </c>
      <c r="G2388" t="s">
        <v>3124</v>
      </c>
      <c r="AA2388">
        <v>90</v>
      </c>
      <c r="CH2388" t="str">
        <f t="shared" si="37"/>
        <v>D-0419</v>
      </c>
      <c r="CI2388" s="1" t="s">
        <v>102</v>
      </c>
    </row>
    <row r="2389" spans="1:87">
      <c r="A2389" t="s">
        <v>4010</v>
      </c>
      <c r="B2389">
        <v>298</v>
      </c>
      <c r="C2389" t="s">
        <v>1123</v>
      </c>
      <c r="D2389" t="s">
        <v>291</v>
      </c>
      <c r="E2389" t="s">
        <v>642</v>
      </c>
      <c r="F2389" t="s">
        <v>661</v>
      </c>
      <c r="G2389" t="s">
        <v>3124</v>
      </c>
      <c r="X2389">
        <v>298</v>
      </c>
      <c r="CH2389" t="str">
        <f t="shared" si="37"/>
        <v>D-0419</v>
      </c>
      <c r="CI2389" s="1" t="s">
        <v>102</v>
      </c>
    </row>
    <row r="2390" spans="1:87">
      <c r="A2390" t="s">
        <v>4011</v>
      </c>
      <c r="B2390">
        <v>567</v>
      </c>
      <c r="C2390" t="s">
        <v>1123</v>
      </c>
      <c r="D2390" t="s">
        <v>291</v>
      </c>
      <c r="E2390" t="s">
        <v>642</v>
      </c>
      <c r="F2390" t="s">
        <v>661</v>
      </c>
      <c r="G2390" t="s">
        <v>3124</v>
      </c>
      <c r="W2390">
        <v>567</v>
      </c>
      <c r="CH2390" t="str">
        <f t="shared" si="37"/>
        <v>D-0419</v>
      </c>
      <c r="CI2390" s="1" t="s">
        <v>102</v>
      </c>
    </row>
    <row r="2391" spans="1:87">
      <c r="A2391" t="s">
        <v>4012</v>
      </c>
      <c r="B2391">
        <v>569</v>
      </c>
      <c r="C2391" t="s">
        <v>1123</v>
      </c>
      <c r="D2391" t="s">
        <v>291</v>
      </c>
      <c r="E2391" t="s">
        <v>642</v>
      </c>
      <c r="F2391" t="s">
        <v>661</v>
      </c>
      <c r="G2391" t="s">
        <v>3124</v>
      </c>
      <c r="V2391">
        <v>569</v>
      </c>
      <c r="CH2391" t="str">
        <f t="shared" si="37"/>
        <v>D-0419</v>
      </c>
      <c r="CI2391" s="1" t="s">
        <v>102</v>
      </c>
    </row>
    <row r="2392" spans="1:87">
      <c r="A2392" t="s">
        <v>4013</v>
      </c>
      <c r="B2392">
        <v>678</v>
      </c>
      <c r="C2392" t="s">
        <v>1123</v>
      </c>
      <c r="D2392" t="s">
        <v>291</v>
      </c>
      <c r="E2392" t="s">
        <v>642</v>
      </c>
      <c r="F2392" t="s">
        <v>661</v>
      </c>
      <c r="G2392" t="s">
        <v>3124</v>
      </c>
      <c r="U2392">
        <v>678</v>
      </c>
      <c r="CH2392" t="str">
        <f t="shared" si="37"/>
        <v>D-0419</v>
      </c>
      <c r="CI2392" s="1" t="s">
        <v>102</v>
      </c>
    </row>
    <row r="2393" spans="1:87">
      <c r="A2393" t="s">
        <v>4014</v>
      </c>
      <c r="B2393">
        <v>641</v>
      </c>
      <c r="C2393" t="s">
        <v>1123</v>
      </c>
      <c r="D2393" t="s">
        <v>291</v>
      </c>
      <c r="E2393" t="s">
        <v>642</v>
      </c>
      <c r="F2393" t="s">
        <v>661</v>
      </c>
      <c r="G2393" t="s">
        <v>3124</v>
      </c>
      <c r="T2393">
        <v>641</v>
      </c>
      <c r="CH2393" t="str">
        <f t="shared" si="37"/>
        <v>D-0419</v>
      </c>
      <c r="CI2393" s="1" t="s">
        <v>102</v>
      </c>
    </row>
    <row r="2394" spans="1:87">
      <c r="A2394" t="s">
        <v>4015</v>
      </c>
      <c r="B2394">
        <v>529</v>
      </c>
      <c r="C2394" t="s">
        <v>1123</v>
      </c>
      <c r="D2394" t="s">
        <v>291</v>
      </c>
      <c r="E2394" t="s">
        <v>642</v>
      </c>
      <c r="F2394" t="s">
        <v>661</v>
      </c>
      <c r="G2394" t="s">
        <v>3124</v>
      </c>
      <c r="S2394">
        <v>529</v>
      </c>
      <c r="CH2394" t="str">
        <f t="shared" si="37"/>
        <v>D-0419</v>
      </c>
      <c r="CI2394" s="1" t="s">
        <v>102</v>
      </c>
    </row>
    <row r="2395" spans="1:87">
      <c r="A2395" t="s">
        <v>4016</v>
      </c>
      <c r="B2395">
        <v>300</v>
      </c>
      <c r="C2395" t="s">
        <v>1123</v>
      </c>
      <c r="D2395" t="s">
        <v>291</v>
      </c>
      <c r="E2395" t="s">
        <v>642</v>
      </c>
      <c r="F2395" t="s">
        <v>661</v>
      </c>
      <c r="G2395" t="s">
        <v>3124</v>
      </c>
      <c r="R2395">
        <v>300</v>
      </c>
      <c r="CH2395" t="str">
        <f t="shared" si="37"/>
        <v>D-0419</v>
      </c>
      <c r="CI2395" s="1" t="s">
        <v>102</v>
      </c>
    </row>
    <row r="2396" spans="1:87">
      <c r="A2396" t="s">
        <v>4017</v>
      </c>
      <c r="B2396">
        <v>114</v>
      </c>
      <c r="C2396" t="s">
        <v>1123</v>
      </c>
      <c r="D2396" t="s">
        <v>291</v>
      </c>
      <c r="E2396" t="s">
        <v>642</v>
      </c>
      <c r="F2396" t="s">
        <v>661</v>
      </c>
      <c r="G2396" t="s">
        <v>3124</v>
      </c>
      <c r="Q2396">
        <v>114</v>
      </c>
      <c r="CH2396" t="str">
        <f t="shared" si="37"/>
        <v>D-0419</v>
      </c>
      <c r="CI2396" s="1" t="s">
        <v>102</v>
      </c>
    </row>
    <row r="2397" spans="1:87">
      <c r="A2397" t="s">
        <v>4018</v>
      </c>
      <c r="B2397">
        <v>41</v>
      </c>
      <c r="C2397" t="s">
        <v>1123</v>
      </c>
      <c r="D2397" t="s">
        <v>291</v>
      </c>
      <c r="E2397" t="s">
        <v>642</v>
      </c>
      <c r="F2397" t="s">
        <v>661</v>
      </c>
      <c r="G2397" t="s">
        <v>3124</v>
      </c>
      <c r="P2397">
        <v>41</v>
      </c>
      <c r="CH2397" t="str">
        <f t="shared" si="37"/>
        <v>D-0419</v>
      </c>
      <c r="CI2397" s="1" t="s">
        <v>102</v>
      </c>
    </row>
    <row r="2398" spans="1:87">
      <c r="A2398" t="s">
        <v>4019</v>
      </c>
      <c r="B2398">
        <v>6</v>
      </c>
      <c r="C2398" t="s">
        <v>2556</v>
      </c>
      <c r="D2398" t="s">
        <v>291</v>
      </c>
      <c r="E2398" t="s">
        <v>642</v>
      </c>
      <c r="F2398" t="s">
        <v>661</v>
      </c>
      <c r="G2398" t="s">
        <v>2557</v>
      </c>
      <c r="P2398">
        <v>6</v>
      </c>
      <c r="CH2398" t="str">
        <f t="shared" si="37"/>
        <v>D-0419</v>
      </c>
      <c r="CI2398" s="1" t="s">
        <v>102</v>
      </c>
    </row>
    <row r="2399" spans="1:87">
      <c r="A2399" t="s">
        <v>4020</v>
      </c>
      <c r="B2399">
        <v>12</v>
      </c>
      <c r="C2399" t="s">
        <v>2556</v>
      </c>
      <c r="D2399" t="s">
        <v>291</v>
      </c>
      <c r="E2399" t="s">
        <v>642</v>
      </c>
      <c r="F2399" t="s">
        <v>661</v>
      </c>
      <c r="G2399" t="s">
        <v>2557</v>
      </c>
      <c r="Q2399">
        <v>12</v>
      </c>
      <c r="CH2399" t="str">
        <f t="shared" si="37"/>
        <v>D-0419</v>
      </c>
      <c r="CI2399" s="1" t="s">
        <v>102</v>
      </c>
    </row>
    <row r="2400" spans="1:87">
      <c r="A2400" t="s">
        <v>4021</v>
      </c>
      <c r="B2400">
        <v>54</v>
      </c>
      <c r="C2400" t="s">
        <v>2556</v>
      </c>
      <c r="D2400" t="s">
        <v>291</v>
      </c>
      <c r="E2400" t="s">
        <v>642</v>
      </c>
      <c r="F2400" t="s">
        <v>661</v>
      </c>
      <c r="G2400" t="s">
        <v>2557</v>
      </c>
      <c r="Y2400">
        <v>54</v>
      </c>
      <c r="CH2400" t="str">
        <f t="shared" si="37"/>
        <v>D-0419</v>
      </c>
      <c r="CI2400" s="1" t="s">
        <v>102</v>
      </c>
    </row>
    <row r="2401" spans="1:87">
      <c r="A2401" t="s">
        <v>4022</v>
      </c>
      <c r="B2401">
        <v>12</v>
      </c>
      <c r="C2401" t="s">
        <v>2556</v>
      </c>
      <c r="D2401" t="s">
        <v>291</v>
      </c>
      <c r="E2401" t="s">
        <v>642</v>
      </c>
      <c r="F2401" t="s">
        <v>661</v>
      </c>
      <c r="G2401" t="s">
        <v>2557</v>
      </c>
      <c r="AA2401">
        <v>12</v>
      </c>
      <c r="CH2401" t="str">
        <f t="shared" si="37"/>
        <v>D-0419</v>
      </c>
      <c r="CI2401" s="1" t="s">
        <v>102</v>
      </c>
    </row>
    <row r="2402" spans="1:87">
      <c r="A2402" t="s">
        <v>4023</v>
      </c>
      <c r="B2402">
        <v>42</v>
      </c>
      <c r="C2402" t="s">
        <v>2556</v>
      </c>
      <c r="D2402" t="s">
        <v>291</v>
      </c>
      <c r="E2402" t="s">
        <v>642</v>
      </c>
      <c r="F2402" t="s">
        <v>661</v>
      </c>
      <c r="G2402" t="s">
        <v>2557</v>
      </c>
      <c r="AB2402">
        <v>42</v>
      </c>
      <c r="CH2402" t="str">
        <f t="shared" si="37"/>
        <v>D-0419</v>
      </c>
      <c r="CI2402" s="1" t="s">
        <v>102</v>
      </c>
    </row>
    <row r="2403" spans="1:87">
      <c r="A2403" t="s">
        <v>4024</v>
      </c>
      <c r="B2403">
        <v>139</v>
      </c>
      <c r="C2403" t="s">
        <v>2556</v>
      </c>
      <c r="D2403" t="s">
        <v>291</v>
      </c>
      <c r="E2403" t="s">
        <v>642</v>
      </c>
      <c r="F2403" t="s">
        <v>661</v>
      </c>
      <c r="G2403" t="s">
        <v>2557</v>
      </c>
      <c r="Z2403">
        <v>139</v>
      </c>
      <c r="CH2403" t="str">
        <f t="shared" si="37"/>
        <v>D-0419</v>
      </c>
      <c r="CI2403" s="1" t="s">
        <v>102</v>
      </c>
    </row>
    <row r="2404" spans="1:87">
      <c r="A2404" t="s">
        <v>4025</v>
      </c>
      <c r="B2404">
        <v>301</v>
      </c>
      <c r="C2404" t="s">
        <v>2556</v>
      </c>
      <c r="D2404" t="s">
        <v>291</v>
      </c>
      <c r="E2404" t="s">
        <v>642</v>
      </c>
      <c r="F2404" t="s">
        <v>661</v>
      </c>
      <c r="G2404" t="s">
        <v>2557</v>
      </c>
      <c r="W2404">
        <v>301</v>
      </c>
      <c r="CH2404" t="str">
        <f t="shared" si="37"/>
        <v>D-0419</v>
      </c>
      <c r="CI2404" s="1" t="s">
        <v>102</v>
      </c>
    </row>
    <row r="2405" spans="1:87">
      <c r="A2405" t="s">
        <v>4026</v>
      </c>
      <c r="B2405">
        <v>265</v>
      </c>
      <c r="C2405" t="s">
        <v>2556</v>
      </c>
      <c r="D2405" t="s">
        <v>291</v>
      </c>
      <c r="E2405" t="s">
        <v>642</v>
      </c>
      <c r="F2405" t="s">
        <v>661</v>
      </c>
      <c r="G2405" t="s">
        <v>2557</v>
      </c>
      <c r="U2405">
        <v>265</v>
      </c>
      <c r="CH2405" t="str">
        <f t="shared" si="37"/>
        <v>D-0419</v>
      </c>
      <c r="CI2405" s="1" t="s">
        <v>102</v>
      </c>
    </row>
    <row r="2406" spans="1:87">
      <c r="A2406" t="s">
        <v>4027</v>
      </c>
      <c r="B2406">
        <v>199</v>
      </c>
      <c r="C2406" t="s">
        <v>2556</v>
      </c>
      <c r="D2406" t="s">
        <v>291</v>
      </c>
      <c r="E2406" t="s">
        <v>642</v>
      </c>
      <c r="F2406" t="s">
        <v>661</v>
      </c>
      <c r="G2406" t="s">
        <v>2557</v>
      </c>
      <c r="S2406">
        <v>199</v>
      </c>
      <c r="CH2406" t="str">
        <f t="shared" si="37"/>
        <v>D-0419</v>
      </c>
      <c r="CI2406" s="1" t="s">
        <v>102</v>
      </c>
    </row>
    <row r="2407" spans="1:87">
      <c r="A2407" t="s">
        <v>4028</v>
      </c>
      <c r="B2407">
        <v>181</v>
      </c>
      <c r="C2407" t="s">
        <v>2556</v>
      </c>
      <c r="D2407" t="s">
        <v>291</v>
      </c>
      <c r="E2407" t="s">
        <v>642</v>
      </c>
      <c r="F2407" t="s">
        <v>661</v>
      </c>
      <c r="G2407" t="s">
        <v>2557</v>
      </c>
      <c r="R2407">
        <v>181</v>
      </c>
      <c r="CH2407" t="str">
        <f t="shared" si="37"/>
        <v>D-0419</v>
      </c>
      <c r="CI2407" s="1" t="s">
        <v>102</v>
      </c>
    </row>
    <row r="2408" spans="1:87">
      <c r="A2408" t="s">
        <v>4029</v>
      </c>
      <c r="B2408">
        <v>349</v>
      </c>
      <c r="C2408" t="s">
        <v>2556</v>
      </c>
      <c r="D2408" t="s">
        <v>291</v>
      </c>
      <c r="E2408" t="s">
        <v>642</v>
      </c>
      <c r="F2408" t="s">
        <v>661</v>
      </c>
      <c r="G2408" t="s">
        <v>2557</v>
      </c>
      <c r="T2408">
        <v>349</v>
      </c>
      <c r="CH2408" t="str">
        <f t="shared" si="37"/>
        <v>D-0419</v>
      </c>
      <c r="CI2408" s="1" t="s">
        <v>102</v>
      </c>
    </row>
    <row r="2409" spans="1:87">
      <c r="A2409" t="s">
        <v>4030</v>
      </c>
      <c r="B2409">
        <v>397</v>
      </c>
      <c r="C2409" t="s">
        <v>2556</v>
      </c>
      <c r="D2409" t="s">
        <v>291</v>
      </c>
      <c r="E2409" t="s">
        <v>642</v>
      </c>
      <c r="F2409" t="s">
        <v>661</v>
      </c>
      <c r="G2409" t="s">
        <v>2557</v>
      </c>
      <c r="V2409">
        <v>397</v>
      </c>
      <c r="CH2409" t="str">
        <f t="shared" si="37"/>
        <v>D-0419</v>
      </c>
      <c r="CI2409" s="1" t="s">
        <v>102</v>
      </c>
    </row>
    <row r="2410" spans="1:87">
      <c r="A2410" t="s">
        <v>4031</v>
      </c>
      <c r="B2410">
        <v>283</v>
      </c>
      <c r="C2410" t="s">
        <v>2556</v>
      </c>
      <c r="D2410" t="s">
        <v>291</v>
      </c>
      <c r="E2410" t="s">
        <v>642</v>
      </c>
      <c r="F2410" t="s">
        <v>661</v>
      </c>
      <c r="G2410" t="s">
        <v>2557</v>
      </c>
      <c r="X2410">
        <v>283</v>
      </c>
      <c r="CH2410" t="str">
        <f t="shared" si="37"/>
        <v>D-0419</v>
      </c>
      <c r="CI2410" s="1" t="s">
        <v>102</v>
      </c>
    </row>
    <row r="2411" spans="1:87">
      <c r="A2411" t="s">
        <v>4032</v>
      </c>
      <c r="B2411">
        <v>26</v>
      </c>
      <c r="C2411" t="s">
        <v>2740</v>
      </c>
      <c r="D2411" t="s">
        <v>233</v>
      </c>
      <c r="E2411" t="s">
        <v>642</v>
      </c>
      <c r="F2411" t="s">
        <v>872</v>
      </c>
      <c r="G2411" t="s">
        <v>2741</v>
      </c>
      <c r="AD2411">
        <v>26</v>
      </c>
      <c r="CH2411" t="str">
        <f t="shared" si="37"/>
        <v>D-0265</v>
      </c>
      <c r="CI2411" s="1" t="s">
        <v>102</v>
      </c>
    </row>
    <row r="2412" spans="1:87">
      <c r="A2412" t="s">
        <v>4033</v>
      </c>
      <c r="B2412">
        <v>37</v>
      </c>
      <c r="C2412" t="s">
        <v>2740</v>
      </c>
      <c r="D2412" t="s">
        <v>233</v>
      </c>
      <c r="E2412" t="s">
        <v>642</v>
      </c>
      <c r="F2412" t="s">
        <v>872</v>
      </c>
      <c r="G2412" t="s">
        <v>2741</v>
      </c>
      <c r="AC2412">
        <v>37</v>
      </c>
      <c r="CH2412" t="str">
        <f t="shared" si="37"/>
        <v>D-0265</v>
      </c>
      <c r="CI2412" s="1" t="s">
        <v>102</v>
      </c>
    </row>
    <row r="2413" spans="1:87">
      <c r="A2413" t="s">
        <v>4034</v>
      </c>
      <c r="B2413">
        <v>54</v>
      </c>
      <c r="C2413" t="s">
        <v>2740</v>
      </c>
      <c r="D2413" t="s">
        <v>233</v>
      </c>
      <c r="E2413" t="s">
        <v>642</v>
      </c>
      <c r="F2413" t="s">
        <v>872</v>
      </c>
      <c r="G2413" t="s">
        <v>2741</v>
      </c>
      <c r="AA2413">
        <v>54</v>
      </c>
      <c r="CH2413" t="str">
        <f t="shared" si="37"/>
        <v>D-0265</v>
      </c>
      <c r="CI2413" s="1" t="s">
        <v>102</v>
      </c>
    </row>
    <row r="2414" spans="1:87">
      <c r="A2414" t="s">
        <v>4035</v>
      </c>
      <c r="B2414">
        <v>36</v>
      </c>
      <c r="C2414" t="s">
        <v>2740</v>
      </c>
      <c r="D2414" t="s">
        <v>233</v>
      </c>
      <c r="E2414" t="s">
        <v>642</v>
      </c>
      <c r="F2414" t="s">
        <v>872</v>
      </c>
      <c r="G2414" t="s">
        <v>2741</v>
      </c>
      <c r="Q2414">
        <v>36</v>
      </c>
      <c r="CH2414" t="str">
        <f t="shared" si="37"/>
        <v>D-0265</v>
      </c>
      <c r="CI2414" s="1" t="s">
        <v>102</v>
      </c>
    </row>
    <row r="2415" spans="1:87">
      <c r="A2415" t="s">
        <v>4036</v>
      </c>
      <c r="B2415">
        <v>90</v>
      </c>
      <c r="C2415" t="s">
        <v>2740</v>
      </c>
      <c r="D2415" t="s">
        <v>233</v>
      </c>
      <c r="E2415" t="s">
        <v>642</v>
      </c>
      <c r="F2415" t="s">
        <v>872</v>
      </c>
      <c r="G2415" t="s">
        <v>2741</v>
      </c>
      <c r="AB2415">
        <v>90</v>
      </c>
      <c r="CH2415" t="str">
        <f t="shared" si="37"/>
        <v>D-0265</v>
      </c>
      <c r="CI2415" s="1" t="s">
        <v>102</v>
      </c>
    </row>
    <row r="2416" spans="1:87">
      <c r="A2416" t="s">
        <v>4037</v>
      </c>
      <c r="B2416">
        <v>142</v>
      </c>
      <c r="C2416" t="s">
        <v>2740</v>
      </c>
      <c r="D2416" t="s">
        <v>233</v>
      </c>
      <c r="E2416" t="s">
        <v>642</v>
      </c>
      <c r="F2416" t="s">
        <v>872</v>
      </c>
      <c r="G2416" t="s">
        <v>2741</v>
      </c>
      <c r="Z2416">
        <v>142</v>
      </c>
      <c r="CH2416" t="str">
        <f t="shared" si="37"/>
        <v>D-0265</v>
      </c>
      <c r="CI2416" s="1" t="s">
        <v>102</v>
      </c>
    </row>
    <row r="2417" spans="1:87">
      <c r="A2417" t="s">
        <v>4038</v>
      </c>
      <c r="B2417">
        <v>172</v>
      </c>
      <c r="C2417" t="s">
        <v>2740</v>
      </c>
      <c r="D2417" t="s">
        <v>233</v>
      </c>
      <c r="E2417" t="s">
        <v>642</v>
      </c>
      <c r="F2417" t="s">
        <v>872</v>
      </c>
      <c r="G2417" t="s">
        <v>2741</v>
      </c>
      <c r="Y2417">
        <v>172</v>
      </c>
      <c r="CH2417" t="str">
        <f t="shared" si="37"/>
        <v>D-0265</v>
      </c>
      <c r="CI2417" s="1" t="s">
        <v>102</v>
      </c>
    </row>
    <row r="2418" spans="1:87">
      <c r="A2418" t="s">
        <v>4039</v>
      </c>
      <c r="B2418">
        <v>279</v>
      </c>
      <c r="C2418" t="s">
        <v>2740</v>
      </c>
      <c r="D2418" t="s">
        <v>233</v>
      </c>
      <c r="E2418" t="s">
        <v>642</v>
      </c>
      <c r="F2418" t="s">
        <v>872</v>
      </c>
      <c r="G2418" t="s">
        <v>2741</v>
      </c>
      <c r="X2418">
        <v>279</v>
      </c>
      <c r="CH2418" t="str">
        <f t="shared" si="37"/>
        <v>D-0265</v>
      </c>
      <c r="CI2418" s="1" t="s">
        <v>102</v>
      </c>
    </row>
    <row r="2419" spans="1:87">
      <c r="A2419" t="s">
        <v>4040</v>
      </c>
      <c r="B2419">
        <v>216</v>
      </c>
      <c r="C2419" t="s">
        <v>2740</v>
      </c>
      <c r="D2419" t="s">
        <v>233</v>
      </c>
      <c r="E2419" t="s">
        <v>642</v>
      </c>
      <c r="F2419" t="s">
        <v>872</v>
      </c>
      <c r="G2419" t="s">
        <v>2741</v>
      </c>
      <c r="W2419">
        <v>216</v>
      </c>
      <c r="CH2419" t="str">
        <f t="shared" si="37"/>
        <v>D-0265</v>
      </c>
      <c r="CI2419" s="1" t="s">
        <v>102</v>
      </c>
    </row>
    <row r="2420" spans="1:87">
      <c r="A2420" t="s">
        <v>4041</v>
      </c>
      <c r="B2420">
        <v>418</v>
      </c>
      <c r="C2420" t="s">
        <v>2740</v>
      </c>
      <c r="D2420" t="s">
        <v>233</v>
      </c>
      <c r="E2420" t="s">
        <v>642</v>
      </c>
      <c r="F2420" t="s">
        <v>872</v>
      </c>
      <c r="G2420" t="s">
        <v>2741</v>
      </c>
      <c r="V2420">
        <v>418</v>
      </c>
      <c r="CH2420" t="str">
        <f t="shared" si="37"/>
        <v>D-0265</v>
      </c>
      <c r="CI2420" s="1" t="s">
        <v>102</v>
      </c>
    </row>
    <row r="2421" spans="1:87">
      <c r="A2421" t="s">
        <v>4042</v>
      </c>
      <c r="B2421">
        <v>191</v>
      </c>
      <c r="C2421" t="s">
        <v>2740</v>
      </c>
      <c r="D2421" t="s">
        <v>233</v>
      </c>
      <c r="E2421" t="s">
        <v>642</v>
      </c>
      <c r="F2421" t="s">
        <v>872</v>
      </c>
      <c r="G2421" t="s">
        <v>2741</v>
      </c>
      <c r="U2421">
        <v>191</v>
      </c>
      <c r="CH2421" t="str">
        <f t="shared" si="37"/>
        <v>D-0265</v>
      </c>
      <c r="CI2421" s="1" t="s">
        <v>102</v>
      </c>
    </row>
    <row r="2422" spans="1:87">
      <c r="A2422" t="s">
        <v>4043</v>
      </c>
      <c r="B2422">
        <v>322</v>
      </c>
      <c r="C2422" t="s">
        <v>2740</v>
      </c>
      <c r="D2422" t="s">
        <v>233</v>
      </c>
      <c r="E2422" t="s">
        <v>642</v>
      </c>
      <c r="F2422" t="s">
        <v>872</v>
      </c>
      <c r="G2422" t="s">
        <v>2741</v>
      </c>
      <c r="T2422">
        <v>322</v>
      </c>
      <c r="CH2422" t="str">
        <f t="shared" si="37"/>
        <v>D-0265</v>
      </c>
      <c r="CI2422" s="1" t="s">
        <v>102</v>
      </c>
    </row>
    <row r="2423" spans="1:87">
      <c r="A2423" t="s">
        <v>4044</v>
      </c>
      <c r="B2423">
        <v>139</v>
      </c>
      <c r="C2423" t="s">
        <v>2740</v>
      </c>
      <c r="D2423" t="s">
        <v>233</v>
      </c>
      <c r="E2423" t="s">
        <v>642</v>
      </c>
      <c r="F2423" t="s">
        <v>872</v>
      </c>
      <c r="G2423" t="s">
        <v>2741</v>
      </c>
      <c r="S2423">
        <v>139</v>
      </c>
      <c r="CH2423" t="str">
        <f t="shared" si="37"/>
        <v>D-0265</v>
      </c>
      <c r="CI2423" s="1" t="s">
        <v>102</v>
      </c>
    </row>
    <row r="2424" spans="1:87">
      <c r="A2424" t="s">
        <v>4045</v>
      </c>
      <c r="B2424">
        <v>149</v>
      </c>
      <c r="C2424" t="s">
        <v>2740</v>
      </c>
      <c r="D2424" t="s">
        <v>233</v>
      </c>
      <c r="E2424" t="s">
        <v>642</v>
      </c>
      <c r="F2424" t="s">
        <v>872</v>
      </c>
      <c r="G2424" t="s">
        <v>2741</v>
      </c>
      <c r="R2424">
        <v>149</v>
      </c>
      <c r="CH2424" t="str">
        <f t="shared" si="37"/>
        <v>D-0265</v>
      </c>
      <c r="CI2424" s="1" t="s">
        <v>102</v>
      </c>
    </row>
    <row r="2425" spans="1:87">
      <c r="A2425" t="s">
        <v>4046</v>
      </c>
      <c r="B2425">
        <v>41</v>
      </c>
      <c r="C2425" t="s">
        <v>2740</v>
      </c>
      <c r="D2425" t="s">
        <v>233</v>
      </c>
      <c r="E2425" t="s">
        <v>642</v>
      </c>
      <c r="F2425" t="s">
        <v>872</v>
      </c>
      <c r="G2425" t="s">
        <v>2741</v>
      </c>
      <c r="P2425">
        <v>41</v>
      </c>
      <c r="CH2425" t="str">
        <f t="shared" si="37"/>
        <v>D-0265</v>
      </c>
      <c r="CI2425" s="1" t="s">
        <v>102</v>
      </c>
    </row>
    <row r="2426" spans="1:87">
      <c r="A2426" t="s">
        <v>4047</v>
      </c>
      <c r="B2426">
        <v>8</v>
      </c>
      <c r="C2426" t="s">
        <v>2740</v>
      </c>
      <c r="D2426" t="s">
        <v>233</v>
      </c>
      <c r="E2426" t="s">
        <v>642</v>
      </c>
      <c r="F2426" t="s">
        <v>872</v>
      </c>
      <c r="G2426" t="s">
        <v>2741</v>
      </c>
      <c r="AD2426">
        <v>8</v>
      </c>
      <c r="CH2426" t="str">
        <f t="shared" si="37"/>
        <v>D-0265</v>
      </c>
      <c r="CI2426" s="1" t="s">
        <v>102</v>
      </c>
    </row>
    <row r="2427" spans="1:87">
      <c r="A2427" t="s">
        <v>4048</v>
      </c>
      <c r="B2427">
        <v>8</v>
      </c>
      <c r="C2427" t="s">
        <v>2740</v>
      </c>
      <c r="D2427" t="s">
        <v>233</v>
      </c>
      <c r="E2427" t="s">
        <v>642</v>
      </c>
      <c r="F2427" t="s">
        <v>872</v>
      </c>
      <c r="G2427" t="s">
        <v>2741</v>
      </c>
      <c r="AC2427">
        <v>8</v>
      </c>
      <c r="CH2427" t="str">
        <f t="shared" si="37"/>
        <v>D-0265</v>
      </c>
      <c r="CI2427" s="1" t="s">
        <v>102</v>
      </c>
    </row>
    <row r="2428" spans="1:87">
      <c r="A2428" t="s">
        <v>4049</v>
      </c>
      <c r="B2428">
        <v>18</v>
      </c>
      <c r="C2428" t="s">
        <v>2740</v>
      </c>
      <c r="D2428" t="s">
        <v>233</v>
      </c>
      <c r="E2428" t="s">
        <v>642</v>
      </c>
      <c r="F2428" t="s">
        <v>872</v>
      </c>
      <c r="G2428" t="s">
        <v>2741</v>
      </c>
      <c r="AB2428">
        <v>18</v>
      </c>
      <c r="CH2428" t="str">
        <f t="shared" si="37"/>
        <v>D-0265</v>
      </c>
      <c r="CI2428" s="1" t="s">
        <v>102</v>
      </c>
    </row>
    <row r="2429" spans="1:87">
      <c r="A2429" t="s">
        <v>4050</v>
      </c>
      <c r="B2429">
        <v>19</v>
      </c>
      <c r="C2429" t="s">
        <v>2740</v>
      </c>
      <c r="D2429" t="s">
        <v>233</v>
      </c>
      <c r="E2429" t="s">
        <v>642</v>
      </c>
      <c r="F2429" t="s">
        <v>872</v>
      </c>
      <c r="G2429" t="s">
        <v>2741</v>
      </c>
      <c r="AA2429">
        <v>19</v>
      </c>
      <c r="CH2429" t="str">
        <f t="shared" si="37"/>
        <v>D-0265</v>
      </c>
      <c r="CI2429" s="1" t="s">
        <v>102</v>
      </c>
    </row>
    <row r="2430" spans="1:87">
      <c r="A2430" t="s">
        <v>4051</v>
      </c>
      <c r="B2430">
        <v>23</v>
      </c>
      <c r="C2430" t="s">
        <v>2740</v>
      </c>
      <c r="D2430" t="s">
        <v>233</v>
      </c>
      <c r="E2430" t="s">
        <v>642</v>
      </c>
      <c r="F2430" t="s">
        <v>872</v>
      </c>
      <c r="G2430" t="s">
        <v>2741</v>
      </c>
      <c r="Z2430">
        <v>23</v>
      </c>
      <c r="CH2430" t="str">
        <f t="shared" si="37"/>
        <v>D-0265</v>
      </c>
      <c r="CI2430" s="1" t="s">
        <v>102</v>
      </c>
    </row>
    <row r="2431" spans="1:87">
      <c r="A2431" t="s">
        <v>4052</v>
      </c>
      <c r="B2431">
        <v>28</v>
      </c>
      <c r="C2431" t="s">
        <v>2740</v>
      </c>
      <c r="D2431" t="s">
        <v>233</v>
      </c>
      <c r="E2431" t="s">
        <v>642</v>
      </c>
      <c r="F2431" t="s">
        <v>872</v>
      </c>
      <c r="G2431" t="s">
        <v>2741</v>
      </c>
      <c r="Y2431">
        <v>28</v>
      </c>
      <c r="CH2431" t="str">
        <f t="shared" si="37"/>
        <v>D-0265</v>
      </c>
      <c r="CI2431" s="1" t="s">
        <v>102</v>
      </c>
    </row>
    <row r="2432" spans="1:87">
      <c r="A2432" t="s">
        <v>4053</v>
      </c>
      <c r="B2432">
        <v>35</v>
      </c>
      <c r="C2432" t="s">
        <v>2740</v>
      </c>
      <c r="D2432" t="s">
        <v>233</v>
      </c>
      <c r="E2432" t="s">
        <v>642</v>
      </c>
      <c r="F2432" t="s">
        <v>872</v>
      </c>
      <c r="G2432" t="s">
        <v>2741</v>
      </c>
      <c r="X2432">
        <v>35</v>
      </c>
      <c r="CH2432" t="str">
        <f t="shared" si="37"/>
        <v>D-0265</v>
      </c>
      <c r="CI2432" s="1" t="s">
        <v>102</v>
      </c>
    </row>
    <row r="2433" spans="1:87">
      <c r="A2433" t="s">
        <v>4054</v>
      </c>
      <c r="B2433">
        <v>49</v>
      </c>
      <c r="C2433" t="s">
        <v>2740</v>
      </c>
      <c r="D2433" t="s">
        <v>233</v>
      </c>
      <c r="E2433" t="s">
        <v>642</v>
      </c>
      <c r="F2433" t="s">
        <v>872</v>
      </c>
      <c r="G2433" t="s">
        <v>2741</v>
      </c>
      <c r="W2433">
        <v>49</v>
      </c>
      <c r="CH2433" t="str">
        <f t="shared" si="37"/>
        <v>D-0265</v>
      </c>
      <c r="CI2433" s="1" t="s">
        <v>102</v>
      </c>
    </row>
    <row r="2434" spans="1:87">
      <c r="A2434" t="s">
        <v>4055</v>
      </c>
      <c r="B2434">
        <v>66</v>
      </c>
      <c r="C2434" t="s">
        <v>2740</v>
      </c>
      <c r="D2434" t="s">
        <v>233</v>
      </c>
      <c r="E2434" t="s">
        <v>642</v>
      </c>
      <c r="F2434" t="s">
        <v>872</v>
      </c>
      <c r="G2434" t="s">
        <v>2741</v>
      </c>
      <c r="V2434">
        <v>66</v>
      </c>
      <c r="CH2434" t="str">
        <f t="shared" ref="CH2434:CH2497" si="38">TRIM(IFERROR(IFERROR(MID($D2434,FIND("(D-",$D2434)+1,6),LEFT($D2434,FIND("(",$D2434)-1)),$D2434))</f>
        <v>D-0265</v>
      </c>
      <c r="CI2434" s="1" t="s">
        <v>102</v>
      </c>
    </row>
    <row r="2435" spans="1:87">
      <c r="A2435" t="s">
        <v>4056</v>
      </c>
      <c r="B2435">
        <v>57</v>
      </c>
      <c r="C2435" t="s">
        <v>2740</v>
      </c>
      <c r="D2435" t="s">
        <v>233</v>
      </c>
      <c r="E2435" t="s">
        <v>642</v>
      </c>
      <c r="F2435" t="s">
        <v>872</v>
      </c>
      <c r="G2435" t="s">
        <v>2741</v>
      </c>
      <c r="U2435">
        <v>57</v>
      </c>
      <c r="CH2435" t="str">
        <f t="shared" si="38"/>
        <v>D-0265</v>
      </c>
      <c r="CI2435" s="1" t="s">
        <v>102</v>
      </c>
    </row>
    <row r="2436" spans="1:87">
      <c r="A2436" t="s">
        <v>4057</v>
      </c>
      <c r="B2436">
        <v>54</v>
      </c>
      <c r="C2436" t="s">
        <v>2740</v>
      </c>
      <c r="D2436" t="s">
        <v>233</v>
      </c>
      <c r="E2436" t="s">
        <v>642</v>
      </c>
      <c r="F2436" t="s">
        <v>872</v>
      </c>
      <c r="G2436" t="s">
        <v>2741</v>
      </c>
      <c r="T2436">
        <v>54</v>
      </c>
      <c r="CH2436" t="str">
        <f t="shared" si="38"/>
        <v>D-0265</v>
      </c>
      <c r="CI2436" s="1" t="s">
        <v>102</v>
      </c>
    </row>
    <row r="2437" spans="1:87">
      <c r="A2437" t="s">
        <v>4058</v>
      </c>
      <c r="B2437">
        <v>41</v>
      </c>
      <c r="C2437" t="s">
        <v>2740</v>
      </c>
      <c r="D2437" t="s">
        <v>233</v>
      </c>
      <c r="E2437" t="s">
        <v>642</v>
      </c>
      <c r="F2437" t="s">
        <v>872</v>
      </c>
      <c r="G2437" t="s">
        <v>2741</v>
      </c>
      <c r="S2437">
        <v>41</v>
      </c>
      <c r="CH2437" t="str">
        <f t="shared" si="38"/>
        <v>D-0265</v>
      </c>
      <c r="CI2437" s="1" t="s">
        <v>102</v>
      </c>
    </row>
    <row r="2438" spans="1:87">
      <c r="A2438" t="s">
        <v>4059</v>
      </c>
      <c r="B2438">
        <v>24</v>
      </c>
      <c r="C2438" t="s">
        <v>2740</v>
      </c>
      <c r="D2438" t="s">
        <v>233</v>
      </c>
      <c r="E2438" t="s">
        <v>642</v>
      </c>
      <c r="F2438" t="s">
        <v>872</v>
      </c>
      <c r="G2438" t="s">
        <v>2741</v>
      </c>
      <c r="R2438">
        <v>24</v>
      </c>
      <c r="CH2438" t="str">
        <f t="shared" si="38"/>
        <v>D-0265</v>
      </c>
      <c r="CI2438" s="1" t="s">
        <v>102</v>
      </c>
    </row>
    <row r="2439" spans="1:87">
      <c r="A2439" t="s">
        <v>4060</v>
      </c>
      <c r="B2439">
        <v>16</v>
      </c>
      <c r="C2439" t="s">
        <v>2740</v>
      </c>
      <c r="D2439" t="s">
        <v>233</v>
      </c>
      <c r="E2439" t="s">
        <v>642</v>
      </c>
      <c r="F2439" t="s">
        <v>872</v>
      </c>
      <c r="G2439" t="s">
        <v>2741</v>
      </c>
      <c r="Q2439">
        <v>16</v>
      </c>
      <c r="CH2439" t="str">
        <f t="shared" si="38"/>
        <v>D-0265</v>
      </c>
      <c r="CI2439" s="1" t="s">
        <v>102</v>
      </c>
    </row>
    <row r="2440" spans="1:87">
      <c r="A2440" t="s">
        <v>4061</v>
      </c>
      <c r="B2440">
        <v>5</v>
      </c>
      <c r="C2440" t="s">
        <v>2740</v>
      </c>
      <c r="D2440" t="s">
        <v>233</v>
      </c>
      <c r="E2440" t="s">
        <v>642</v>
      </c>
      <c r="F2440" t="s">
        <v>872</v>
      </c>
      <c r="G2440" t="s">
        <v>2741</v>
      </c>
      <c r="P2440">
        <v>5</v>
      </c>
      <c r="CH2440" t="str">
        <f t="shared" si="38"/>
        <v>D-0265</v>
      </c>
      <c r="CI2440" s="1" t="s">
        <v>102</v>
      </c>
    </row>
    <row r="2441" spans="1:87">
      <c r="A2441" t="s">
        <v>4062</v>
      </c>
      <c r="B2441">
        <v>18</v>
      </c>
      <c r="C2441" t="s">
        <v>3419</v>
      </c>
      <c r="D2441" t="s">
        <v>291</v>
      </c>
      <c r="E2441" t="s">
        <v>642</v>
      </c>
      <c r="F2441" t="s">
        <v>661</v>
      </c>
      <c r="G2441" t="s">
        <v>3420</v>
      </c>
      <c r="AM2441">
        <v>18</v>
      </c>
      <c r="CH2441" t="str">
        <f t="shared" si="38"/>
        <v>D-0419</v>
      </c>
      <c r="CI2441" s="1" t="s">
        <v>102</v>
      </c>
    </row>
    <row r="2442" spans="1:87">
      <c r="A2442" t="s">
        <v>4063</v>
      </c>
      <c r="B2442">
        <v>18</v>
      </c>
      <c r="C2442" t="s">
        <v>3419</v>
      </c>
      <c r="D2442" t="s">
        <v>291</v>
      </c>
      <c r="E2442" t="s">
        <v>642</v>
      </c>
      <c r="F2442" t="s">
        <v>661</v>
      </c>
      <c r="G2442" t="s">
        <v>3420</v>
      </c>
      <c r="AK2442">
        <v>18</v>
      </c>
      <c r="CH2442" t="str">
        <f t="shared" si="38"/>
        <v>D-0419</v>
      </c>
      <c r="CI2442" s="1" t="s">
        <v>102</v>
      </c>
    </row>
    <row r="2443" spans="1:87">
      <c r="A2443" t="s">
        <v>4064</v>
      </c>
      <c r="B2443">
        <v>24</v>
      </c>
      <c r="C2443" t="s">
        <v>3419</v>
      </c>
      <c r="D2443" t="s">
        <v>291</v>
      </c>
      <c r="E2443" t="s">
        <v>642</v>
      </c>
      <c r="F2443" t="s">
        <v>661</v>
      </c>
      <c r="G2443" t="s">
        <v>3420</v>
      </c>
      <c r="AI2443">
        <v>24</v>
      </c>
      <c r="CH2443" t="str">
        <f t="shared" si="38"/>
        <v>D-0419</v>
      </c>
      <c r="CI2443" s="1" t="s">
        <v>102</v>
      </c>
    </row>
    <row r="2444" spans="1:87">
      <c r="A2444" t="s">
        <v>4065</v>
      </c>
      <c r="B2444">
        <v>30</v>
      </c>
      <c r="C2444" t="s">
        <v>3419</v>
      </c>
      <c r="D2444" t="s">
        <v>291</v>
      </c>
      <c r="E2444" t="s">
        <v>642</v>
      </c>
      <c r="F2444" t="s">
        <v>661</v>
      </c>
      <c r="G2444" t="s">
        <v>3420</v>
      </c>
      <c r="AH2444">
        <v>30</v>
      </c>
      <c r="CH2444" t="str">
        <f t="shared" si="38"/>
        <v>D-0419</v>
      </c>
      <c r="CI2444" s="1" t="s">
        <v>102</v>
      </c>
    </row>
    <row r="2445" spans="1:87">
      <c r="A2445" t="s">
        <v>4066</v>
      </c>
      <c r="B2445">
        <v>24</v>
      </c>
      <c r="C2445" t="s">
        <v>3419</v>
      </c>
      <c r="D2445" t="s">
        <v>291</v>
      </c>
      <c r="E2445" t="s">
        <v>642</v>
      </c>
      <c r="F2445" t="s">
        <v>661</v>
      </c>
      <c r="G2445" t="s">
        <v>3420</v>
      </c>
      <c r="AG2445">
        <v>24</v>
      </c>
      <c r="CH2445" t="str">
        <f t="shared" si="38"/>
        <v>D-0419</v>
      </c>
      <c r="CI2445" s="1" t="s">
        <v>102</v>
      </c>
    </row>
    <row r="2446" spans="1:87">
      <c r="A2446" t="s">
        <v>4067</v>
      </c>
      <c r="B2446">
        <v>30</v>
      </c>
      <c r="C2446" t="s">
        <v>3419</v>
      </c>
      <c r="D2446" t="s">
        <v>291</v>
      </c>
      <c r="E2446" t="s">
        <v>642</v>
      </c>
      <c r="F2446" t="s">
        <v>661</v>
      </c>
      <c r="G2446" t="s">
        <v>3420</v>
      </c>
      <c r="AF2446">
        <v>30</v>
      </c>
      <c r="CH2446" t="str">
        <f t="shared" si="38"/>
        <v>D-0419</v>
      </c>
      <c r="CI2446" s="1" t="s">
        <v>102</v>
      </c>
    </row>
    <row r="2447" spans="1:87">
      <c r="A2447" t="s">
        <v>4068</v>
      </c>
      <c r="B2447">
        <v>30</v>
      </c>
      <c r="C2447" t="s">
        <v>3419</v>
      </c>
      <c r="D2447" t="s">
        <v>291</v>
      </c>
      <c r="E2447" t="s">
        <v>642</v>
      </c>
      <c r="F2447" t="s">
        <v>661</v>
      </c>
      <c r="G2447" t="s">
        <v>3420</v>
      </c>
      <c r="AE2447">
        <v>30</v>
      </c>
      <c r="CH2447" t="str">
        <f t="shared" si="38"/>
        <v>D-0419</v>
      </c>
      <c r="CI2447" s="1" t="s">
        <v>102</v>
      </c>
    </row>
    <row r="2448" spans="1:87">
      <c r="A2448" t="s">
        <v>4069</v>
      </c>
      <c r="B2448">
        <v>48</v>
      </c>
      <c r="C2448" t="s">
        <v>3419</v>
      </c>
      <c r="D2448" t="s">
        <v>291</v>
      </c>
      <c r="E2448" t="s">
        <v>642</v>
      </c>
      <c r="F2448" t="s">
        <v>661</v>
      </c>
      <c r="G2448" t="s">
        <v>3420</v>
      </c>
      <c r="AD2448">
        <v>48</v>
      </c>
      <c r="CH2448" t="str">
        <f t="shared" si="38"/>
        <v>D-0419</v>
      </c>
      <c r="CI2448" s="1" t="s">
        <v>102</v>
      </c>
    </row>
    <row r="2449" spans="1:87">
      <c r="A2449" t="s">
        <v>4070</v>
      </c>
      <c r="B2449">
        <v>30</v>
      </c>
      <c r="C2449" t="s">
        <v>3419</v>
      </c>
      <c r="D2449" t="s">
        <v>291</v>
      </c>
      <c r="E2449" t="s">
        <v>642</v>
      </c>
      <c r="F2449" t="s">
        <v>661</v>
      </c>
      <c r="G2449" t="s">
        <v>3420</v>
      </c>
      <c r="AC2449">
        <v>30</v>
      </c>
      <c r="CH2449" t="str">
        <f t="shared" si="38"/>
        <v>D-0419</v>
      </c>
      <c r="CI2449" s="1" t="s">
        <v>102</v>
      </c>
    </row>
    <row r="2450" spans="1:87">
      <c r="A2450" t="s">
        <v>4071</v>
      </c>
      <c r="B2450">
        <v>66</v>
      </c>
      <c r="C2450" t="s">
        <v>3419</v>
      </c>
      <c r="D2450" t="s">
        <v>291</v>
      </c>
      <c r="E2450" t="s">
        <v>642</v>
      </c>
      <c r="F2450" t="s">
        <v>661</v>
      </c>
      <c r="G2450" t="s">
        <v>3420</v>
      </c>
      <c r="AB2450">
        <v>66</v>
      </c>
      <c r="CH2450" t="str">
        <f t="shared" si="38"/>
        <v>D-0419</v>
      </c>
      <c r="CI2450" s="1" t="s">
        <v>102</v>
      </c>
    </row>
    <row r="2451" spans="1:87">
      <c r="A2451" t="s">
        <v>4072</v>
      </c>
      <c r="B2451">
        <v>66</v>
      </c>
      <c r="C2451" t="s">
        <v>3419</v>
      </c>
      <c r="D2451" t="s">
        <v>291</v>
      </c>
      <c r="E2451" t="s">
        <v>642</v>
      </c>
      <c r="F2451" t="s">
        <v>661</v>
      </c>
      <c r="G2451" t="s">
        <v>3420</v>
      </c>
      <c r="AA2451">
        <v>66</v>
      </c>
      <c r="CH2451" t="str">
        <f t="shared" si="38"/>
        <v>D-0419</v>
      </c>
      <c r="CI2451" s="1" t="s">
        <v>102</v>
      </c>
    </row>
    <row r="2452" spans="1:87">
      <c r="A2452" t="s">
        <v>4073</v>
      </c>
      <c r="B2452">
        <v>30</v>
      </c>
      <c r="C2452" t="s">
        <v>3419</v>
      </c>
      <c r="D2452" t="s">
        <v>291</v>
      </c>
      <c r="E2452" t="s">
        <v>642</v>
      </c>
      <c r="F2452" t="s">
        <v>661</v>
      </c>
      <c r="G2452" t="s">
        <v>3420</v>
      </c>
      <c r="P2452">
        <v>30</v>
      </c>
      <c r="CH2452" t="str">
        <f t="shared" si="38"/>
        <v>D-0419</v>
      </c>
      <c r="CI2452" s="1" t="s">
        <v>102</v>
      </c>
    </row>
    <row r="2453" spans="1:87">
      <c r="A2453" t="s">
        <v>4074</v>
      </c>
      <c r="B2453">
        <v>66</v>
      </c>
      <c r="C2453" t="s">
        <v>3419</v>
      </c>
      <c r="D2453" t="s">
        <v>291</v>
      </c>
      <c r="E2453" t="s">
        <v>642</v>
      </c>
      <c r="F2453" t="s">
        <v>661</v>
      </c>
      <c r="G2453" t="s">
        <v>3420</v>
      </c>
      <c r="Q2453">
        <v>66</v>
      </c>
      <c r="CH2453" t="str">
        <f t="shared" si="38"/>
        <v>D-0419</v>
      </c>
      <c r="CI2453" s="1" t="s">
        <v>102</v>
      </c>
    </row>
    <row r="2454" spans="1:87">
      <c r="A2454" t="s">
        <v>4075</v>
      </c>
      <c r="B2454">
        <v>181</v>
      </c>
      <c r="C2454" t="s">
        <v>3419</v>
      </c>
      <c r="D2454" t="s">
        <v>291</v>
      </c>
      <c r="E2454" t="s">
        <v>642</v>
      </c>
      <c r="F2454" t="s">
        <v>661</v>
      </c>
      <c r="G2454" t="s">
        <v>3420</v>
      </c>
      <c r="R2454">
        <v>181</v>
      </c>
      <c r="CH2454" t="str">
        <f t="shared" si="38"/>
        <v>D-0419</v>
      </c>
      <c r="CI2454" s="1" t="s">
        <v>102</v>
      </c>
    </row>
    <row r="2455" spans="1:87">
      <c r="A2455" t="s">
        <v>4076</v>
      </c>
      <c r="B2455">
        <v>319</v>
      </c>
      <c r="C2455" t="s">
        <v>3419</v>
      </c>
      <c r="D2455" t="s">
        <v>291</v>
      </c>
      <c r="E2455" t="s">
        <v>642</v>
      </c>
      <c r="F2455" t="s">
        <v>661</v>
      </c>
      <c r="G2455" t="s">
        <v>3420</v>
      </c>
      <c r="S2455">
        <v>319</v>
      </c>
      <c r="CH2455" t="str">
        <f t="shared" si="38"/>
        <v>D-0419</v>
      </c>
      <c r="CI2455" s="1" t="s">
        <v>102</v>
      </c>
    </row>
    <row r="2456" spans="1:87">
      <c r="A2456" t="s">
        <v>4077</v>
      </c>
      <c r="B2456">
        <v>409</v>
      </c>
      <c r="C2456" t="s">
        <v>3419</v>
      </c>
      <c r="D2456" t="s">
        <v>291</v>
      </c>
      <c r="E2456" t="s">
        <v>642</v>
      </c>
      <c r="F2456" t="s">
        <v>661</v>
      </c>
      <c r="G2456" t="s">
        <v>3420</v>
      </c>
      <c r="T2456">
        <v>409</v>
      </c>
      <c r="CH2456" t="str">
        <f t="shared" si="38"/>
        <v>D-0419</v>
      </c>
      <c r="CI2456" s="1" t="s">
        <v>102</v>
      </c>
    </row>
    <row r="2457" spans="1:87">
      <c r="A2457" t="s">
        <v>4078</v>
      </c>
      <c r="B2457">
        <v>385</v>
      </c>
      <c r="C2457" t="s">
        <v>3419</v>
      </c>
      <c r="D2457" t="s">
        <v>291</v>
      </c>
      <c r="E2457" t="s">
        <v>642</v>
      </c>
      <c r="F2457" t="s">
        <v>661</v>
      </c>
      <c r="G2457" t="s">
        <v>3420</v>
      </c>
      <c r="U2457">
        <v>385</v>
      </c>
      <c r="CH2457" t="str">
        <f t="shared" si="38"/>
        <v>D-0419</v>
      </c>
      <c r="CI2457" s="1" t="s">
        <v>102</v>
      </c>
    </row>
    <row r="2458" spans="1:87">
      <c r="A2458" t="s">
        <v>4079</v>
      </c>
      <c r="B2458">
        <v>601</v>
      </c>
      <c r="C2458" t="s">
        <v>3419</v>
      </c>
      <c r="D2458" t="s">
        <v>291</v>
      </c>
      <c r="E2458" t="s">
        <v>642</v>
      </c>
      <c r="F2458" t="s">
        <v>661</v>
      </c>
      <c r="G2458" t="s">
        <v>3420</v>
      </c>
      <c r="V2458">
        <v>601</v>
      </c>
      <c r="CH2458" t="str">
        <f t="shared" si="38"/>
        <v>D-0419</v>
      </c>
      <c r="CI2458" s="1" t="s">
        <v>102</v>
      </c>
    </row>
    <row r="2459" spans="1:87">
      <c r="A2459" t="s">
        <v>4080</v>
      </c>
      <c r="B2459">
        <v>409</v>
      </c>
      <c r="C2459" t="s">
        <v>3419</v>
      </c>
      <c r="D2459" t="s">
        <v>291</v>
      </c>
      <c r="E2459" t="s">
        <v>642</v>
      </c>
      <c r="F2459" t="s">
        <v>661</v>
      </c>
      <c r="G2459" t="s">
        <v>3420</v>
      </c>
      <c r="W2459">
        <v>409</v>
      </c>
      <c r="CH2459" t="str">
        <f t="shared" si="38"/>
        <v>D-0419</v>
      </c>
      <c r="CI2459" s="1" t="s">
        <v>102</v>
      </c>
    </row>
    <row r="2460" spans="1:87">
      <c r="A2460" t="s">
        <v>4081</v>
      </c>
      <c r="B2460">
        <v>181</v>
      </c>
      <c r="C2460" t="s">
        <v>3419</v>
      </c>
      <c r="D2460" t="s">
        <v>291</v>
      </c>
      <c r="E2460" t="s">
        <v>642</v>
      </c>
      <c r="F2460" t="s">
        <v>661</v>
      </c>
      <c r="G2460" t="s">
        <v>3420</v>
      </c>
      <c r="X2460">
        <v>181</v>
      </c>
      <c r="CH2460" t="str">
        <f t="shared" si="38"/>
        <v>D-0419</v>
      </c>
      <c r="CI2460" s="1" t="s">
        <v>102</v>
      </c>
    </row>
    <row r="2461" spans="1:87">
      <c r="A2461" t="s">
        <v>4082</v>
      </c>
      <c r="B2461">
        <v>247</v>
      </c>
      <c r="C2461" t="s">
        <v>3419</v>
      </c>
      <c r="D2461" t="s">
        <v>291</v>
      </c>
      <c r="E2461" t="s">
        <v>642</v>
      </c>
      <c r="F2461" t="s">
        <v>661</v>
      </c>
      <c r="G2461" t="s">
        <v>3420</v>
      </c>
      <c r="Y2461">
        <v>247</v>
      </c>
      <c r="CH2461" t="str">
        <f t="shared" si="38"/>
        <v>D-0419</v>
      </c>
      <c r="CI2461" s="1" t="s">
        <v>102</v>
      </c>
    </row>
    <row r="2462" spans="1:87">
      <c r="A2462" t="s">
        <v>4083</v>
      </c>
      <c r="B2462">
        <v>145</v>
      </c>
      <c r="C2462" t="s">
        <v>3419</v>
      </c>
      <c r="D2462" t="s">
        <v>291</v>
      </c>
      <c r="E2462" t="s">
        <v>642</v>
      </c>
      <c r="F2462" t="s">
        <v>661</v>
      </c>
      <c r="G2462" t="s">
        <v>3420</v>
      </c>
      <c r="Z2462">
        <v>145</v>
      </c>
      <c r="CH2462" t="str">
        <f t="shared" si="38"/>
        <v>D-0419</v>
      </c>
      <c r="CI2462" s="1" t="s">
        <v>102</v>
      </c>
    </row>
    <row r="2463" spans="1:87">
      <c r="A2463" t="s">
        <v>4084</v>
      </c>
      <c r="B2463">
        <v>6</v>
      </c>
      <c r="C2463" t="s">
        <v>3419</v>
      </c>
      <c r="D2463" t="s">
        <v>291</v>
      </c>
      <c r="E2463" t="s">
        <v>642</v>
      </c>
      <c r="F2463" t="s">
        <v>661</v>
      </c>
      <c r="G2463" t="s">
        <v>3420</v>
      </c>
      <c r="AM2463">
        <v>6</v>
      </c>
      <c r="CH2463" t="str">
        <f t="shared" si="38"/>
        <v>D-0419</v>
      </c>
      <c r="CI2463" s="1" t="s">
        <v>102</v>
      </c>
    </row>
    <row r="2464" spans="1:87">
      <c r="A2464" t="s">
        <v>4085</v>
      </c>
      <c r="B2464">
        <v>6</v>
      </c>
      <c r="C2464" t="s">
        <v>3419</v>
      </c>
      <c r="D2464" t="s">
        <v>291</v>
      </c>
      <c r="E2464" t="s">
        <v>642</v>
      </c>
      <c r="F2464" t="s">
        <v>661</v>
      </c>
      <c r="G2464" t="s">
        <v>3420</v>
      </c>
      <c r="AK2464">
        <v>6</v>
      </c>
      <c r="CH2464" t="str">
        <f t="shared" si="38"/>
        <v>D-0419</v>
      </c>
      <c r="CI2464" s="1" t="s">
        <v>102</v>
      </c>
    </row>
    <row r="2465" spans="1:87">
      <c r="A2465" t="s">
        <v>4086</v>
      </c>
      <c r="B2465">
        <v>6</v>
      </c>
      <c r="C2465" t="s">
        <v>3419</v>
      </c>
      <c r="D2465" t="s">
        <v>291</v>
      </c>
      <c r="E2465" t="s">
        <v>642</v>
      </c>
      <c r="F2465" t="s">
        <v>661</v>
      </c>
      <c r="G2465" t="s">
        <v>3420</v>
      </c>
      <c r="AI2465">
        <v>6</v>
      </c>
      <c r="CH2465" t="str">
        <f t="shared" si="38"/>
        <v>D-0419</v>
      </c>
      <c r="CI2465" s="1" t="s">
        <v>102</v>
      </c>
    </row>
    <row r="2466" spans="1:87">
      <c r="A2466" t="s">
        <v>4087</v>
      </c>
      <c r="B2466">
        <v>6</v>
      </c>
      <c r="C2466" t="s">
        <v>3419</v>
      </c>
      <c r="D2466" t="s">
        <v>291</v>
      </c>
      <c r="E2466" t="s">
        <v>642</v>
      </c>
      <c r="F2466" t="s">
        <v>661</v>
      </c>
      <c r="G2466" t="s">
        <v>3420</v>
      </c>
      <c r="AH2466">
        <v>6</v>
      </c>
      <c r="CH2466" t="str">
        <f t="shared" si="38"/>
        <v>D-0419</v>
      </c>
      <c r="CI2466" s="1" t="s">
        <v>102</v>
      </c>
    </row>
    <row r="2467" spans="1:87">
      <c r="A2467" t="s">
        <v>4088</v>
      </c>
      <c r="B2467">
        <v>12</v>
      </c>
      <c r="C2467" t="s">
        <v>3419</v>
      </c>
      <c r="D2467" t="s">
        <v>291</v>
      </c>
      <c r="E2467" t="s">
        <v>642</v>
      </c>
      <c r="F2467" t="s">
        <v>661</v>
      </c>
      <c r="G2467" t="s">
        <v>3420</v>
      </c>
      <c r="AG2467">
        <v>12</v>
      </c>
      <c r="CH2467" t="str">
        <f t="shared" si="38"/>
        <v>D-0419</v>
      </c>
      <c r="CI2467" s="1" t="s">
        <v>102</v>
      </c>
    </row>
    <row r="2468" spans="1:87">
      <c r="A2468" t="s">
        <v>4089</v>
      </c>
      <c r="B2468">
        <v>6</v>
      </c>
      <c r="C2468" t="s">
        <v>3419</v>
      </c>
      <c r="D2468" t="s">
        <v>291</v>
      </c>
      <c r="E2468" t="s">
        <v>642</v>
      </c>
      <c r="F2468" t="s">
        <v>661</v>
      </c>
      <c r="G2468" t="s">
        <v>3420</v>
      </c>
      <c r="AF2468">
        <v>6</v>
      </c>
      <c r="CH2468" t="str">
        <f t="shared" si="38"/>
        <v>D-0419</v>
      </c>
      <c r="CI2468" s="1" t="s">
        <v>102</v>
      </c>
    </row>
    <row r="2469" spans="1:87">
      <c r="A2469" t="s">
        <v>4090</v>
      </c>
      <c r="B2469">
        <v>12</v>
      </c>
      <c r="C2469" t="s">
        <v>3419</v>
      </c>
      <c r="D2469" t="s">
        <v>291</v>
      </c>
      <c r="E2469" t="s">
        <v>642</v>
      </c>
      <c r="F2469" t="s">
        <v>661</v>
      </c>
      <c r="G2469" t="s">
        <v>3420</v>
      </c>
      <c r="AE2469">
        <v>12</v>
      </c>
      <c r="CH2469" t="str">
        <f t="shared" si="38"/>
        <v>D-0419</v>
      </c>
      <c r="CI2469" s="1" t="s">
        <v>102</v>
      </c>
    </row>
    <row r="2470" spans="1:87">
      <c r="A2470" t="s">
        <v>4091</v>
      </c>
      <c r="B2470">
        <v>12</v>
      </c>
      <c r="C2470" t="s">
        <v>3419</v>
      </c>
      <c r="D2470" t="s">
        <v>291</v>
      </c>
      <c r="E2470" t="s">
        <v>642</v>
      </c>
      <c r="F2470" t="s">
        <v>661</v>
      </c>
      <c r="G2470" t="s">
        <v>3420</v>
      </c>
      <c r="AD2470">
        <v>12</v>
      </c>
      <c r="CH2470" t="str">
        <f t="shared" si="38"/>
        <v>D-0419</v>
      </c>
      <c r="CI2470" s="1" t="s">
        <v>102</v>
      </c>
    </row>
    <row r="2471" spans="1:87">
      <c r="A2471" t="s">
        <v>4092</v>
      </c>
      <c r="B2471">
        <v>12</v>
      </c>
      <c r="C2471" t="s">
        <v>3419</v>
      </c>
      <c r="D2471" t="s">
        <v>291</v>
      </c>
      <c r="E2471" t="s">
        <v>642</v>
      </c>
      <c r="F2471" t="s">
        <v>661</v>
      </c>
      <c r="G2471" t="s">
        <v>3420</v>
      </c>
      <c r="AC2471">
        <v>12</v>
      </c>
      <c r="CH2471" t="str">
        <f t="shared" si="38"/>
        <v>D-0419</v>
      </c>
      <c r="CI2471" s="1" t="s">
        <v>102</v>
      </c>
    </row>
    <row r="2472" spans="1:87">
      <c r="A2472" t="s">
        <v>4093</v>
      </c>
      <c r="B2472">
        <v>12</v>
      </c>
      <c r="C2472" t="s">
        <v>3419</v>
      </c>
      <c r="D2472" t="s">
        <v>291</v>
      </c>
      <c r="E2472" t="s">
        <v>642</v>
      </c>
      <c r="F2472" t="s">
        <v>661</v>
      </c>
      <c r="G2472" t="s">
        <v>3420</v>
      </c>
      <c r="P2472">
        <v>12</v>
      </c>
      <c r="CH2472" t="str">
        <f t="shared" si="38"/>
        <v>D-0419</v>
      </c>
      <c r="CI2472" s="1" t="s">
        <v>102</v>
      </c>
    </row>
    <row r="2473" spans="1:87">
      <c r="A2473" t="s">
        <v>4094</v>
      </c>
      <c r="B2473">
        <v>30</v>
      </c>
      <c r="C2473" t="s">
        <v>3419</v>
      </c>
      <c r="D2473" t="s">
        <v>291</v>
      </c>
      <c r="E2473" t="s">
        <v>642</v>
      </c>
      <c r="F2473" t="s">
        <v>661</v>
      </c>
      <c r="G2473" t="s">
        <v>3420</v>
      </c>
      <c r="AB2473">
        <v>30</v>
      </c>
      <c r="CH2473" t="str">
        <f t="shared" si="38"/>
        <v>D-0419</v>
      </c>
      <c r="CI2473" s="1" t="s">
        <v>102</v>
      </c>
    </row>
    <row r="2474" spans="1:87">
      <c r="A2474" t="s">
        <v>4095</v>
      </c>
      <c r="B2474">
        <v>30</v>
      </c>
      <c r="C2474" t="s">
        <v>3419</v>
      </c>
      <c r="D2474" t="s">
        <v>291</v>
      </c>
      <c r="E2474" t="s">
        <v>642</v>
      </c>
      <c r="F2474" t="s">
        <v>661</v>
      </c>
      <c r="G2474" t="s">
        <v>3420</v>
      </c>
      <c r="AA2474">
        <v>30</v>
      </c>
      <c r="CH2474" t="str">
        <f t="shared" si="38"/>
        <v>D-0419</v>
      </c>
      <c r="CI2474" s="1" t="s">
        <v>102</v>
      </c>
    </row>
    <row r="2475" spans="1:87">
      <c r="A2475" t="s">
        <v>4096</v>
      </c>
      <c r="B2475">
        <v>54</v>
      </c>
      <c r="C2475" t="s">
        <v>3419</v>
      </c>
      <c r="D2475" t="s">
        <v>291</v>
      </c>
      <c r="E2475" t="s">
        <v>642</v>
      </c>
      <c r="F2475" t="s">
        <v>661</v>
      </c>
      <c r="G2475" t="s">
        <v>3420</v>
      </c>
      <c r="Z2475">
        <v>54</v>
      </c>
      <c r="CH2475" t="str">
        <f t="shared" si="38"/>
        <v>D-0419</v>
      </c>
      <c r="CI2475" s="1" t="s">
        <v>102</v>
      </c>
    </row>
    <row r="2476" spans="1:87">
      <c r="A2476" t="s">
        <v>4097</v>
      </c>
      <c r="B2476">
        <v>90</v>
      </c>
      <c r="C2476" t="s">
        <v>3419</v>
      </c>
      <c r="D2476" t="s">
        <v>291</v>
      </c>
      <c r="E2476" t="s">
        <v>642</v>
      </c>
      <c r="F2476" t="s">
        <v>661</v>
      </c>
      <c r="G2476" t="s">
        <v>3420</v>
      </c>
      <c r="Y2476">
        <v>90</v>
      </c>
      <c r="CH2476" t="str">
        <f t="shared" si="38"/>
        <v>D-0419</v>
      </c>
      <c r="CI2476" s="1" t="s">
        <v>102</v>
      </c>
    </row>
    <row r="2477" spans="1:87">
      <c r="A2477" t="s">
        <v>4098</v>
      </c>
      <c r="B2477">
        <v>66</v>
      </c>
      <c r="C2477" t="s">
        <v>3419</v>
      </c>
      <c r="D2477" t="s">
        <v>291</v>
      </c>
      <c r="E2477" t="s">
        <v>642</v>
      </c>
      <c r="F2477" t="s">
        <v>661</v>
      </c>
      <c r="G2477" t="s">
        <v>3420</v>
      </c>
      <c r="X2477">
        <v>66</v>
      </c>
      <c r="CH2477" t="str">
        <f t="shared" si="38"/>
        <v>D-0419</v>
      </c>
      <c r="CI2477" s="1" t="s">
        <v>102</v>
      </c>
    </row>
    <row r="2478" spans="1:87">
      <c r="A2478" t="s">
        <v>4099</v>
      </c>
      <c r="B2478">
        <v>175</v>
      </c>
      <c r="C2478" t="s">
        <v>3419</v>
      </c>
      <c r="D2478" t="s">
        <v>291</v>
      </c>
      <c r="E2478" t="s">
        <v>642</v>
      </c>
      <c r="F2478" t="s">
        <v>661</v>
      </c>
      <c r="G2478" t="s">
        <v>3420</v>
      </c>
      <c r="W2478">
        <v>175</v>
      </c>
      <c r="CH2478" t="str">
        <f t="shared" si="38"/>
        <v>D-0419</v>
      </c>
      <c r="CI2478" s="1" t="s">
        <v>102</v>
      </c>
    </row>
    <row r="2479" spans="1:87">
      <c r="A2479" t="s">
        <v>4100</v>
      </c>
      <c r="B2479">
        <v>247</v>
      </c>
      <c r="C2479" t="s">
        <v>3419</v>
      </c>
      <c r="D2479" t="s">
        <v>291</v>
      </c>
      <c r="E2479" t="s">
        <v>642</v>
      </c>
      <c r="F2479" t="s">
        <v>661</v>
      </c>
      <c r="G2479" t="s">
        <v>3420</v>
      </c>
      <c r="V2479">
        <v>247</v>
      </c>
      <c r="CH2479" t="str">
        <f t="shared" si="38"/>
        <v>D-0419</v>
      </c>
      <c r="CI2479" s="1" t="s">
        <v>102</v>
      </c>
    </row>
    <row r="2480" spans="1:87">
      <c r="A2480" t="s">
        <v>4101</v>
      </c>
      <c r="B2480">
        <v>163</v>
      </c>
      <c r="C2480" t="s">
        <v>3419</v>
      </c>
      <c r="D2480" t="s">
        <v>291</v>
      </c>
      <c r="E2480" t="s">
        <v>642</v>
      </c>
      <c r="F2480" t="s">
        <v>661</v>
      </c>
      <c r="G2480" t="s">
        <v>3420</v>
      </c>
      <c r="U2480">
        <v>163</v>
      </c>
      <c r="CH2480" t="str">
        <f t="shared" si="38"/>
        <v>D-0419</v>
      </c>
      <c r="CI2480" s="1" t="s">
        <v>102</v>
      </c>
    </row>
    <row r="2481" spans="1:87">
      <c r="A2481" t="s">
        <v>4102</v>
      </c>
      <c r="B2481">
        <v>175</v>
      </c>
      <c r="C2481" t="s">
        <v>3419</v>
      </c>
      <c r="D2481" t="s">
        <v>291</v>
      </c>
      <c r="E2481" t="s">
        <v>642</v>
      </c>
      <c r="F2481" t="s">
        <v>661</v>
      </c>
      <c r="G2481" t="s">
        <v>3420</v>
      </c>
      <c r="T2481">
        <v>175</v>
      </c>
      <c r="CH2481" t="str">
        <f t="shared" si="38"/>
        <v>D-0419</v>
      </c>
      <c r="CI2481" s="1" t="s">
        <v>102</v>
      </c>
    </row>
    <row r="2482" spans="1:87">
      <c r="A2482" t="s">
        <v>4103</v>
      </c>
      <c r="B2482">
        <v>127</v>
      </c>
      <c r="C2482" t="s">
        <v>3419</v>
      </c>
      <c r="D2482" t="s">
        <v>291</v>
      </c>
      <c r="E2482" t="s">
        <v>642</v>
      </c>
      <c r="F2482" t="s">
        <v>661</v>
      </c>
      <c r="G2482" t="s">
        <v>3420</v>
      </c>
      <c r="S2482">
        <v>127</v>
      </c>
      <c r="CH2482" t="str">
        <f t="shared" si="38"/>
        <v>D-0419</v>
      </c>
      <c r="CI2482" s="1" t="s">
        <v>102</v>
      </c>
    </row>
    <row r="2483" spans="1:87">
      <c r="A2483" t="s">
        <v>4104</v>
      </c>
      <c r="B2483">
        <v>66</v>
      </c>
      <c r="C2483" t="s">
        <v>3419</v>
      </c>
      <c r="D2483" t="s">
        <v>291</v>
      </c>
      <c r="E2483" t="s">
        <v>642</v>
      </c>
      <c r="F2483" t="s">
        <v>661</v>
      </c>
      <c r="G2483" t="s">
        <v>3420</v>
      </c>
      <c r="R2483">
        <v>66</v>
      </c>
      <c r="CH2483" t="str">
        <f t="shared" si="38"/>
        <v>D-0419</v>
      </c>
      <c r="CI2483" s="1" t="s">
        <v>102</v>
      </c>
    </row>
    <row r="2484" spans="1:87">
      <c r="A2484" t="s">
        <v>4105</v>
      </c>
      <c r="B2484">
        <v>30</v>
      </c>
      <c r="C2484" t="s">
        <v>3419</v>
      </c>
      <c r="D2484" t="s">
        <v>291</v>
      </c>
      <c r="E2484" t="s">
        <v>642</v>
      </c>
      <c r="F2484" t="s">
        <v>661</v>
      </c>
      <c r="G2484" t="s">
        <v>3420</v>
      </c>
      <c r="Q2484">
        <v>30</v>
      </c>
      <c r="CH2484" t="str">
        <f t="shared" si="38"/>
        <v>D-0419</v>
      </c>
      <c r="CI2484" s="1" t="s">
        <v>102</v>
      </c>
    </row>
    <row r="2485" spans="1:87">
      <c r="A2485" t="s">
        <v>4106</v>
      </c>
      <c r="B2485">
        <v>6</v>
      </c>
      <c r="C2485" t="s">
        <v>3419</v>
      </c>
      <c r="D2485" t="s">
        <v>291</v>
      </c>
      <c r="E2485" t="s">
        <v>642</v>
      </c>
      <c r="F2485" t="s">
        <v>661</v>
      </c>
      <c r="G2485" t="s">
        <v>3420</v>
      </c>
      <c r="Z2485">
        <v>6</v>
      </c>
      <c r="CH2485" t="str">
        <f t="shared" si="38"/>
        <v>D-0419</v>
      </c>
      <c r="CI2485" s="1" t="s">
        <v>102</v>
      </c>
    </row>
    <row r="2486" spans="1:87">
      <c r="A2486" t="s">
        <v>4107</v>
      </c>
      <c r="B2486">
        <v>6</v>
      </c>
      <c r="C2486" t="s">
        <v>3419</v>
      </c>
      <c r="D2486" t="s">
        <v>291</v>
      </c>
      <c r="E2486" t="s">
        <v>642</v>
      </c>
      <c r="F2486" t="s">
        <v>661</v>
      </c>
      <c r="G2486" t="s">
        <v>3420</v>
      </c>
      <c r="AA2486">
        <v>6</v>
      </c>
      <c r="CH2486" t="str">
        <f t="shared" si="38"/>
        <v>D-0419</v>
      </c>
      <c r="CI2486" s="1" t="s">
        <v>102</v>
      </c>
    </row>
    <row r="2487" spans="1:87">
      <c r="A2487" t="s">
        <v>4108</v>
      </c>
      <c r="B2487">
        <v>6</v>
      </c>
      <c r="C2487" t="s">
        <v>3419</v>
      </c>
      <c r="D2487" t="s">
        <v>291</v>
      </c>
      <c r="E2487" t="s">
        <v>642</v>
      </c>
      <c r="F2487" t="s">
        <v>661</v>
      </c>
      <c r="G2487" t="s">
        <v>3420</v>
      </c>
      <c r="AB2487">
        <v>6</v>
      </c>
      <c r="CH2487" t="str">
        <f t="shared" si="38"/>
        <v>D-0419</v>
      </c>
      <c r="CI2487" s="1" t="s">
        <v>102</v>
      </c>
    </row>
    <row r="2488" spans="1:87">
      <c r="A2488" t="s">
        <v>4109</v>
      </c>
      <c r="B2488">
        <v>6</v>
      </c>
      <c r="C2488" t="s">
        <v>3419</v>
      </c>
      <c r="D2488" t="s">
        <v>291</v>
      </c>
      <c r="E2488" t="s">
        <v>642</v>
      </c>
      <c r="F2488" t="s">
        <v>661</v>
      </c>
      <c r="G2488" t="s">
        <v>3420</v>
      </c>
      <c r="AC2488">
        <v>6</v>
      </c>
      <c r="CH2488" t="str">
        <f t="shared" si="38"/>
        <v>D-0419</v>
      </c>
      <c r="CI2488" s="1" t="s">
        <v>102</v>
      </c>
    </row>
    <row r="2489" spans="1:87">
      <c r="A2489" t="s">
        <v>4110</v>
      </c>
      <c r="B2489">
        <v>6</v>
      </c>
      <c r="C2489" t="s">
        <v>3419</v>
      </c>
      <c r="D2489" t="s">
        <v>291</v>
      </c>
      <c r="E2489" t="s">
        <v>642</v>
      </c>
      <c r="F2489" t="s">
        <v>661</v>
      </c>
      <c r="G2489" t="s">
        <v>3420</v>
      </c>
      <c r="AE2489">
        <v>6</v>
      </c>
      <c r="CH2489" t="str">
        <f t="shared" si="38"/>
        <v>D-0419</v>
      </c>
      <c r="CI2489" s="1" t="s">
        <v>102</v>
      </c>
    </row>
    <row r="2490" spans="1:87">
      <c r="A2490" t="s">
        <v>4111</v>
      </c>
      <c r="B2490">
        <v>6</v>
      </c>
      <c r="C2490" t="s">
        <v>3419</v>
      </c>
      <c r="D2490" t="s">
        <v>291</v>
      </c>
      <c r="E2490" t="s">
        <v>642</v>
      </c>
      <c r="F2490" t="s">
        <v>661</v>
      </c>
      <c r="G2490" t="s">
        <v>3420</v>
      </c>
      <c r="AF2490">
        <v>6</v>
      </c>
      <c r="CH2490" t="str">
        <f t="shared" si="38"/>
        <v>D-0419</v>
      </c>
      <c r="CI2490" s="1" t="s">
        <v>102</v>
      </c>
    </row>
    <row r="2491" spans="1:87">
      <c r="A2491" t="s">
        <v>4112</v>
      </c>
      <c r="B2491">
        <v>6</v>
      </c>
      <c r="C2491" t="s">
        <v>3419</v>
      </c>
      <c r="D2491" t="s">
        <v>291</v>
      </c>
      <c r="E2491" t="s">
        <v>642</v>
      </c>
      <c r="F2491" t="s">
        <v>661</v>
      </c>
      <c r="G2491" t="s">
        <v>3420</v>
      </c>
      <c r="AG2491">
        <v>6</v>
      </c>
      <c r="CH2491" t="str">
        <f t="shared" si="38"/>
        <v>D-0419</v>
      </c>
      <c r="CI2491" s="1" t="s">
        <v>102</v>
      </c>
    </row>
    <row r="2492" spans="1:87">
      <c r="A2492" t="s">
        <v>4113</v>
      </c>
      <c r="B2492">
        <v>6</v>
      </c>
      <c r="C2492" t="s">
        <v>3419</v>
      </c>
      <c r="D2492" t="s">
        <v>291</v>
      </c>
      <c r="E2492" t="s">
        <v>642</v>
      </c>
      <c r="F2492" t="s">
        <v>661</v>
      </c>
      <c r="G2492" t="s">
        <v>3420</v>
      </c>
      <c r="AH2492">
        <v>6</v>
      </c>
      <c r="CH2492" t="str">
        <f t="shared" si="38"/>
        <v>D-0419</v>
      </c>
      <c r="CI2492" s="1" t="s">
        <v>102</v>
      </c>
    </row>
    <row r="2493" spans="1:87">
      <c r="A2493" t="s">
        <v>4114</v>
      </c>
      <c r="B2493">
        <v>6</v>
      </c>
      <c r="C2493" t="s">
        <v>3419</v>
      </c>
      <c r="D2493" t="s">
        <v>291</v>
      </c>
      <c r="E2493" t="s">
        <v>642</v>
      </c>
      <c r="F2493" t="s">
        <v>661</v>
      </c>
      <c r="G2493" t="s">
        <v>3420</v>
      </c>
      <c r="AI2493">
        <v>6</v>
      </c>
      <c r="CH2493" t="str">
        <f t="shared" si="38"/>
        <v>D-0419</v>
      </c>
      <c r="CI2493" s="1" t="s">
        <v>102</v>
      </c>
    </row>
    <row r="2494" spans="1:87">
      <c r="A2494" t="s">
        <v>4115</v>
      </c>
      <c r="B2494">
        <v>6</v>
      </c>
      <c r="C2494" t="s">
        <v>3419</v>
      </c>
      <c r="D2494" t="s">
        <v>291</v>
      </c>
      <c r="E2494" t="s">
        <v>642</v>
      </c>
      <c r="F2494" t="s">
        <v>661</v>
      </c>
      <c r="G2494" t="s">
        <v>3420</v>
      </c>
      <c r="AK2494">
        <v>6</v>
      </c>
      <c r="CH2494" t="str">
        <f t="shared" si="38"/>
        <v>D-0419</v>
      </c>
      <c r="CI2494" s="1" t="s">
        <v>102</v>
      </c>
    </row>
    <row r="2495" spans="1:87">
      <c r="A2495" t="s">
        <v>4116</v>
      </c>
      <c r="B2495">
        <v>25</v>
      </c>
      <c r="C2495" t="s">
        <v>3419</v>
      </c>
      <c r="D2495" t="s">
        <v>291</v>
      </c>
      <c r="E2495" t="s">
        <v>642</v>
      </c>
      <c r="F2495" t="s">
        <v>661</v>
      </c>
      <c r="G2495" t="s">
        <v>3420</v>
      </c>
      <c r="Y2495">
        <v>25</v>
      </c>
      <c r="CH2495" t="str">
        <f t="shared" si="38"/>
        <v>D-0419</v>
      </c>
      <c r="CI2495" s="1" t="s">
        <v>102</v>
      </c>
    </row>
    <row r="2496" spans="1:87">
      <c r="A2496" t="s">
        <v>4117</v>
      </c>
      <c r="B2496">
        <v>13</v>
      </c>
      <c r="C2496" t="s">
        <v>3419</v>
      </c>
      <c r="D2496" t="s">
        <v>291</v>
      </c>
      <c r="E2496" t="s">
        <v>642</v>
      </c>
      <c r="F2496" t="s">
        <v>661</v>
      </c>
      <c r="G2496" t="s">
        <v>3420</v>
      </c>
      <c r="X2496">
        <v>13</v>
      </c>
      <c r="CH2496" t="str">
        <f t="shared" si="38"/>
        <v>D-0419</v>
      </c>
      <c r="CI2496" s="1" t="s">
        <v>102</v>
      </c>
    </row>
    <row r="2497" spans="1:87">
      <c r="A2497" t="s">
        <v>4118</v>
      </c>
      <c r="B2497">
        <v>38</v>
      </c>
      <c r="C2497" t="s">
        <v>3419</v>
      </c>
      <c r="D2497" t="s">
        <v>291</v>
      </c>
      <c r="E2497" t="s">
        <v>642</v>
      </c>
      <c r="F2497" t="s">
        <v>661</v>
      </c>
      <c r="G2497" t="s">
        <v>3420</v>
      </c>
      <c r="W2497">
        <v>38</v>
      </c>
      <c r="CH2497" t="str">
        <f t="shared" si="38"/>
        <v>D-0419</v>
      </c>
      <c r="CI2497" s="1" t="s">
        <v>102</v>
      </c>
    </row>
    <row r="2498" spans="1:87">
      <c r="A2498" t="s">
        <v>4119</v>
      </c>
      <c r="B2498">
        <v>38</v>
      </c>
      <c r="C2498" t="s">
        <v>3419</v>
      </c>
      <c r="D2498" t="s">
        <v>291</v>
      </c>
      <c r="E2498" t="s">
        <v>642</v>
      </c>
      <c r="F2498" t="s">
        <v>661</v>
      </c>
      <c r="G2498" t="s">
        <v>3420</v>
      </c>
      <c r="V2498">
        <v>38</v>
      </c>
      <c r="CH2498" t="str">
        <f t="shared" ref="CH2498:CH2561" si="39">TRIM(IFERROR(IFERROR(MID($D2498,FIND("(D-",$D2498)+1,6),LEFT($D2498,FIND("(",$D2498)-1)),$D2498))</f>
        <v>D-0419</v>
      </c>
      <c r="CI2498" s="1" t="s">
        <v>102</v>
      </c>
    </row>
    <row r="2499" spans="1:87">
      <c r="A2499" t="s">
        <v>4120</v>
      </c>
      <c r="B2499">
        <v>26</v>
      </c>
      <c r="C2499" t="s">
        <v>3419</v>
      </c>
      <c r="D2499" t="s">
        <v>291</v>
      </c>
      <c r="E2499" t="s">
        <v>642</v>
      </c>
      <c r="F2499" t="s">
        <v>661</v>
      </c>
      <c r="G2499" t="s">
        <v>3420</v>
      </c>
      <c r="U2499">
        <v>26</v>
      </c>
      <c r="CH2499" t="str">
        <f t="shared" si="39"/>
        <v>D-0419</v>
      </c>
      <c r="CI2499" s="1" t="s">
        <v>102</v>
      </c>
    </row>
    <row r="2500" spans="1:87">
      <c r="A2500" t="s">
        <v>4121</v>
      </c>
      <c r="B2500">
        <v>38</v>
      </c>
      <c r="C2500" t="s">
        <v>3419</v>
      </c>
      <c r="D2500" t="s">
        <v>291</v>
      </c>
      <c r="E2500" t="s">
        <v>642</v>
      </c>
      <c r="F2500" t="s">
        <v>661</v>
      </c>
      <c r="G2500" t="s">
        <v>3420</v>
      </c>
      <c r="T2500">
        <v>38</v>
      </c>
      <c r="CH2500" t="str">
        <f t="shared" si="39"/>
        <v>D-0419</v>
      </c>
      <c r="CI2500" s="1" t="s">
        <v>102</v>
      </c>
    </row>
    <row r="2501" spans="1:87">
      <c r="A2501" t="s">
        <v>4122</v>
      </c>
      <c r="B2501">
        <v>25</v>
      </c>
      <c r="C2501" t="s">
        <v>3419</v>
      </c>
      <c r="D2501" t="s">
        <v>291</v>
      </c>
      <c r="E2501" t="s">
        <v>642</v>
      </c>
      <c r="F2501" t="s">
        <v>661</v>
      </c>
      <c r="G2501" t="s">
        <v>3420</v>
      </c>
      <c r="S2501">
        <v>25</v>
      </c>
      <c r="CH2501" t="str">
        <f t="shared" si="39"/>
        <v>D-0419</v>
      </c>
      <c r="CI2501" s="1" t="s">
        <v>102</v>
      </c>
    </row>
    <row r="2502" spans="1:87">
      <c r="A2502" t="s">
        <v>4123</v>
      </c>
      <c r="B2502">
        <v>12</v>
      </c>
      <c r="C2502" t="s">
        <v>3419</v>
      </c>
      <c r="D2502" t="s">
        <v>291</v>
      </c>
      <c r="E2502" t="s">
        <v>642</v>
      </c>
      <c r="F2502" t="s">
        <v>661</v>
      </c>
      <c r="G2502" t="s">
        <v>3420</v>
      </c>
      <c r="R2502">
        <v>12</v>
      </c>
      <c r="CH2502" t="str">
        <f t="shared" si="39"/>
        <v>D-0419</v>
      </c>
      <c r="CI2502" s="1" t="s">
        <v>102</v>
      </c>
    </row>
    <row r="2503" spans="1:87">
      <c r="A2503" t="s">
        <v>4124</v>
      </c>
      <c r="B2503">
        <v>6</v>
      </c>
      <c r="C2503" t="s">
        <v>3419</v>
      </c>
      <c r="D2503" t="s">
        <v>291</v>
      </c>
      <c r="E2503" t="s">
        <v>642</v>
      </c>
      <c r="F2503" t="s">
        <v>661</v>
      </c>
      <c r="G2503" t="s">
        <v>3420</v>
      </c>
      <c r="Q2503">
        <v>6</v>
      </c>
      <c r="CH2503" t="str">
        <f t="shared" si="39"/>
        <v>D-0419</v>
      </c>
      <c r="CI2503" s="1" t="s">
        <v>102</v>
      </c>
    </row>
    <row r="2504" spans="1:87">
      <c r="A2504" t="s">
        <v>4125</v>
      </c>
      <c r="B2504">
        <v>6</v>
      </c>
      <c r="C2504" t="s">
        <v>3419</v>
      </c>
      <c r="D2504" t="s">
        <v>291</v>
      </c>
      <c r="E2504" t="s">
        <v>642</v>
      </c>
      <c r="F2504" t="s">
        <v>661</v>
      </c>
      <c r="G2504" t="s">
        <v>3420</v>
      </c>
      <c r="P2504">
        <v>6</v>
      </c>
      <c r="CH2504" t="str">
        <f t="shared" si="39"/>
        <v>D-0419</v>
      </c>
      <c r="CI2504" s="1" t="s">
        <v>102</v>
      </c>
    </row>
    <row r="2505" spans="1:87">
      <c r="A2505" t="s">
        <v>4131</v>
      </c>
      <c r="B2505">
        <v>6</v>
      </c>
      <c r="C2505" t="s">
        <v>951</v>
      </c>
      <c r="D2505" t="s">
        <v>233</v>
      </c>
      <c r="E2505" t="s">
        <v>642</v>
      </c>
      <c r="F2505" t="s">
        <v>657</v>
      </c>
      <c r="G2505" t="s">
        <v>952</v>
      </c>
      <c r="Z2505">
        <v>6</v>
      </c>
      <c r="CH2505" t="str">
        <f t="shared" si="39"/>
        <v>D-0265</v>
      </c>
      <c r="CI2505" s="1" t="s">
        <v>102</v>
      </c>
    </row>
    <row r="2506" spans="1:87">
      <c r="A2506" t="s">
        <v>4132</v>
      </c>
      <c r="B2506">
        <v>12</v>
      </c>
      <c r="C2506" t="s">
        <v>951</v>
      </c>
      <c r="D2506" t="s">
        <v>233</v>
      </c>
      <c r="E2506" t="s">
        <v>642</v>
      </c>
      <c r="F2506" t="s">
        <v>657</v>
      </c>
      <c r="G2506" t="s">
        <v>952</v>
      </c>
      <c r="Y2506">
        <v>12</v>
      </c>
      <c r="CH2506" t="str">
        <f t="shared" si="39"/>
        <v>D-0265</v>
      </c>
      <c r="CI2506" s="1" t="s">
        <v>102</v>
      </c>
    </row>
    <row r="2507" spans="1:87">
      <c r="A2507" t="s">
        <v>4133</v>
      </c>
      <c r="B2507">
        <v>24</v>
      </c>
      <c r="C2507" t="s">
        <v>951</v>
      </c>
      <c r="D2507" t="s">
        <v>233</v>
      </c>
      <c r="E2507" t="s">
        <v>642</v>
      </c>
      <c r="F2507" t="s">
        <v>657</v>
      </c>
      <c r="G2507" t="s">
        <v>952</v>
      </c>
      <c r="X2507">
        <v>24</v>
      </c>
      <c r="CH2507" t="str">
        <f t="shared" si="39"/>
        <v>D-0265</v>
      </c>
      <c r="CI2507" s="1" t="s">
        <v>102</v>
      </c>
    </row>
    <row r="2508" spans="1:87">
      <c r="A2508" t="s">
        <v>4134</v>
      </c>
      <c r="B2508">
        <v>35</v>
      </c>
      <c r="C2508" t="s">
        <v>951</v>
      </c>
      <c r="D2508" t="s">
        <v>233</v>
      </c>
      <c r="E2508" t="s">
        <v>642</v>
      </c>
      <c r="F2508" t="s">
        <v>657</v>
      </c>
      <c r="G2508" t="s">
        <v>952</v>
      </c>
      <c r="W2508">
        <v>35</v>
      </c>
      <c r="CH2508" t="str">
        <f t="shared" si="39"/>
        <v>D-0265</v>
      </c>
      <c r="CI2508" s="1" t="s">
        <v>102</v>
      </c>
    </row>
    <row r="2509" spans="1:87">
      <c r="A2509" t="s">
        <v>4135</v>
      </c>
      <c r="B2509">
        <v>48</v>
      </c>
      <c r="C2509" t="s">
        <v>951</v>
      </c>
      <c r="D2509" t="s">
        <v>233</v>
      </c>
      <c r="E2509" t="s">
        <v>642</v>
      </c>
      <c r="F2509" t="s">
        <v>657</v>
      </c>
      <c r="G2509" t="s">
        <v>952</v>
      </c>
      <c r="V2509">
        <v>48</v>
      </c>
      <c r="CH2509" t="str">
        <f t="shared" si="39"/>
        <v>D-0265</v>
      </c>
      <c r="CI2509" s="1" t="s">
        <v>102</v>
      </c>
    </row>
    <row r="2510" spans="1:87">
      <c r="A2510" t="s">
        <v>4136</v>
      </c>
      <c r="B2510">
        <v>38</v>
      </c>
      <c r="C2510" t="s">
        <v>951</v>
      </c>
      <c r="D2510" t="s">
        <v>233</v>
      </c>
      <c r="E2510" t="s">
        <v>642</v>
      </c>
      <c r="F2510" t="s">
        <v>657</v>
      </c>
      <c r="G2510" t="s">
        <v>952</v>
      </c>
      <c r="U2510">
        <v>38</v>
      </c>
      <c r="CH2510" t="str">
        <f t="shared" si="39"/>
        <v>D-0265</v>
      </c>
      <c r="CI2510" s="1" t="s">
        <v>102</v>
      </c>
    </row>
    <row r="2511" spans="1:87">
      <c r="A2511" t="s">
        <v>4137</v>
      </c>
      <c r="B2511">
        <v>47</v>
      </c>
      <c r="C2511" t="s">
        <v>951</v>
      </c>
      <c r="D2511" t="s">
        <v>233</v>
      </c>
      <c r="E2511" t="s">
        <v>642</v>
      </c>
      <c r="F2511" t="s">
        <v>657</v>
      </c>
      <c r="G2511" t="s">
        <v>952</v>
      </c>
      <c r="T2511">
        <v>47</v>
      </c>
      <c r="CH2511" t="str">
        <f t="shared" si="39"/>
        <v>D-0265</v>
      </c>
      <c r="CI2511" s="1" t="s">
        <v>102</v>
      </c>
    </row>
    <row r="2512" spans="1:87">
      <c r="A2512" t="s">
        <v>4138</v>
      </c>
      <c r="B2512">
        <v>39</v>
      </c>
      <c r="C2512" t="s">
        <v>951</v>
      </c>
      <c r="D2512" t="s">
        <v>233</v>
      </c>
      <c r="E2512" t="s">
        <v>642</v>
      </c>
      <c r="F2512" t="s">
        <v>657</v>
      </c>
      <c r="G2512" t="s">
        <v>952</v>
      </c>
      <c r="S2512">
        <v>39</v>
      </c>
      <c r="CH2512" t="str">
        <f t="shared" si="39"/>
        <v>D-0265</v>
      </c>
      <c r="CI2512" s="1" t="s">
        <v>102</v>
      </c>
    </row>
    <row r="2513" spans="1:87">
      <c r="A2513" t="s">
        <v>4139</v>
      </c>
      <c r="B2513">
        <v>23</v>
      </c>
      <c r="C2513" t="s">
        <v>951</v>
      </c>
      <c r="D2513" t="s">
        <v>233</v>
      </c>
      <c r="E2513" t="s">
        <v>642</v>
      </c>
      <c r="F2513" t="s">
        <v>657</v>
      </c>
      <c r="G2513" t="s">
        <v>952</v>
      </c>
      <c r="R2513">
        <v>23</v>
      </c>
      <c r="CH2513" t="str">
        <f t="shared" si="39"/>
        <v>D-0265</v>
      </c>
      <c r="CI2513" s="1" t="s">
        <v>102</v>
      </c>
    </row>
    <row r="2514" spans="1:87">
      <c r="A2514" t="s">
        <v>4140</v>
      </c>
      <c r="B2514">
        <v>10</v>
      </c>
      <c r="C2514" t="s">
        <v>951</v>
      </c>
      <c r="D2514" t="s">
        <v>233</v>
      </c>
      <c r="E2514" t="s">
        <v>642</v>
      </c>
      <c r="F2514" t="s">
        <v>657</v>
      </c>
      <c r="G2514" t="s">
        <v>952</v>
      </c>
      <c r="Q2514">
        <v>10</v>
      </c>
      <c r="CH2514" t="str">
        <f t="shared" si="39"/>
        <v>D-0265</v>
      </c>
      <c r="CI2514" s="1" t="s">
        <v>102</v>
      </c>
    </row>
    <row r="2515" spans="1:87">
      <c r="A2515" t="s">
        <v>4141</v>
      </c>
      <c r="B2515">
        <v>1</v>
      </c>
      <c r="C2515" t="s">
        <v>951</v>
      </c>
      <c r="D2515" t="s">
        <v>233</v>
      </c>
      <c r="E2515" t="s">
        <v>642</v>
      </c>
      <c r="F2515" t="s">
        <v>657</v>
      </c>
      <c r="G2515" t="s">
        <v>952</v>
      </c>
      <c r="P2515">
        <v>1</v>
      </c>
      <c r="CH2515" t="str">
        <f t="shared" si="39"/>
        <v>D-0265</v>
      </c>
      <c r="CI2515" s="1" t="s">
        <v>102</v>
      </c>
    </row>
    <row r="2516" spans="1:87">
      <c r="A2516" t="s">
        <v>4143</v>
      </c>
      <c r="B2516">
        <v>5419</v>
      </c>
      <c r="C2516" t="s">
        <v>1449</v>
      </c>
      <c r="D2516" t="s">
        <v>249</v>
      </c>
      <c r="E2516" t="s">
        <v>642</v>
      </c>
      <c r="F2516" t="s">
        <v>657</v>
      </c>
      <c r="G2516" t="s">
        <v>719</v>
      </c>
      <c r="P2516">
        <v>12</v>
      </c>
      <c r="Q2516">
        <v>204</v>
      </c>
      <c r="R2516">
        <v>240</v>
      </c>
      <c r="S2516">
        <v>600</v>
      </c>
      <c r="T2516">
        <v>541</v>
      </c>
      <c r="U2516">
        <v>684</v>
      </c>
      <c r="V2516">
        <v>660</v>
      </c>
      <c r="W2516">
        <v>780</v>
      </c>
      <c r="X2516">
        <v>362</v>
      </c>
      <c r="Y2516">
        <v>600</v>
      </c>
      <c r="Z2516">
        <v>240</v>
      </c>
      <c r="AA2516">
        <v>216</v>
      </c>
      <c r="AB2516">
        <v>144</v>
      </c>
      <c r="AC2516">
        <v>106</v>
      </c>
      <c r="AD2516">
        <v>30</v>
      </c>
      <c r="CH2516" t="str">
        <f t="shared" si="39"/>
        <v>D-0271</v>
      </c>
      <c r="CI2516" s="1" t="s">
        <v>102</v>
      </c>
    </row>
    <row r="2517" spans="1:87">
      <c r="A2517" t="s">
        <v>4144</v>
      </c>
      <c r="B2517">
        <v>4645</v>
      </c>
      <c r="C2517" t="s">
        <v>1449</v>
      </c>
      <c r="D2517" t="s">
        <v>249</v>
      </c>
      <c r="E2517" t="s">
        <v>642</v>
      </c>
      <c r="F2517" t="s">
        <v>657</v>
      </c>
      <c r="G2517" t="s">
        <v>719</v>
      </c>
      <c r="Q2517">
        <v>100</v>
      </c>
      <c r="R2517">
        <v>174</v>
      </c>
      <c r="S2517">
        <v>540</v>
      </c>
      <c r="T2517">
        <v>505</v>
      </c>
      <c r="U2517">
        <v>684</v>
      </c>
      <c r="V2517">
        <v>636</v>
      </c>
      <c r="W2517">
        <v>720</v>
      </c>
      <c r="X2517">
        <v>362</v>
      </c>
      <c r="Y2517">
        <v>600</v>
      </c>
      <c r="Z2517">
        <v>228</v>
      </c>
      <c r="AA2517">
        <v>96</v>
      </c>
      <c r="CH2517" t="str">
        <f t="shared" si="39"/>
        <v>D-0271</v>
      </c>
      <c r="CI2517" s="1" t="s">
        <v>102</v>
      </c>
    </row>
    <row r="2518" spans="1:87">
      <c r="A2518" t="s">
        <v>4145</v>
      </c>
      <c r="B2518">
        <v>3165</v>
      </c>
      <c r="C2518" t="s">
        <v>1449</v>
      </c>
      <c r="D2518" t="s">
        <v>249</v>
      </c>
      <c r="E2518" t="s">
        <v>642</v>
      </c>
      <c r="F2518" t="s">
        <v>657</v>
      </c>
      <c r="G2518" t="s">
        <v>719</v>
      </c>
      <c r="S2518">
        <v>426</v>
      </c>
      <c r="T2518">
        <v>391</v>
      </c>
      <c r="U2518">
        <v>540</v>
      </c>
      <c r="V2518">
        <v>504</v>
      </c>
      <c r="W2518">
        <v>606</v>
      </c>
      <c r="X2518">
        <v>248</v>
      </c>
      <c r="Y2518">
        <v>450</v>
      </c>
      <c r="CH2518" t="str">
        <f t="shared" si="39"/>
        <v>D-0271</v>
      </c>
      <c r="CI2518" s="1" t="s">
        <v>102</v>
      </c>
    </row>
    <row r="2519" spans="1:87">
      <c r="A2519" t="s">
        <v>4146</v>
      </c>
      <c r="B2519">
        <v>5587</v>
      </c>
      <c r="C2519" t="s">
        <v>1449</v>
      </c>
      <c r="D2519" t="s">
        <v>249</v>
      </c>
      <c r="E2519" t="s">
        <v>642</v>
      </c>
      <c r="F2519" t="s">
        <v>657</v>
      </c>
      <c r="G2519" t="s">
        <v>719</v>
      </c>
      <c r="P2519">
        <v>66</v>
      </c>
      <c r="Q2519">
        <v>192</v>
      </c>
      <c r="R2519">
        <v>240</v>
      </c>
      <c r="S2519">
        <v>540</v>
      </c>
      <c r="T2519">
        <v>541</v>
      </c>
      <c r="U2519">
        <v>600</v>
      </c>
      <c r="V2519">
        <v>720</v>
      </c>
      <c r="W2519">
        <v>780</v>
      </c>
      <c r="X2519">
        <v>362</v>
      </c>
      <c r="Y2519">
        <v>540</v>
      </c>
      <c r="Z2519">
        <v>264</v>
      </c>
      <c r="AA2519">
        <v>240</v>
      </c>
      <c r="AB2519">
        <v>204</v>
      </c>
      <c r="AC2519">
        <v>142</v>
      </c>
      <c r="AD2519">
        <v>156</v>
      </c>
      <c r="CH2519" t="str">
        <f t="shared" si="39"/>
        <v>D-0271</v>
      </c>
      <c r="CI2519" s="1" t="s">
        <v>102</v>
      </c>
    </row>
    <row r="2520" spans="1:87">
      <c r="A2520" t="s">
        <v>4147</v>
      </c>
      <c r="B2520">
        <v>4687</v>
      </c>
      <c r="C2520" t="s">
        <v>1449</v>
      </c>
      <c r="D2520" t="s">
        <v>249</v>
      </c>
      <c r="E2520" t="s">
        <v>642</v>
      </c>
      <c r="F2520" t="s">
        <v>657</v>
      </c>
      <c r="G2520" t="s">
        <v>719</v>
      </c>
      <c r="R2520">
        <v>186</v>
      </c>
      <c r="S2520">
        <v>516</v>
      </c>
      <c r="T2520">
        <v>481</v>
      </c>
      <c r="U2520">
        <v>600</v>
      </c>
      <c r="V2520">
        <v>708</v>
      </c>
      <c r="W2520">
        <v>780</v>
      </c>
      <c r="X2520">
        <v>338</v>
      </c>
      <c r="Y2520">
        <v>540</v>
      </c>
      <c r="Z2520">
        <v>240</v>
      </c>
      <c r="AA2520">
        <v>204</v>
      </c>
      <c r="AB2520">
        <v>94</v>
      </c>
      <c r="CH2520" t="str">
        <f t="shared" si="39"/>
        <v>D-0271</v>
      </c>
      <c r="CI2520" s="1" t="s">
        <v>102</v>
      </c>
    </row>
    <row r="2521" spans="1:87">
      <c r="A2521" t="s">
        <v>4148</v>
      </c>
      <c r="B2521">
        <v>3249</v>
      </c>
      <c r="C2521" t="s">
        <v>1449</v>
      </c>
      <c r="D2521" t="s">
        <v>249</v>
      </c>
      <c r="E2521" t="s">
        <v>642</v>
      </c>
      <c r="F2521" t="s">
        <v>657</v>
      </c>
      <c r="G2521" t="s">
        <v>719</v>
      </c>
      <c r="S2521">
        <v>398</v>
      </c>
      <c r="T2521">
        <v>343</v>
      </c>
      <c r="U2521">
        <v>488</v>
      </c>
      <c r="V2521">
        <v>576</v>
      </c>
      <c r="W2521">
        <v>640</v>
      </c>
      <c r="X2521">
        <v>212</v>
      </c>
      <c r="Y2521">
        <v>406</v>
      </c>
      <c r="Z2521">
        <v>102</v>
      </c>
      <c r="AA2521">
        <v>84</v>
      </c>
      <c r="CH2521" t="str">
        <f t="shared" si="39"/>
        <v>D-0271</v>
      </c>
      <c r="CI2521" s="1" t="s">
        <v>102</v>
      </c>
    </row>
    <row r="2522" spans="1:87">
      <c r="A2522" t="s">
        <v>4150</v>
      </c>
      <c r="B2522">
        <v>15003</v>
      </c>
      <c r="C2522" t="s">
        <v>752</v>
      </c>
      <c r="D2522" t="s">
        <v>210</v>
      </c>
      <c r="E2522" t="s">
        <v>642</v>
      </c>
      <c r="F2522" t="s">
        <v>633</v>
      </c>
      <c r="G2522" t="s">
        <v>2283</v>
      </c>
      <c r="P2522">
        <v>143</v>
      </c>
      <c r="Q2522">
        <v>233</v>
      </c>
      <c r="R2522">
        <v>1007</v>
      </c>
      <c r="S2522">
        <v>1221</v>
      </c>
      <c r="T2522">
        <v>1674</v>
      </c>
      <c r="U2522">
        <v>1760</v>
      </c>
      <c r="V2522">
        <v>2418</v>
      </c>
      <c r="W2522">
        <v>2046</v>
      </c>
      <c r="X2522">
        <v>1559</v>
      </c>
      <c r="Y2522">
        <v>1207</v>
      </c>
      <c r="Z2522">
        <v>962</v>
      </c>
      <c r="AA2522">
        <v>180</v>
      </c>
      <c r="AB2522">
        <v>508</v>
      </c>
      <c r="AC2522">
        <v>41</v>
      </c>
      <c r="AD2522">
        <v>44</v>
      </c>
      <c r="CH2522" t="str">
        <f t="shared" si="39"/>
        <v>D-0256</v>
      </c>
      <c r="CI2522" s="1" t="s">
        <v>102</v>
      </c>
    </row>
    <row r="2523" spans="1:87">
      <c r="A2523" t="s">
        <v>4151</v>
      </c>
      <c r="B2523">
        <v>4003</v>
      </c>
      <c r="C2523" t="s">
        <v>746</v>
      </c>
      <c r="D2523" t="s">
        <v>447</v>
      </c>
      <c r="E2523" t="s">
        <v>629</v>
      </c>
      <c r="F2523" t="s">
        <v>636</v>
      </c>
      <c r="G2523" t="s">
        <v>637</v>
      </c>
      <c r="S2523">
        <v>116</v>
      </c>
      <c r="T2523">
        <v>291</v>
      </c>
      <c r="U2523">
        <v>263</v>
      </c>
      <c r="V2523">
        <v>541</v>
      </c>
      <c r="W2523">
        <v>565</v>
      </c>
      <c r="X2523">
        <v>547</v>
      </c>
      <c r="Y2523">
        <v>525</v>
      </c>
      <c r="Z2523">
        <v>435</v>
      </c>
      <c r="AA2523">
        <v>231</v>
      </c>
      <c r="AB2523">
        <v>236</v>
      </c>
      <c r="AC2523">
        <v>55</v>
      </c>
      <c r="AD2523">
        <v>116</v>
      </c>
      <c r="AE2523">
        <v>16</v>
      </c>
      <c r="AF2523">
        <v>66</v>
      </c>
      <c r="CH2523" t="str">
        <f t="shared" si="39"/>
        <v>D-0686</v>
      </c>
      <c r="CI2523" s="1" t="s">
        <v>102</v>
      </c>
    </row>
    <row r="2524" spans="1:87">
      <c r="A2524" t="s">
        <v>4152</v>
      </c>
      <c r="B2524">
        <v>10003</v>
      </c>
      <c r="C2524" t="s">
        <v>1563</v>
      </c>
      <c r="D2524" t="s">
        <v>444</v>
      </c>
      <c r="E2524" t="s">
        <v>629</v>
      </c>
      <c r="F2524" t="s">
        <v>636</v>
      </c>
      <c r="G2524" t="s">
        <v>1562</v>
      </c>
      <c r="S2524">
        <v>288</v>
      </c>
      <c r="T2524">
        <v>728</v>
      </c>
      <c r="U2524">
        <v>658</v>
      </c>
      <c r="V2524">
        <v>1348</v>
      </c>
      <c r="W2524">
        <v>1412</v>
      </c>
      <c r="X2524">
        <v>1367</v>
      </c>
      <c r="Y2524">
        <v>1313</v>
      </c>
      <c r="Z2524">
        <v>1089</v>
      </c>
      <c r="AA2524">
        <v>579</v>
      </c>
      <c r="AB2524">
        <v>591</v>
      </c>
      <c r="AC2524">
        <v>136</v>
      </c>
      <c r="AD2524">
        <v>291</v>
      </c>
      <c r="AE2524">
        <v>36</v>
      </c>
      <c r="AF2524">
        <v>167</v>
      </c>
      <c r="CH2524" t="str">
        <f t="shared" si="39"/>
        <v>D-0686</v>
      </c>
      <c r="CI2524" s="1" t="s">
        <v>102</v>
      </c>
    </row>
    <row r="2525" spans="1:87">
      <c r="A2525" t="s">
        <v>4153</v>
      </c>
      <c r="B2525">
        <v>16</v>
      </c>
      <c r="C2525" t="s">
        <v>1382</v>
      </c>
      <c r="D2525" t="s">
        <v>540</v>
      </c>
      <c r="E2525" t="s">
        <v>676</v>
      </c>
      <c r="F2525" t="s">
        <v>1383</v>
      </c>
      <c r="Q2525">
        <v>1</v>
      </c>
      <c r="S2525">
        <v>1</v>
      </c>
      <c r="T2525">
        <v>2</v>
      </c>
      <c r="V2525">
        <v>2</v>
      </c>
      <c r="X2525">
        <v>2</v>
      </c>
      <c r="Z2525">
        <v>2</v>
      </c>
      <c r="AB2525">
        <v>2</v>
      </c>
      <c r="AC2525">
        <v>2</v>
      </c>
      <c r="AD2525">
        <v>1</v>
      </c>
      <c r="AF2525">
        <v>1</v>
      </c>
      <c r="CH2525" t="str">
        <f t="shared" si="39"/>
        <v>D-0345</v>
      </c>
      <c r="CI2525" s="1" t="s">
        <v>102</v>
      </c>
    </row>
    <row r="2526" spans="1:87">
      <c r="A2526" t="s">
        <v>4154</v>
      </c>
      <c r="B2526">
        <v>36</v>
      </c>
      <c r="C2526" t="s">
        <v>1382</v>
      </c>
      <c r="D2526" t="s">
        <v>540</v>
      </c>
      <c r="E2526" t="s">
        <v>676</v>
      </c>
      <c r="F2526" t="s">
        <v>1383</v>
      </c>
      <c r="M2526">
        <v>1</v>
      </c>
      <c r="O2526">
        <v>2</v>
      </c>
      <c r="P2526">
        <v>1</v>
      </c>
      <c r="R2526">
        <v>2</v>
      </c>
      <c r="T2526">
        <v>2</v>
      </c>
      <c r="V2526">
        <v>1</v>
      </c>
      <c r="X2526">
        <v>5</v>
      </c>
      <c r="Y2526">
        <v>1</v>
      </c>
      <c r="Z2526">
        <v>2</v>
      </c>
      <c r="AB2526">
        <v>1</v>
      </c>
      <c r="AC2526">
        <v>10</v>
      </c>
      <c r="AE2526">
        <v>2</v>
      </c>
      <c r="AF2526">
        <v>4</v>
      </c>
      <c r="AH2526">
        <v>1</v>
      </c>
      <c r="AJ2526">
        <v>1</v>
      </c>
      <c r="CH2526" t="str">
        <f t="shared" si="39"/>
        <v>D-0345</v>
      </c>
      <c r="CI2526" s="1" t="s">
        <v>102</v>
      </c>
    </row>
    <row r="2527" spans="1:87">
      <c r="A2527" t="s">
        <v>4155</v>
      </c>
      <c r="B2527">
        <v>99</v>
      </c>
      <c r="C2527" t="s">
        <v>3235</v>
      </c>
      <c r="D2527" t="s">
        <v>137</v>
      </c>
      <c r="E2527" t="s">
        <v>642</v>
      </c>
      <c r="F2527" t="s">
        <v>632</v>
      </c>
      <c r="G2527" t="s">
        <v>3236</v>
      </c>
      <c r="T2527">
        <v>99</v>
      </c>
      <c r="CH2527" t="str">
        <f t="shared" si="39"/>
        <v>D-0042</v>
      </c>
      <c r="CI2527" s="1" t="s">
        <v>102</v>
      </c>
    </row>
    <row r="2528" spans="1:87">
      <c r="A2528" t="s">
        <v>4156</v>
      </c>
      <c r="B2528">
        <v>6566</v>
      </c>
      <c r="C2528" t="s">
        <v>1060</v>
      </c>
      <c r="D2528" t="s">
        <v>137</v>
      </c>
      <c r="E2528" t="s">
        <v>629</v>
      </c>
      <c r="F2528" t="s">
        <v>645</v>
      </c>
      <c r="G2528" t="s">
        <v>4157</v>
      </c>
      <c r="O2528">
        <v>244</v>
      </c>
      <c r="P2528">
        <v>798</v>
      </c>
      <c r="Q2528">
        <v>618</v>
      </c>
      <c r="R2528">
        <v>1042</v>
      </c>
      <c r="S2528">
        <v>986</v>
      </c>
      <c r="T2528">
        <v>1118</v>
      </c>
      <c r="U2528">
        <v>458</v>
      </c>
      <c r="V2528">
        <v>774</v>
      </c>
      <c r="W2528">
        <v>232</v>
      </c>
      <c r="X2528">
        <v>170</v>
      </c>
      <c r="Y2528">
        <v>68</v>
      </c>
      <c r="Z2528">
        <v>58</v>
      </c>
      <c r="CH2528" t="str">
        <f t="shared" si="39"/>
        <v>D-0042</v>
      </c>
      <c r="CI2528" s="1" t="s">
        <v>102</v>
      </c>
    </row>
    <row r="2529" spans="1:87">
      <c r="A2529" t="s">
        <v>4158</v>
      </c>
      <c r="B2529">
        <v>4594</v>
      </c>
      <c r="C2529" t="s">
        <v>1060</v>
      </c>
      <c r="D2529" t="s">
        <v>137</v>
      </c>
      <c r="E2529" t="s">
        <v>629</v>
      </c>
      <c r="F2529" t="s">
        <v>645</v>
      </c>
      <c r="G2529" t="s">
        <v>4157</v>
      </c>
      <c r="N2529">
        <v>202</v>
      </c>
      <c r="O2529">
        <v>246</v>
      </c>
      <c r="P2529">
        <v>396</v>
      </c>
      <c r="Q2529">
        <v>774</v>
      </c>
      <c r="S2529">
        <v>834</v>
      </c>
      <c r="T2529">
        <v>468</v>
      </c>
      <c r="V2529">
        <v>150</v>
      </c>
      <c r="W2529">
        <v>642</v>
      </c>
      <c r="Y2529">
        <v>474</v>
      </c>
      <c r="Z2529">
        <v>288</v>
      </c>
      <c r="AA2529">
        <v>120</v>
      </c>
      <c r="CH2529" t="str">
        <f t="shared" si="39"/>
        <v>D-0042</v>
      </c>
      <c r="CI2529" s="1" t="s">
        <v>102</v>
      </c>
    </row>
    <row r="2530" spans="1:87">
      <c r="A2530" t="s">
        <v>4159</v>
      </c>
      <c r="B2530">
        <v>9533</v>
      </c>
      <c r="C2530" t="s">
        <v>2487</v>
      </c>
      <c r="D2530" t="s">
        <v>137</v>
      </c>
      <c r="E2530" t="s">
        <v>642</v>
      </c>
      <c r="F2530" t="s">
        <v>632</v>
      </c>
      <c r="G2530" t="s">
        <v>2705</v>
      </c>
      <c r="P2530">
        <v>252</v>
      </c>
      <c r="Q2530">
        <v>796</v>
      </c>
      <c r="R2530">
        <v>1288</v>
      </c>
      <c r="S2530">
        <v>1965</v>
      </c>
      <c r="T2530">
        <v>1915</v>
      </c>
      <c r="U2530">
        <v>1513</v>
      </c>
      <c r="V2530">
        <v>1174</v>
      </c>
      <c r="W2530">
        <v>485</v>
      </c>
      <c r="X2530">
        <v>120</v>
      </c>
      <c r="Y2530">
        <v>14</v>
      </c>
      <c r="Z2530">
        <v>11</v>
      </c>
      <c r="CH2530" t="str">
        <f t="shared" si="39"/>
        <v>D-0042</v>
      </c>
      <c r="CI2530" s="1" t="s">
        <v>102</v>
      </c>
    </row>
    <row r="2531" spans="1:87">
      <c r="A2531" t="s">
        <v>4160</v>
      </c>
      <c r="B2531">
        <v>6903</v>
      </c>
      <c r="C2531" t="s">
        <v>3235</v>
      </c>
      <c r="D2531" t="s">
        <v>137</v>
      </c>
      <c r="E2531" t="s">
        <v>642</v>
      </c>
      <c r="F2531" t="s">
        <v>632</v>
      </c>
      <c r="G2531" t="s">
        <v>3236</v>
      </c>
      <c r="P2531">
        <v>214</v>
      </c>
      <c r="Q2531">
        <v>636</v>
      </c>
      <c r="R2531">
        <v>1014</v>
      </c>
      <c r="S2531">
        <v>1479</v>
      </c>
      <c r="T2531">
        <v>1319</v>
      </c>
      <c r="U2531">
        <v>1021</v>
      </c>
      <c r="V2531">
        <v>830</v>
      </c>
      <c r="W2531">
        <v>297</v>
      </c>
      <c r="X2531">
        <v>71</v>
      </c>
      <c r="Y2531">
        <v>11</v>
      </c>
      <c r="Z2531">
        <v>11</v>
      </c>
      <c r="CH2531" t="str">
        <f t="shared" si="39"/>
        <v>D-0042</v>
      </c>
      <c r="CI2531" s="1" t="s">
        <v>102</v>
      </c>
    </row>
    <row r="2532" spans="1:87">
      <c r="A2532" t="s">
        <v>4161</v>
      </c>
      <c r="B2532">
        <v>24</v>
      </c>
      <c r="C2532" t="s">
        <v>638</v>
      </c>
      <c r="D2532" t="s">
        <v>177</v>
      </c>
      <c r="E2532" t="s">
        <v>639</v>
      </c>
      <c r="F2532" t="s">
        <v>640</v>
      </c>
      <c r="G2532" t="s">
        <v>641</v>
      </c>
      <c r="R2532">
        <v>24</v>
      </c>
      <c r="CH2532" t="str">
        <f t="shared" si="39"/>
        <v>D-0152</v>
      </c>
      <c r="CI2532" s="1" t="s">
        <v>102</v>
      </c>
    </row>
    <row r="2533" spans="1:87">
      <c r="A2533" t="s">
        <v>4162</v>
      </c>
      <c r="B2533">
        <v>24</v>
      </c>
      <c r="C2533" t="s">
        <v>638</v>
      </c>
      <c r="D2533" t="s">
        <v>177</v>
      </c>
      <c r="E2533" t="s">
        <v>639</v>
      </c>
      <c r="F2533" t="s">
        <v>640</v>
      </c>
      <c r="G2533" t="s">
        <v>641</v>
      </c>
      <c r="Q2533">
        <v>24</v>
      </c>
      <c r="CH2533" t="str">
        <f t="shared" si="39"/>
        <v>D-0152</v>
      </c>
      <c r="CI2533" s="1" t="s">
        <v>102</v>
      </c>
    </row>
    <row r="2534" spans="1:87">
      <c r="A2534" t="s">
        <v>4163</v>
      </c>
      <c r="B2534">
        <v>48</v>
      </c>
      <c r="C2534" t="s">
        <v>638</v>
      </c>
      <c r="D2534" t="s">
        <v>177</v>
      </c>
      <c r="E2534" t="s">
        <v>639</v>
      </c>
      <c r="F2534" t="s">
        <v>640</v>
      </c>
      <c r="G2534" t="s">
        <v>641</v>
      </c>
      <c r="P2534">
        <v>48</v>
      </c>
      <c r="CH2534" t="str">
        <f t="shared" si="39"/>
        <v>D-0152</v>
      </c>
      <c r="CI2534" s="1" t="s">
        <v>102</v>
      </c>
    </row>
    <row r="2535" spans="1:87">
      <c r="A2535" t="s">
        <v>4164</v>
      </c>
      <c r="B2535">
        <v>48</v>
      </c>
      <c r="C2535" t="s">
        <v>638</v>
      </c>
      <c r="D2535" t="s">
        <v>177</v>
      </c>
      <c r="E2535" t="s">
        <v>639</v>
      </c>
      <c r="F2535" t="s">
        <v>640</v>
      </c>
      <c r="G2535" t="s">
        <v>641</v>
      </c>
      <c r="O2535">
        <v>48</v>
      </c>
      <c r="CH2535" t="str">
        <f t="shared" si="39"/>
        <v>D-0152</v>
      </c>
      <c r="CI2535" s="1" t="s">
        <v>102</v>
      </c>
    </row>
    <row r="2536" spans="1:87">
      <c r="A2536" t="s">
        <v>4165</v>
      </c>
      <c r="B2536">
        <v>24</v>
      </c>
      <c r="C2536" t="s">
        <v>638</v>
      </c>
      <c r="D2536" t="s">
        <v>177</v>
      </c>
      <c r="E2536" t="s">
        <v>639</v>
      </c>
      <c r="F2536" t="s">
        <v>640</v>
      </c>
      <c r="G2536" t="s">
        <v>641</v>
      </c>
      <c r="N2536">
        <v>24</v>
      </c>
      <c r="CH2536" t="str">
        <f t="shared" si="39"/>
        <v>D-0152</v>
      </c>
      <c r="CI2536" s="1" t="s">
        <v>102</v>
      </c>
    </row>
    <row r="2537" spans="1:87">
      <c r="A2537" t="s">
        <v>4166</v>
      </c>
      <c r="B2537">
        <v>48</v>
      </c>
      <c r="C2537" t="s">
        <v>638</v>
      </c>
      <c r="D2537" t="s">
        <v>177</v>
      </c>
      <c r="E2537" t="s">
        <v>639</v>
      </c>
      <c r="F2537" t="s">
        <v>640</v>
      </c>
      <c r="G2537" t="s">
        <v>641</v>
      </c>
      <c r="M2537">
        <v>48</v>
      </c>
      <c r="CH2537" t="str">
        <f t="shared" si="39"/>
        <v>D-0152</v>
      </c>
      <c r="CI2537" s="1" t="s">
        <v>102</v>
      </c>
    </row>
    <row r="2538" spans="1:87">
      <c r="A2538" t="s">
        <v>4167</v>
      </c>
      <c r="B2538">
        <v>48</v>
      </c>
      <c r="C2538" t="s">
        <v>638</v>
      </c>
      <c r="D2538" t="s">
        <v>177</v>
      </c>
      <c r="E2538" t="s">
        <v>639</v>
      </c>
      <c r="F2538" t="s">
        <v>640</v>
      </c>
      <c r="G2538" t="s">
        <v>641</v>
      </c>
      <c r="L2538">
        <v>48</v>
      </c>
      <c r="CH2538" t="str">
        <f t="shared" si="39"/>
        <v>D-0152</v>
      </c>
      <c r="CI2538" s="1" t="s">
        <v>102</v>
      </c>
    </row>
    <row r="2539" spans="1:87">
      <c r="A2539" t="s">
        <v>4168</v>
      </c>
      <c r="B2539">
        <v>48</v>
      </c>
      <c r="C2539" t="s">
        <v>638</v>
      </c>
      <c r="D2539" t="s">
        <v>177</v>
      </c>
      <c r="E2539" t="s">
        <v>639</v>
      </c>
      <c r="F2539" t="s">
        <v>640</v>
      </c>
      <c r="G2539" t="s">
        <v>641</v>
      </c>
      <c r="K2539">
        <v>48</v>
      </c>
      <c r="CH2539" t="str">
        <f t="shared" si="39"/>
        <v>D-0152</v>
      </c>
      <c r="CI2539" s="1" t="s">
        <v>102</v>
      </c>
    </row>
    <row r="2540" spans="1:87">
      <c r="A2540" t="s">
        <v>4169</v>
      </c>
      <c r="B2540">
        <v>48</v>
      </c>
      <c r="C2540" t="s">
        <v>638</v>
      </c>
      <c r="D2540" t="s">
        <v>177</v>
      </c>
      <c r="E2540" t="s">
        <v>639</v>
      </c>
      <c r="F2540" t="s">
        <v>640</v>
      </c>
      <c r="G2540" t="s">
        <v>641</v>
      </c>
      <c r="J2540">
        <v>48</v>
      </c>
      <c r="CH2540" t="str">
        <f t="shared" si="39"/>
        <v>D-0152</v>
      </c>
      <c r="CI2540" s="1" t="s">
        <v>102</v>
      </c>
    </row>
    <row r="2541" spans="1:87">
      <c r="A2541" t="s">
        <v>4170</v>
      </c>
      <c r="B2541">
        <v>24</v>
      </c>
      <c r="C2541" t="s">
        <v>638</v>
      </c>
      <c r="D2541" t="s">
        <v>177</v>
      </c>
      <c r="E2541" t="s">
        <v>639</v>
      </c>
      <c r="F2541" t="s">
        <v>640</v>
      </c>
      <c r="G2541" t="s">
        <v>641</v>
      </c>
      <c r="H2541">
        <v>24</v>
      </c>
      <c r="CH2541" t="str">
        <f t="shared" si="39"/>
        <v>D-0152</v>
      </c>
      <c r="CI2541" s="1" t="s">
        <v>102</v>
      </c>
    </row>
    <row r="2542" spans="1:87">
      <c r="A2542" t="s">
        <v>4171</v>
      </c>
      <c r="B2542">
        <v>24</v>
      </c>
      <c r="C2542" t="s">
        <v>638</v>
      </c>
      <c r="D2542" t="s">
        <v>177</v>
      </c>
      <c r="E2542" t="s">
        <v>639</v>
      </c>
      <c r="F2542" t="s">
        <v>640</v>
      </c>
      <c r="G2542" t="s">
        <v>641</v>
      </c>
      <c r="CH2542" t="str">
        <f t="shared" si="39"/>
        <v>D-0152</v>
      </c>
      <c r="CI2542" s="1" t="s">
        <v>102</v>
      </c>
    </row>
    <row r="2543" spans="1:87">
      <c r="A2543" t="s">
        <v>4172</v>
      </c>
      <c r="B2543">
        <v>24</v>
      </c>
      <c r="C2543" t="s">
        <v>638</v>
      </c>
      <c r="D2543" t="s">
        <v>177</v>
      </c>
      <c r="E2543" t="s">
        <v>639</v>
      </c>
      <c r="F2543" t="s">
        <v>640</v>
      </c>
      <c r="G2543" t="s">
        <v>641</v>
      </c>
      <c r="CH2543" t="str">
        <f t="shared" si="39"/>
        <v>D-0152</v>
      </c>
      <c r="CI2543" s="1" t="s">
        <v>102</v>
      </c>
    </row>
    <row r="2544" spans="1:87">
      <c r="A2544" t="s">
        <v>4173</v>
      </c>
      <c r="B2544">
        <v>24</v>
      </c>
      <c r="C2544" t="s">
        <v>638</v>
      </c>
      <c r="D2544" t="s">
        <v>177</v>
      </c>
      <c r="E2544" t="s">
        <v>639</v>
      </c>
      <c r="F2544" t="s">
        <v>640</v>
      </c>
      <c r="G2544" t="s">
        <v>641</v>
      </c>
      <c r="CF2544">
        <v>24</v>
      </c>
      <c r="CH2544" t="str">
        <f t="shared" si="39"/>
        <v>D-0152</v>
      </c>
      <c r="CI2544" s="1" t="s">
        <v>102</v>
      </c>
    </row>
    <row r="2545" spans="1:87">
      <c r="A2545" t="s">
        <v>4174</v>
      </c>
      <c r="B2545">
        <v>24</v>
      </c>
      <c r="C2545" t="s">
        <v>638</v>
      </c>
      <c r="D2545" t="s">
        <v>177</v>
      </c>
      <c r="E2545" t="s">
        <v>639</v>
      </c>
      <c r="F2545" t="s">
        <v>640</v>
      </c>
      <c r="G2545" t="s">
        <v>641</v>
      </c>
      <c r="CE2545">
        <v>24</v>
      </c>
      <c r="CH2545" t="str">
        <f t="shared" si="39"/>
        <v>D-0152</v>
      </c>
      <c r="CI2545" s="1" t="s">
        <v>102</v>
      </c>
    </row>
    <row r="2546" spans="1:87">
      <c r="A2546" t="s">
        <v>4175</v>
      </c>
      <c r="B2546">
        <v>240</v>
      </c>
      <c r="C2546" t="s">
        <v>638</v>
      </c>
      <c r="D2546" t="s">
        <v>177</v>
      </c>
      <c r="E2546" t="s">
        <v>639</v>
      </c>
      <c r="F2546" t="s">
        <v>640</v>
      </c>
      <c r="G2546" t="s">
        <v>641</v>
      </c>
      <c r="S2546">
        <v>240</v>
      </c>
      <c r="CH2546" t="str">
        <f t="shared" si="39"/>
        <v>D-0152</v>
      </c>
      <c r="CI2546" s="1" t="s">
        <v>102</v>
      </c>
    </row>
    <row r="2547" spans="1:87">
      <c r="A2547" t="s">
        <v>4176</v>
      </c>
      <c r="B2547">
        <v>354</v>
      </c>
      <c r="C2547" t="s">
        <v>638</v>
      </c>
      <c r="D2547" t="s">
        <v>177</v>
      </c>
      <c r="E2547" t="s">
        <v>639</v>
      </c>
      <c r="F2547" t="s">
        <v>640</v>
      </c>
      <c r="G2547" t="s">
        <v>641</v>
      </c>
      <c r="R2547">
        <v>354</v>
      </c>
      <c r="CH2547" t="str">
        <f t="shared" si="39"/>
        <v>D-0152</v>
      </c>
      <c r="CI2547" s="1" t="s">
        <v>102</v>
      </c>
    </row>
    <row r="2548" spans="1:87">
      <c r="A2548" t="s">
        <v>4177</v>
      </c>
      <c r="B2548">
        <v>343</v>
      </c>
      <c r="C2548" t="s">
        <v>638</v>
      </c>
      <c r="D2548" t="s">
        <v>177</v>
      </c>
      <c r="E2548" t="s">
        <v>639</v>
      </c>
      <c r="F2548" t="s">
        <v>640</v>
      </c>
      <c r="G2548" t="s">
        <v>641</v>
      </c>
      <c r="Q2548">
        <v>343</v>
      </c>
      <c r="CH2548" t="str">
        <f t="shared" si="39"/>
        <v>D-0152</v>
      </c>
      <c r="CI2548" s="1" t="s">
        <v>102</v>
      </c>
    </row>
    <row r="2549" spans="1:87">
      <c r="A2549" t="s">
        <v>4178</v>
      </c>
      <c r="B2549">
        <v>449</v>
      </c>
      <c r="C2549" t="s">
        <v>638</v>
      </c>
      <c r="D2549" t="s">
        <v>177</v>
      </c>
      <c r="E2549" t="s">
        <v>639</v>
      </c>
      <c r="F2549" t="s">
        <v>640</v>
      </c>
      <c r="G2549" t="s">
        <v>641</v>
      </c>
      <c r="P2549">
        <v>449</v>
      </c>
      <c r="CH2549" t="str">
        <f t="shared" si="39"/>
        <v>D-0152</v>
      </c>
      <c r="CI2549" s="1" t="s">
        <v>102</v>
      </c>
    </row>
    <row r="2550" spans="1:87">
      <c r="A2550" t="s">
        <v>4179</v>
      </c>
      <c r="B2550">
        <v>294</v>
      </c>
      <c r="C2550" t="s">
        <v>638</v>
      </c>
      <c r="D2550" t="s">
        <v>177</v>
      </c>
      <c r="E2550" t="s">
        <v>639</v>
      </c>
      <c r="F2550" t="s">
        <v>640</v>
      </c>
      <c r="G2550" t="s">
        <v>641</v>
      </c>
      <c r="O2550">
        <v>294</v>
      </c>
      <c r="CH2550" t="str">
        <f t="shared" si="39"/>
        <v>D-0152</v>
      </c>
      <c r="CI2550" s="1" t="s">
        <v>102</v>
      </c>
    </row>
    <row r="2551" spans="1:87">
      <c r="A2551" t="s">
        <v>4180</v>
      </c>
      <c r="B2551">
        <v>171</v>
      </c>
      <c r="C2551" t="s">
        <v>638</v>
      </c>
      <c r="D2551" t="s">
        <v>177</v>
      </c>
      <c r="E2551" t="s">
        <v>639</v>
      </c>
      <c r="F2551" t="s">
        <v>640</v>
      </c>
      <c r="G2551" t="s">
        <v>641</v>
      </c>
      <c r="N2551">
        <v>171</v>
      </c>
      <c r="CH2551" t="str">
        <f t="shared" si="39"/>
        <v>D-0152</v>
      </c>
      <c r="CI2551" s="1" t="s">
        <v>102</v>
      </c>
    </row>
    <row r="2552" spans="1:87">
      <c r="A2552" t="s">
        <v>4181</v>
      </c>
      <c r="B2552">
        <v>299</v>
      </c>
      <c r="C2552" t="s">
        <v>638</v>
      </c>
      <c r="D2552" t="s">
        <v>177</v>
      </c>
      <c r="E2552" t="s">
        <v>639</v>
      </c>
      <c r="F2552" t="s">
        <v>640</v>
      </c>
      <c r="G2552" t="s">
        <v>641</v>
      </c>
      <c r="M2552">
        <v>299</v>
      </c>
      <c r="CH2552" t="str">
        <f t="shared" si="39"/>
        <v>D-0152</v>
      </c>
      <c r="CI2552" s="1" t="s">
        <v>102</v>
      </c>
    </row>
    <row r="2553" spans="1:87">
      <c r="A2553" t="s">
        <v>4182</v>
      </c>
      <c r="B2553">
        <v>47</v>
      </c>
      <c r="C2553" t="s">
        <v>638</v>
      </c>
      <c r="D2553" t="s">
        <v>177</v>
      </c>
      <c r="E2553" t="s">
        <v>639</v>
      </c>
      <c r="F2553" t="s">
        <v>640</v>
      </c>
      <c r="G2553" t="s">
        <v>641</v>
      </c>
      <c r="L2553">
        <v>47</v>
      </c>
      <c r="CH2553" t="str">
        <f t="shared" si="39"/>
        <v>D-0152</v>
      </c>
      <c r="CI2553" s="1" t="s">
        <v>102</v>
      </c>
    </row>
    <row r="2554" spans="1:87">
      <c r="A2554" t="s">
        <v>4183</v>
      </c>
      <c r="B2554">
        <v>262</v>
      </c>
      <c r="C2554" t="s">
        <v>638</v>
      </c>
      <c r="D2554" t="s">
        <v>177</v>
      </c>
      <c r="E2554" t="s">
        <v>639</v>
      </c>
      <c r="F2554" t="s">
        <v>640</v>
      </c>
      <c r="G2554" t="s">
        <v>641</v>
      </c>
      <c r="K2554">
        <v>262</v>
      </c>
      <c r="CH2554" t="str">
        <f t="shared" si="39"/>
        <v>D-0152</v>
      </c>
      <c r="CI2554" s="1" t="s">
        <v>102</v>
      </c>
    </row>
    <row r="2555" spans="1:87">
      <c r="A2555" t="s">
        <v>4184</v>
      </c>
      <c r="B2555">
        <v>40</v>
      </c>
      <c r="C2555" t="s">
        <v>638</v>
      </c>
      <c r="D2555" t="s">
        <v>177</v>
      </c>
      <c r="E2555" t="s">
        <v>639</v>
      </c>
      <c r="F2555" t="s">
        <v>640</v>
      </c>
      <c r="G2555" t="s">
        <v>641</v>
      </c>
      <c r="CC2555">
        <v>40</v>
      </c>
      <c r="CH2555" t="str">
        <f t="shared" si="39"/>
        <v>D-0152</v>
      </c>
      <c r="CI2555" s="1" t="s">
        <v>102</v>
      </c>
    </row>
    <row r="2556" spans="1:87">
      <c r="A2556" t="s">
        <v>4185</v>
      </c>
      <c r="B2556">
        <v>128</v>
      </c>
      <c r="C2556" t="s">
        <v>638</v>
      </c>
      <c r="D2556" t="s">
        <v>177</v>
      </c>
      <c r="E2556" t="s">
        <v>639</v>
      </c>
      <c r="F2556" t="s">
        <v>640</v>
      </c>
      <c r="G2556" t="s">
        <v>641</v>
      </c>
      <c r="CE2556">
        <v>128</v>
      </c>
      <c r="CH2556" t="str">
        <f t="shared" si="39"/>
        <v>D-0152</v>
      </c>
      <c r="CI2556" s="1" t="s">
        <v>102</v>
      </c>
    </row>
    <row r="2557" spans="1:87">
      <c r="A2557" t="s">
        <v>4186</v>
      </c>
      <c r="B2557">
        <v>67</v>
      </c>
      <c r="C2557" t="s">
        <v>638</v>
      </c>
      <c r="D2557" t="s">
        <v>177</v>
      </c>
      <c r="E2557" t="s">
        <v>639</v>
      </c>
      <c r="F2557" t="s">
        <v>640</v>
      </c>
      <c r="G2557" t="s">
        <v>641</v>
      </c>
      <c r="CF2557">
        <v>67</v>
      </c>
      <c r="CH2557" t="str">
        <f t="shared" si="39"/>
        <v>D-0152</v>
      </c>
      <c r="CI2557" s="1" t="s">
        <v>102</v>
      </c>
    </row>
    <row r="2558" spans="1:87">
      <c r="A2558" t="s">
        <v>4187</v>
      </c>
      <c r="B2558">
        <v>7</v>
      </c>
      <c r="C2558" t="s">
        <v>638</v>
      </c>
      <c r="D2558" t="s">
        <v>177</v>
      </c>
      <c r="E2558" t="s">
        <v>639</v>
      </c>
      <c r="F2558" t="s">
        <v>640</v>
      </c>
      <c r="G2558" t="s">
        <v>641</v>
      </c>
      <c r="CG2558">
        <v>7</v>
      </c>
      <c r="CH2558" t="str">
        <f t="shared" si="39"/>
        <v>D-0152</v>
      </c>
      <c r="CI2558" s="1" t="s">
        <v>102</v>
      </c>
    </row>
    <row r="2559" spans="1:87">
      <c r="A2559" t="s">
        <v>4188</v>
      </c>
      <c r="B2559">
        <v>96</v>
      </c>
      <c r="C2559" t="s">
        <v>638</v>
      </c>
      <c r="D2559" t="s">
        <v>177</v>
      </c>
      <c r="E2559" t="s">
        <v>639</v>
      </c>
      <c r="F2559" t="s">
        <v>640</v>
      </c>
      <c r="G2559" t="s">
        <v>641</v>
      </c>
      <c r="CH2559" t="str">
        <f t="shared" si="39"/>
        <v>D-0152</v>
      </c>
      <c r="CI2559" s="1" t="s">
        <v>102</v>
      </c>
    </row>
    <row r="2560" spans="1:87">
      <c r="A2560" t="s">
        <v>4189</v>
      </c>
      <c r="B2560">
        <v>21</v>
      </c>
      <c r="C2560" t="s">
        <v>638</v>
      </c>
      <c r="D2560" t="s">
        <v>177</v>
      </c>
      <c r="E2560" t="s">
        <v>639</v>
      </c>
      <c r="F2560" t="s">
        <v>640</v>
      </c>
      <c r="G2560" t="s">
        <v>641</v>
      </c>
      <c r="CH2560" t="str">
        <f t="shared" si="39"/>
        <v>D-0152</v>
      </c>
      <c r="CI2560" s="1" t="s">
        <v>102</v>
      </c>
    </row>
    <row r="2561" spans="1:87">
      <c r="A2561" t="s">
        <v>4190</v>
      </c>
      <c r="B2561">
        <v>125</v>
      </c>
      <c r="C2561" t="s">
        <v>638</v>
      </c>
      <c r="D2561" t="s">
        <v>177</v>
      </c>
      <c r="E2561" t="s">
        <v>639</v>
      </c>
      <c r="F2561" t="s">
        <v>640</v>
      </c>
      <c r="G2561" t="s">
        <v>641</v>
      </c>
      <c r="CH2561" t="str">
        <f t="shared" si="39"/>
        <v>D-0152</v>
      </c>
      <c r="CI2561" s="1" t="s">
        <v>102</v>
      </c>
    </row>
    <row r="2562" spans="1:87">
      <c r="A2562" t="s">
        <v>4191</v>
      </c>
      <c r="B2562">
        <v>219</v>
      </c>
      <c r="C2562" t="s">
        <v>638</v>
      </c>
      <c r="D2562" t="s">
        <v>177</v>
      </c>
      <c r="E2562" t="s">
        <v>639</v>
      </c>
      <c r="F2562" t="s">
        <v>640</v>
      </c>
      <c r="G2562" t="s">
        <v>641</v>
      </c>
      <c r="H2562">
        <v>219</v>
      </c>
      <c r="CH2562" t="str">
        <f t="shared" ref="CH2562:CH2625" si="40">TRIM(IFERROR(IFERROR(MID($D2562,FIND("(D-",$D2562)+1,6),LEFT($D2562,FIND("(",$D2562)-1)),$D2562))</f>
        <v>D-0152</v>
      </c>
      <c r="CI2562" s="1" t="s">
        <v>102</v>
      </c>
    </row>
    <row r="2563" spans="1:87">
      <c r="A2563" t="s">
        <v>4192</v>
      </c>
      <c r="B2563">
        <v>17</v>
      </c>
      <c r="C2563" t="s">
        <v>638</v>
      </c>
      <c r="D2563" t="s">
        <v>177</v>
      </c>
      <c r="E2563" t="s">
        <v>639</v>
      </c>
      <c r="F2563" t="s">
        <v>640</v>
      </c>
      <c r="G2563" t="s">
        <v>641</v>
      </c>
      <c r="I2563">
        <v>17</v>
      </c>
      <c r="CH2563" t="str">
        <f t="shared" si="40"/>
        <v>D-0152</v>
      </c>
      <c r="CI2563" s="1" t="s">
        <v>102</v>
      </c>
    </row>
    <row r="2564" spans="1:87">
      <c r="A2564" t="s">
        <v>4193</v>
      </c>
      <c r="B2564">
        <v>264</v>
      </c>
      <c r="C2564" t="s">
        <v>638</v>
      </c>
      <c r="D2564" t="s">
        <v>177</v>
      </c>
      <c r="E2564" t="s">
        <v>639</v>
      </c>
      <c r="F2564" t="s">
        <v>640</v>
      </c>
      <c r="G2564" t="s">
        <v>641</v>
      </c>
      <c r="J2564">
        <v>264</v>
      </c>
      <c r="CH2564" t="str">
        <f t="shared" si="40"/>
        <v>D-0152</v>
      </c>
      <c r="CI2564" s="1" t="s">
        <v>102</v>
      </c>
    </row>
    <row r="2565" spans="1:87">
      <c r="A2565" t="s">
        <v>4194</v>
      </c>
      <c r="B2565">
        <v>7</v>
      </c>
      <c r="C2565" t="s">
        <v>3361</v>
      </c>
      <c r="D2565" t="s">
        <v>177</v>
      </c>
      <c r="E2565" t="s">
        <v>639</v>
      </c>
      <c r="F2565" t="s">
        <v>640</v>
      </c>
      <c r="G2565" t="s">
        <v>3362</v>
      </c>
      <c r="R2565">
        <v>7</v>
      </c>
      <c r="CH2565" t="str">
        <f t="shared" si="40"/>
        <v>D-0152</v>
      </c>
      <c r="CI2565" s="1" t="s">
        <v>102</v>
      </c>
    </row>
    <row r="2566" spans="1:87">
      <c r="A2566" t="s">
        <v>4195</v>
      </c>
      <c r="B2566">
        <v>10</v>
      </c>
      <c r="C2566" t="s">
        <v>3361</v>
      </c>
      <c r="D2566" t="s">
        <v>177</v>
      </c>
      <c r="E2566" t="s">
        <v>639</v>
      </c>
      <c r="F2566" t="s">
        <v>640</v>
      </c>
      <c r="G2566" t="s">
        <v>3362</v>
      </c>
      <c r="Q2566">
        <v>10</v>
      </c>
      <c r="CH2566" t="str">
        <f t="shared" si="40"/>
        <v>D-0152</v>
      </c>
      <c r="CI2566" s="1" t="s">
        <v>102</v>
      </c>
    </row>
    <row r="2567" spans="1:87">
      <c r="A2567" t="s">
        <v>4196</v>
      </c>
      <c r="B2567">
        <v>11</v>
      </c>
      <c r="C2567" t="s">
        <v>3361</v>
      </c>
      <c r="D2567" t="s">
        <v>177</v>
      </c>
      <c r="E2567" t="s">
        <v>639</v>
      </c>
      <c r="F2567" t="s">
        <v>640</v>
      </c>
      <c r="G2567" t="s">
        <v>3362</v>
      </c>
      <c r="P2567">
        <v>11</v>
      </c>
      <c r="CH2567" t="str">
        <f t="shared" si="40"/>
        <v>D-0152</v>
      </c>
      <c r="CI2567" s="1" t="s">
        <v>102</v>
      </c>
    </row>
    <row r="2568" spans="1:87">
      <c r="A2568" t="s">
        <v>4197</v>
      </c>
      <c r="B2568">
        <v>11</v>
      </c>
      <c r="C2568" t="s">
        <v>3361</v>
      </c>
      <c r="D2568" t="s">
        <v>177</v>
      </c>
      <c r="E2568" t="s">
        <v>639</v>
      </c>
      <c r="F2568" t="s">
        <v>640</v>
      </c>
      <c r="G2568" t="s">
        <v>3362</v>
      </c>
      <c r="O2568">
        <v>11</v>
      </c>
      <c r="CH2568" t="str">
        <f t="shared" si="40"/>
        <v>D-0152</v>
      </c>
      <c r="CI2568" s="1" t="s">
        <v>102</v>
      </c>
    </row>
    <row r="2569" spans="1:87">
      <c r="A2569" t="s">
        <v>4198</v>
      </c>
      <c r="B2569">
        <v>10</v>
      </c>
      <c r="C2569" t="s">
        <v>3361</v>
      </c>
      <c r="D2569" t="s">
        <v>177</v>
      </c>
      <c r="E2569" t="s">
        <v>639</v>
      </c>
      <c r="F2569" t="s">
        <v>640</v>
      </c>
      <c r="G2569" t="s">
        <v>3362</v>
      </c>
      <c r="N2569">
        <v>10</v>
      </c>
      <c r="CH2569" t="str">
        <f t="shared" si="40"/>
        <v>D-0152</v>
      </c>
      <c r="CI2569" s="1" t="s">
        <v>102</v>
      </c>
    </row>
    <row r="2570" spans="1:87">
      <c r="A2570" t="s">
        <v>4199</v>
      </c>
      <c r="B2570">
        <v>11</v>
      </c>
      <c r="C2570" t="s">
        <v>3361</v>
      </c>
      <c r="D2570" t="s">
        <v>177</v>
      </c>
      <c r="E2570" t="s">
        <v>639</v>
      </c>
      <c r="F2570" t="s">
        <v>640</v>
      </c>
      <c r="G2570" t="s">
        <v>3362</v>
      </c>
      <c r="M2570">
        <v>11</v>
      </c>
      <c r="CH2570" t="str">
        <f t="shared" si="40"/>
        <v>D-0152</v>
      </c>
      <c r="CI2570" s="1" t="s">
        <v>102</v>
      </c>
    </row>
    <row r="2571" spans="1:87">
      <c r="A2571" t="s">
        <v>4200</v>
      </c>
      <c r="B2571">
        <v>33</v>
      </c>
      <c r="C2571" t="s">
        <v>3361</v>
      </c>
      <c r="D2571" t="s">
        <v>177</v>
      </c>
      <c r="E2571" t="s">
        <v>639</v>
      </c>
      <c r="F2571" t="s">
        <v>640</v>
      </c>
      <c r="G2571" t="s">
        <v>3362</v>
      </c>
      <c r="K2571">
        <v>33</v>
      </c>
      <c r="CH2571" t="str">
        <f t="shared" si="40"/>
        <v>D-0152</v>
      </c>
      <c r="CI2571" s="1" t="s">
        <v>102</v>
      </c>
    </row>
    <row r="2572" spans="1:87">
      <c r="A2572" t="s">
        <v>4201</v>
      </c>
      <c r="B2572">
        <v>41</v>
      </c>
      <c r="C2572" t="s">
        <v>3361</v>
      </c>
      <c r="D2572" t="s">
        <v>177</v>
      </c>
      <c r="E2572" t="s">
        <v>639</v>
      </c>
      <c r="F2572" t="s">
        <v>640</v>
      </c>
      <c r="G2572" t="s">
        <v>3362</v>
      </c>
      <c r="J2572">
        <v>41</v>
      </c>
      <c r="CH2572" t="str">
        <f t="shared" si="40"/>
        <v>D-0152</v>
      </c>
      <c r="CI2572" s="1" t="s">
        <v>102</v>
      </c>
    </row>
    <row r="2573" spans="1:87">
      <c r="A2573" t="s">
        <v>4202</v>
      </c>
      <c r="B2573">
        <v>27</v>
      </c>
      <c r="C2573" t="s">
        <v>3361</v>
      </c>
      <c r="D2573" t="s">
        <v>177</v>
      </c>
      <c r="E2573" t="s">
        <v>639</v>
      </c>
      <c r="F2573" t="s">
        <v>640</v>
      </c>
      <c r="G2573" t="s">
        <v>3362</v>
      </c>
      <c r="I2573">
        <v>27</v>
      </c>
      <c r="CH2573" t="str">
        <f t="shared" si="40"/>
        <v>D-0152</v>
      </c>
      <c r="CI2573" s="1" t="s">
        <v>102</v>
      </c>
    </row>
    <row r="2574" spans="1:87">
      <c r="A2574" t="s">
        <v>4203</v>
      </c>
      <c r="B2574">
        <v>27</v>
      </c>
      <c r="C2574" t="s">
        <v>3361</v>
      </c>
      <c r="D2574" t="s">
        <v>177</v>
      </c>
      <c r="E2574" t="s">
        <v>639</v>
      </c>
      <c r="F2574" t="s">
        <v>640</v>
      </c>
      <c r="G2574" t="s">
        <v>3362</v>
      </c>
      <c r="H2574">
        <v>27</v>
      </c>
      <c r="CH2574" t="str">
        <f t="shared" si="40"/>
        <v>D-0152</v>
      </c>
      <c r="CI2574" s="1" t="s">
        <v>102</v>
      </c>
    </row>
    <row r="2575" spans="1:87">
      <c r="A2575" t="s">
        <v>4204</v>
      </c>
      <c r="B2575">
        <v>44</v>
      </c>
      <c r="C2575" t="s">
        <v>3361</v>
      </c>
      <c r="D2575" t="s">
        <v>177</v>
      </c>
      <c r="E2575" t="s">
        <v>639</v>
      </c>
      <c r="F2575" t="s">
        <v>640</v>
      </c>
      <c r="G2575" t="s">
        <v>3362</v>
      </c>
      <c r="CH2575" t="str">
        <f t="shared" si="40"/>
        <v>D-0152</v>
      </c>
      <c r="CI2575" s="1" t="s">
        <v>102</v>
      </c>
    </row>
    <row r="2576" spans="1:87">
      <c r="A2576" t="s">
        <v>4205</v>
      </c>
      <c r="B2576">
        <v>23</v>
      </c>
      <c r="C2576" t="s">
        <v>3361</v>
      </c>
      <c r="D2576" t="s">
        <v>177</v>
      </c>
      <c r="E2576" t="s">
        <v>639</v>
      </c>
      <c r="F2576" t="s">
        <v>640</v>
      </c>
      <c r="G2576" t="s">
        <v>3362</v>
      </c>
      <c r="CH2576" t="str">
        <f t="shared" si="40"/>
        <v>D-0152</v>
      </c>
      <c r="CI2576" s="1" t="s">
        <v>102</v>
      </c>
    </row>
    <row r="2577" spans="1:87">
      <c r="A2577" t="s">
        <v>4206</v>
      </c>
      <c r="B2577">
        <v>33</v>
      </c>
      <c r="C2577" t="s">
        <v>3361</v>
      </c>
      <c r="D2577" t="s">
        <v>177</v>
      </c>
      <c r="E2577" t="s">
        <v>639</v>
      </c>
      <c r="F2577" t="s">
        <v>640</v>
      </c>
      <c r="G2577" t="s">
        <v>3362</v>
      </c>
      <c r="CH2577" t="str">
        <f t="shared" si="40"/>
        <v>D-0152</v>
      </c>
      <c r="CI2577" s="1" t="s">
        <v>102</v>
      </c>
    </row>
    <row r="2578" spans="1:87">
      <c r="A2578" t="s">
        <v>4207</v>
      </c>
      <c r="B2578">
        <v>22</v>
      </c>
      <c r="C2578" t="s">
        <v>3361</v>
      </c>
      <c r="D2578" t="s">
        <v>177</v>
      </c>
      <c r="E2578" t="s">
        <v>639</v>
      </c>
      <c r="F2578" t="s">
        <v>640</v>
      </c>
      <c r="G2578" t="s">
        <v>3362</v>
      </c>
      <c r="CG2578">
        <v>22</v>
      </c>
      <c r="CH2578" t="str">
        <f t="shared" si="40"/>
        <v>D-0152</v>
      </c>
      <c r="CI2578" s="1" t="s">
        <v>102</v>
      </c>
    </row>
    <row r="2579" spans="1:87">
      <c r="A2579" t="s">
        <v>4208</v>
      </c>
      <c r="B2579">
        <v>31</v>
      </c>
      <c r="C2579" t="s">
        <v>3361</v>
      </c>
      <c r="D2579" t="s">
        <v>177</v>
      </c>
      <c r="E2579" t="s">
        <v>639</v>
      </c>
      <c r="F2579" t="s">
        <v>640</v>
      </c>
      <c r="G2579" t="s">
        <v>3362</v>
      </c>
      <c r="CF2579">
        <v>31</v>
      </c>
      <c r="CH2579" t="str">
        <f t="shared" si="40"/>
        <v>D-0152</v>
      </c>
      <c r="CI2579" s="1" t="s">
        <v>102</v>
      </c>
    </row>
    <row r="2580" spans="1:87">
      <c r="A2580" t="s">
        <v>4209</v>
      </c>
      <c r="B2580">
        <v>28</v>
      </c>
      <c r="C2580" t="s">
        <v>3361</v>
      </c>
      <c r="D2580" t="s">
        <v>177</v>
      </c>
      <c r="E2580" t="s">
        <v>639</v>
      </c>
      <c r="F2580" t="s">
        <v>640</v>
      </c>
      <c r="G2580" t="s">
        <v>3362</v>
      </c>
      <c r="CE2580">
        <v>28</v>
      </c>
      <c r="CH2580" t="str">
        <f t="shared" si="40"/>
        <v>D-0152</v>
      </c>
      <c r="CI2580" s="1" t="s">
        <v>102</v>
      </c>
    </row>
    <row r="2581" spans="1:87">
      <c r="A2581" t="s">
        <v>4210</v>
      </c>
      <c r="B2581">
        <v>12</v>
      </c>
      <c r="C2581" t="s">
        <v>3361</v>
      </c>
      <c r="D2581" t="s">
        <v>177</v>
      </c>
      <c r="E2581" t="s">
        <v>639</v>
      </c>
      <c r="F2581" t="s">
        <v>640</v>
      </c>
      <c r="G2581" t="s">
        <v>3362</v>
      </c>
      <c r="CD2581">
        <v>12</v>
      </c>
      <c r="CH2581" t="str">
        <f t="shared" si="40"/>
        <v>D-0152</v>
      </c>
      <c r="CI2581" s="1" t="s">
        <v>102</v>
      </c>
    </row>
    <row r="2582" spans="1:87">
      <c r="A2582" t="s">
        <v>4211</v>
      </c>
      <c r="B2582">
        <v>14</v>
      </c>
      <c r="C2582" t="s">
        <v>3361</v>
      </c>
      <c r="D2582" t="s">
        <v>177</v>
      </c>
      <c r="E2582" t="s">
        <v>639</v>
      </c>
      <c r="F2582" t="s">
        <v>640</v>
      </c>
      <c r="G2582" t="s">
        <v>3362</v>
      </c>
      <c r="CC2582">
        <v>14</v>
      </c>
      <c r="CH2582" t="str">
        <f t="shared" si="40"/>
        <v>D-0152</v>
      </c>
      <c r="CI2582" s="1" t="s">
        <v>102</v>
      </c>
    </row>
    <row r="2583" spans="1:87">
      <c r="A2583" t="s">
        <v>4212</v>
      </c>
      <c r="B2583">
        <v>203</v>
      </c>
      <c r="C2583" t="s">
        <v>3361</v>
      </c>
      <c r="D2583" t="s">
        <v>177</v>
      </c>
      <c r="E2583" t="s">
        <v>639</v>
      </c>
      <c r="F2583" t="s">
        <v>640</v>
      </c>
      <c r="G2583" t="s">
        <v>3362</v>
      </c>
      <c r="J2583">
        <v>203</v>
      </c>
      <c r="CH2583" t="str">
        <f t="shared" si="40"/>
        <v>D-0152</v>
      </c>
      <c r="CI2583" s="1" t="s">
        <v>102</v>
      </c>
    </row>
    <row r="2584" spans="1:87">
      <c r="A2584" t="s">
        <v>4213</v>
      </c>
      <c r="B2584">
        <v>188</v>
      </c>
      <c r="C2584" t="s">
        <v>3361</v>
      </c>
      <c r="D2584" t="s">
        <v>177</v>
      </c>
      <c r="E2584" t="s">
        <v>639</v>
      </c>
      <c r="F2584" t="s">
        <v>640</v>
      </c>
      <c r="G2584" t="s">
        <v>3362</v>
      </c>
      <c r="K2584">
        <v>188</v>
      </c>
      <c r="CH2584" t="str">
        <f t="shared" si="40"/>
        <v>D-0152</v>
      </c>
      <c r="CI2584" s="1" t="s">
        <v>102</v>
      </c>
    </row>
    <row r="2585" spans="1:87">
      <c r="A2585" t="s">
        <v>4214</v>
      </c>
      <c r="B2585">
        <v>92</v>
      </c>
      <c r="C2585" t="s">
        <v>3361</v>
      </c>
      <c r="D2585" t="s">
        <v>177</v>
      </c>
      <c r="E2585" t="s">
        <v>639</v>
      </c>
      <c r="F2585" t="s">
        <v>640</v>
      </c>
      <c r="G2585" t="s">
        <v>3362</v>
      </c>
      <c r="L2585">
        <v>92</v>
      </c>
      <c r="CH2585" t="str">
        <f t="shared" si="40"/>
        <v>D-0152</v>
      </c>
      <c r="CI2585" s="1" t="s">
        <v>102</v>
      </c>
    </row>
    <row r="2586" spans="1:87">
      <c r="A2586" t="s">
        <v>4215</v>
      </c>
      <c r="B2586">
        <v>292</v>
      </c>
      <c r="C2586" t="s">
        <v>3361</v>
      </c>
      <c r="D2586" t="s">
        <v>177</v>
      </c>
      <c r="E2586" t="s">
        <v>639</v>
      </c>
      <c r="F2586" t="s">
        <v>640</v>
      </c>
      <c r="G2586" t="s">
        <v>3362</v>
      </c>
      <c r="M2586">
        <v>292</v>
      </c>
      <c r="CH2586" t="str">
        <f t="shared" si="40"/>
        <v>D-0152</v>
      </c>
      <c r="CI2586" s="1" t="s">
        <v>102</v>
      </c>
    </row>
    <row r="2587" spans="1:87">
      <c r="A2587" t="s">
        <v>4216</v>
      </c>
      <c r="B2587">
        <v>138</v>
      </c>
      <c r="C2587" t="s">
        <v>3361</v>
      </c>
      <c r="D2587" t="s">
        <v>177</v>
      </c>
      <c r="E2587" t="s">
        <v>639</v>
      </c>
      <c r="F2587" t="s">
        <v>640</v>
      </c>
      <c r="G2587" t="s">
        <v>3362</v>
      </c>
      <c r="N2587">
        <v>138</v>
      </c>
      <c r="CH2587" t="str">
        <f t="shared" si="40"/>
        <v>D-0152</v>
      </c>
      <c r="CI2587" s="1" t="s">
        <v>102</v>
      </c>
    </row>
    <row r="2588" spans="1:87">
      <c r="A2588" t="s">
        <v>4217</v>
      </c>
      <c r="B2588">
        <v>210</v>
      </c>
      <c r="C2588" t="s">
        <v>3361</v>
      </c>
      <c r="D2588" t="s">
        <v>177</v>
      </c>
      <c r="E2588" t="s">
        <v>639</v>
      </c>
      <c r="F2588" t="s">
        <v>640</v>
      </c>
      <c r="G2588" t="s">
        <v>3362</v>
      </c>
      <c r="O2588">
        <v>210</v>
      </c>
      <c r="CH2588" t="str">
        <f t="shared" si="40"/>
        <v>D-0152</v>
      </c>
      <c r="CI2588" s="1" t="s">
        <v>102</v>
      </c>
    </row>
    <row r="2589" spans="1:87">
      <c r="A2589" t="s">
        <v>4218</v>
      </c>
      <c r="B2589">
        <v>285</v>
      </c>
      <c r="C2589" t="s">
        <v>3361</v>
      </c>
      <c r="D2589" t="s">
        <v>177</v>
      </c>
      <c r="E2589" t="s">
        <v>639</v>
      </c>
      <c r="F2589" t="s">
        <v>640</v>
      </c>
      <c r="G2589" t="s">
        <v>3362</v>
      </c>
      <c r="P2589">
        <v>285</v>
      </c>
      <c r="CH2589" t="str">
        <f t="shared" si="40"/>
        <v>D-0152</v>
      </c>
      <c r="CI2589" s="1" t="s">
        <v>102</v>
      </c>
    </row>
    <row r="2590" spans="1:87">
      <c r="A2590" t="s">
        <v>4219</v>
      </c>
      <c r="B2590">
        <v>195</v>
      </c>
      <c r="C2590" t="s">
        <v>3361</v>
      </c>
      <c r="D2590" t="s">
        <v>177</v>
      </c>
      <c r="E2590" t="s">
        <v>639</v>
      </c>
      <c r="F2590" t="s">
        <v>640</v>
      </c>
      <c r="G2590" t="s">
        <v>3362</v>
      </c>
      <c r="Q2590">
        <v>195</v>
      </c>
      <c r="CH2590" t="str">
        <f t="shared" si="40"/>
        <v>D-0152</v>
      </c>
      <c r="CI2590" s="1" t="s">
        <v>102</v>
      </c>
    </row>
    <row r="2591" spans="1:87">
      <c r="A2591" t="s">
        <v>4220</v>
      </c>
      <c r="B2591">
        <v>192</v>
      </c>
      <c r="C2591" t="s">
        <v>3361</v>
      </c>
      <c r="D2591" t="s">
        <v>177</v>
      </c>
      <c r="E2591" t="s">
        <v>639</v>
      </c>
      <c r="F2591" t="s">
        <v>640</v>
      </c>
      <c r="G2591" t="s">
        <v>3362</v>
      </c>
      <c r="R2591">
        <v>192</v>
      </c>
      <c r="CH2591" t="str">
        <f t="shared" si="40"/>
        <v>D-0152</v>
      </c>
      <c r="CI2591" s="1" t="s">
        <v>102</v>
      </c>
    </row>
    <row r="2592" spans="1:87">
      <c r="A2592" t="s">
        <v>4221</v>
      </c>
      <c r="B2592">
        <v>230</v>
      </c>
      <c r="C2592" t="s">
        <v>3361</v>
      </c>
      <c r="D2592" t="s">
        <v>177</v>
      </c>
      <c r="E2592" t="s">
        <v>639</v>
      </c>
      <c r="F2592" t="s">
        <v>640</v>
      </c>
      <c r="G2592" t="s">
        <v>3362</v>
      </c>
      <c r="S2592">
        <v>230</v>
      </c>
      <c r="CH2592" t="str">
        <f t="shared" si="40"/>
        <v>D-0152</v>
      </c>
      <c r="CI2592" s="1" t="s">
        <v>102</v>
      </c>
    </row>
    <row r="2593" spans="1:87">
      <c r="A2593" t="s">
        <v>4222</v>
      </c>
      <c r="B2593">
        <v>40</v>
      </c>
      <c r="C2593" t="s">
        <v>3361</v>
      </c>
      <c r="D2593" t="s">
        <v>177</v>
      </c>
      <c r="E2593" t="s">
        <v>639</v>
      </c>
      <c r="F2593" t="s">
        <v>640</v>
      </c>
      <c r="G2593" t="s">
        <v>3362</v>
      </c>
      <c r="CC2593">
        <v>40</v>
      </c>
      <c r="CH2593" t="str">
        <f t="shared" si="40"/>
        <v>D-0152</v>
      </c>
      <c r="CI2593" s="1" t="s">
        <v>102</v>
      </c>
    </row>
    <row r="2594" spans="1:87">
      <c r="A2594" t="s">
        <v>4223</v>
      </c>
      <c r="B2594">
        <v>20</v>
      </c>
      <c r="C2594" t="s">
        <v>3361</v>
      </c>
      <c r="D2594" t="s">
        <v>177</v>
      </c>
      <c r="E2594" t="s">
        <v>639</v>
      </c>
      <c r="F2594" t="s">
        <v>640</v>
      </c>
      <c r="G2594" t="s">
        <v>3362</v>
      </c>
      <c r="CD2594">
        <v>20</v>
      </c>
      <c r="CH2594" t="str">
        <f t="shared" si="40"/>
        <v>D-0152</v>
      </c>
      <c r="CI2594" s="1" t="s">
        <v>102</v>
      </c>
    </row>
    <row r="2595" spans="1:87">
      <c r="A2595" t="s">
        <v>4224</v>
      </c>
      <c r="B2595">
        <v>75</v>
      </c>
      <c r="C2595" t="s">
        <v>3361</v>
      </c>
      <c r="D2595" t="s">
        <v>177</v>
      </c>
      <c r="E2595" t="s">
        <v>639</v>
      </c>
      <c r="F2595" t="s">
        <v>640</v>
      </c>
      <c r="G2595" t="s">
        <v>3362</v>
      </c>
      <c r="CE2595">
        <v>75</v>
      </c>
      <c r="CH2595" t="str">
        <f t="shared" si="40"/>
        <v>D-0152</v>
      </c>
      <c r="CI2595" s="1" t="s">
        <v>102</v>
      </c>
    </row>
    <row r="2596" spans="1:87">
      <c r="A2596" t="s">
        <v>4225</v>
      </c>
      <c r="B2596">
        <v>73</v>
      </c>
      <c r="C2596" t="s">
        <v>3361</v>
      </c>
      <c r="D2596" t="s">
        <v>177</v>
      </c>
      <c r="E2596" t="s">
        <v>639</v>
      </c>
      <c r="F2596" t="s">
        <v>640</v>
      </c>
      <c r="G2596" t="s">
        <v>3362</v>
      </c>
      <c r="CF2596">
        <v>73</v>
      </c>
      <c r="CH2596" t="str">
        <f t="shared" si="40"/>
        <v>D-0152</v>
      </c>
      <c r="CI2596" s="1" t="s">
        <v>102</v>
      </c>
    </row>
    <row r="2597" spans="1:87">
      <c r="A2597" t="s">
        <v>4226</v>
      </c>
      <c r="B2597">
        <v>29</v>
      </c>
      <c r="C2597" t="s">
        <v>3361</v>
      </c>
      <c r="D2597" t="s">
        <v>177</v>
      </c>
      <c r="E2597" t="s">
        <v>639</v>
      </c>
      <c r="F2597" t="s">
        <v>640</v>
      </c>
      <c r="G2597" t="s">
        <v>3362</v>
      </c>
      <c r="CG2597">
        <v>29</v>
      </c>
      <c r="CH2597" t="str">
        <f t="shared" si="40"/>
        <v>D-0152</v>
      </c>
      <c r="CI2597" s="1" t="s">
        <v>102</v>
      </c>
    </row>
    <row r="2598" spans="1:87">
      <c r="A2598" t="s">
        <v>4227</v>
      </c>
      <c r="B2598">
        <v>92</v>
      </c>
      <c r="C2598" t="s">
        <v>3361</v>
      </c>
      <c r="D2598" t="s">
        <v>177</v>
      </c>
      <c r="E2598" t="s">
        <v>639</v>
      </c>
      <c r="F2598" t="s">
        <v>640</v>
      </c>
      <c r="G2598" t="s">
        <v>3362</v>
      </c>
      <c r="CH2598" t="str">
        <f t="shared" si="40"/>
        <v>D-0152</v>
      </c>
      <c r="CI2598" s="1" t="s">
        <v>102</v>
      </c>
    </row>
    <row r="2599" spans="1:87">
      <c r="A2599" t="s">
        <v>4228</v>
      </c>
      <c r="B2599">
        <v>34</v>
      </c>
      <c r="C2599" t="s">
        <v>3361</v>
      </c>
      <c r="D2599" t="s">
        <v>177</v>
      </c>
      <c r="E2599" t="s">
        <v>639</v>
      </c>
      <c r="F2599" t="s">
        <v>640</v>
      </c>
      <c r="G2599" t="s">
        <v>3362</v>
      </c>
      <c r="CH2599" t="str">
        <f t="shared" si="40"/>
        <v>D-0152</v>
      </c>
      <c r="CI2599" s="1" t="s">
        <v>102</v>
      </c>
    </row>
    <row r="2600" spans="1:87">
      <c r="A2600" t="s">
        <v>4229</v>
      </c>
      <c r="B2600">
        <v>132</v>
      </c>
      <c r="C2600" t="s">
        <v>3361</v>
      </c>
      <c r="D2600" t="s">
        <v>177</v>
      </c>
      <c r="E2600" t="s">
        <v>639</v>
      </c>
      <c r="F2600" t="s">
        <v>640</v>
      </c>
      <c r="G2600" t="s">
        <v>3362</v>
      </c>
      <c r="CH2600" t="str">
        <f t="shared" si="40"/>
        <v>D-0152</v>
      </c>
      <c r="CI2600" s="1" t="s">
        <v>102</v>
      </c>
    </row>
    <row r="2601" spans="1:87">
      <c r="A2601" t="s">
        <v>4230</v>
      </c>
      <c r="B2601">
        <v>140</v>
      </c>
      <c r="C2601" t="s">
        <v>3361</v>
      </c>
      <c r="D2601" t="s">
        <v>177</v>
      </c>
      <c r="E2601" t="s">
        <v>639</v>
      </c>
      <c r="F2601" t="s">
        <v>640</v>
      </c>
      <c r="G2601" t="s">
        <v>3362</v>
      </c>
      <c r="H2601">
        <v>140</v>
      </c>
      <c r="CH2601" t="str">
        <f t="shared" si="40"/>
        <v>D-0152</v>
      </c>
      <c r="CI2601" s="1" t="s">
        <v>102</v>
      </c>
    </row>
    <row r="2602" spans="1:87">
      <c r="A2602" t="s">
        <v>4231</v>
      </c>
      <c r="B2602">
        <v>32</v>
      </c>
      <c r="C2602" t="s">
        <v>3361</v>
      </c>
      <c r="D2602" t="s">
        <v>177</v>
      </c>
      <c r="E2602" t="s">
        <v>639</v>
      </c>
      <c r="F2602" t="s">
        <v>640</v>
      </c>
      <c r="G2602" t="s">
        <v>3362</v>
      </c>
      <c r="I2602">
        <v>32</v>
      </c>
      <c r="CH2602" t="str">
        <f t="shared" si="40"/>
        <v>D-0152</v>
      </c>
      <c r="CI2602" s="1" t="s">
        <v>102</v>
      </c>
    </row>
    <row r="2603" spans="1:87">
      <c r="A2603" t="s">
        <v>4232</v>
      </c>
      <c r="B2603">
        <v>2310</v>
      </c>
      <c r="C2603" t="s">
        <v>1220</v>
      </c>
      <c r="D2603" t="s">
        <v>457</v>
      </c>
      <c r="E2603" t="s">
        <v>629</v>
      </c>
      <c r="F2603" t="s">
        <v>672</v>
      </c>
      <c r="G2603" t="s">
        <v>1004</v>
      </c>
      <c r="N2603">
        <v>56</v>
      </c>
      <c r="O2603">
        <v>92</v>
      </c>
      <c r="P2603">
        <v>112</v>
      </c>
      <c r="Q2603">
        <v>168</v>
      </c>
      <c r="R2603">
        <v>162</v>
      </c>
      <c r="S2603">
        <v>180</v>
      </c>
      <c r="T2603">
        <v>144</v>
      </c>
      <c r="U2603">
        <v>131</v>
      </c>
      <c r="V2603">
        <v>171</v>
      </c>
      <c r="W2603">
        <v>164</v>
      </c>
      <c r="X2603">
        <v>162</v>
      </c>
      <c r="Y2603">
        <v>145</v>
      </c>
      <c r="Z2603">
        <v>102</v>
      </c>
      <c r="AA2603">
        <v>129</v>
      </c>
      <c r="AB2603">
        <v>120</v>
      </c>
      <c r="AC2603">
        <v>90</v>
      </c>
      <c r="AD2603">
        <v>116</v>
      </c>
      <c r="AE2603">
        <v>18</v>
      </c>
      <c r="AF2603">
        <v>42</v>
      </c>
      <c r="AL2603">
        <v>6</v>
      </c>
      <c r="CH2603" t="str">
        <f t="shared" si="40"/>
        <v>JV1-0695-3</v>
      </c>
      <c r="CI2603" s="1" t="s">
        <v>102</v>
      </c>
    </row>
    <row r="2604" spans="1:87">
      <c r="A2604" t="s">
        <v>4233</v>
      </c>
      <c r="B2604">
        <v>5600</v>
      </c>
      <c r="C2604" t="s">
        <v>1035</v>
      </c>
      <c r="D2604" t="s">
        <v>457</v>
      </c>
      <c r="E2604" t="s">
        <v>629</v>
      </c>
      <c r="F2604" t="s">
        <v>1036</v>
      </c>
      <c r="G2604" t="s">
        <v>1037</v>
      </c>
      <c r="N2604">
        <v>91</v>
      </c>
      <c r="O2604">
        <v>270</v>
      </c>
      <c r="P2604">
        <v>338</v>
      </c>
      <c r="Q2604">
        <v>494</v>
      </c>
      <c r="R2604">
        <v>451</v>
      </c>
      <c r="S2604">
        <v>536</v>
      </c>
      <c r="T2604">
        <v>360</v>
      </c>
      <c r="U2604">
        <v>300</v>
      </c>
      <c r="V2604">
        <v>268</v>
      </c>
      <c r="W2604">
        <v>369</v>
      </c>
      <c r="X2604">
        <v>309</v>
      </c>
      <c r="Y2604">
        <v>457</v>
      </c>
      <c r="Z2604">
        <v>402</v>
      </c>
      <c r="AA2604">
        <v>325</v>
      </c>
      <c r="AB2604">
        <v>292</v>
      </c>
      <c r="AC2604">
        <v>148</v>
      </c>
      <c r="AD2604">
        <v>190</v>
      </c>
      <c r="CH2604" t="str">
        <f t="shared" si="40"/>
        <v>JV1-0695-3</v>
      </c>
      <c r="CI2604" s="1" t="s">
        <v>102</v>
      </c>
    </row>
    <row r="2605" spans="1:87">
      <c r="A2605" t="s">
        <v>4234</v>
      </c>
      <c r="B2605">
        <v>2006</v>
      </c>
      <c r="C2605" t="s">
        <v>734</v>
      </c>
      <c r="D2605" t="s">
        <v>210</v>
      </c>
      <c r="E2605" t="s">
        <v>629</v>
      </c>
      <c r="F2605" t="s">
        <v>633</v>
      </c>
      <c r="G2605" t="s">
        <v>2283</v>
      </c>
      <c r="T2605">
        <v>186</v>
      </c>
      <c r="V2605">
        <v>298</v>
      </c>
      <c r="W2605">
        <v>314</v>
      </c>
      <c r="X2605">
        <v>274</v>
      </c>
      <c r="Y2605">
        <v>309</v>
      </c>
      <c r="Z2605">
        <v>99</v>
      </c>
      <c r="AA2605">
        <v>105</v>
      </c>
      <c r="AB2605">
        <v>258</v>
      </c>
      <c r="AC2605">
        <v>28</v>
      </c>
      <c r="AD2605">
        <v>135</v>
      </c>
      <c r="CH2605" t="str">
        <f t="shared" si="40"/>
        <v>D-0256</v>
      </c>
      <c r="CI2605" s="1" t="s">
        <v>102</v>
      </c>
    </row>
    <row r="2606" spans="1:87">
      <c r="A2606" t="s">
        <v>4235</v>
      </c>
      <c r="B2606">
        <v>1711</v>
      </c>
      <c r="C2606" t="s">
        <v>1182</v>
      </c>
      <c r="D2606" t="s">
        <v>444</v>
      </c>
      <c r="E2606" t="s">
        <v>642</v>
      </c>
      <c r="F2606" t="s">
        <v>636</v>
      </c>
      <c r="G2606" t="s">
        <v>1183</v>
      </c>
      <c r="P2606">
        <v>100</v>
      </c>
      <c r="T2606">
        <v>126</v>
      </c>
      <c r="U2606">
        <v>378</v>
      </c>
      <c r="V2606">
        <v>390</v>
      </c>
      <c r="W2606">
        <v>240</v>
      </c>
      <c r="X2606">
        <v>291</v>
      </c>
      <c r="Y2606">
        <v>24</v>
      </c>
      <c r="Z2606">
        <v>156</v>
      </c>
      <c r="AA2606">
        <v>6</v>
      </c>
      <c r="CH2606" t="str">
        <f t="shared" si="40"/>
        <v>D-0686</v>
      </c>
      <c r="CI2606" s="1" t="s">
        <v>102</v>
      </c>
    </row>
    <row r="2607" spans="1:87">
      <c r="A2607" t="s">
        <v>4236</v>
      </c>
      <c r="B2607">
        <v>3261</v>
      </c>
      <c r="C2607" t="s">
        <v>1181</v>
      </c>
      <c r="D2607" t="s">
        <v>444</v>
      </c>
      <c r="E2607" t="s">
        <v>642</v>
      </c>
      <c r="F2607" t="s">
        <v>636</v>
      </c>
      <c r="G2607" t="s">
        <v>664</v>
      </c>
      <c r="P2607">
        <v>12</v>
      </c>
      <c r="Q2607">
        <v>98</v>
      </c>
      <c r="R2607">
        <v>309</v>
      </c>
      <c r="S2607">
        <v>407</v>
      </c>
      <c r="T2607">
        <v>648</v>
      </c>
      <c r="U2607">
        <v>677</v>
      </c>
      <c r="V2607">
        <v>503</v>
      </c>
      <c r="W2607">
        <v>290</v>
      </c>
      <c r="X2607">
        <v>137</v>
      </c>
      <c r="Y2607">
        <v>112</v>
      </c>
      <c r="Z2607">
        <v>39</v>
      </c>
      <c r="AA2607">
        <v>9</v>
      </c>
      <c r="AB2607">
        <v>19</v>
      </c>
      <c r="AC2607">
        <v>1</v>
      </c>
      <c r="CH2607" t="str">
        <f t="shared" si="40"/>
        <v>D-0686</v>
      </c>
      <c r="CI2607" s="1" t="s">
        <v>102</v>
      </c>
    </row>
    <row r="2608" spans="1:87">
      <c r="A2608" t="s">
        <v>4238</v>
      </c>
      <c r="B2608">
        <v>150</v>
      </c>
      <c r="C2608" t="s">
        <v>746</v>
      </c>
      <c r="D2608" t="s">
        <v>447</v>
      </c>
      <c r="E2608" t="s">
        <v>629</v>
      </c>
      <c r="F2608" t="s">
        <v>636</v>
      </c>
      <c r="G2608" t="s">
        <v>637</v>
      </c>
      <c r="R2608">
        <v>15</v>
      </c>
      <c r="AH2608">
        <v>79</v>
      </c>
      <c r="AJ2608">
        <v>56</v>
      </c>
      <c r="CH2608" t="str">
        <f t="shared" si="40"/>
        <v>D-0686</v>
      </c>
      <c r="CI2608" s="1" t="s">
        <v>102</v>
      </c>
    </row>
    <row r="2609" spans="1:87">
      <c r="A2609" t="s">
        <v>4239</v>
      </c>
      <c r="B2609">
        <v>1521</v>
      </c>
      <c r="C2609" t="s">
        <v>746</v>
      </c>
      <c r="D2609" t="s">
        <v>447</v>
      </c>
      <c r="E2609" t="s">
        <v>629</v>
      </c>
      <c r="F2609" t="s">
        <v>636</v>
      </c>
      <c r="G2609" t="s">
        <v>637</v>
      </c>
      <c r="R2609">
        <v>17</v>
      </c>
      <c r="X2609">
        <v>9</v>
      </c>
      <c r="Z2609">
        <v>392</v>
      </c>
      <c r="AA2609">
        <v>207</v>
      </c>
      <c r="AB2609">
        <v>375</v>
      </c>
      <c r="AC2609">
        <v>120</v>
      </c>
      <c r="AD2609">
        <v>175</v>
      </c>
      <c r="AE2609">
        <v>21</v>
      </c>
      <c r="AF2609">
        <v>120</v>
      </c>
      <c r="AH2609">
        <v>68</v>
      </c>
      <c r="AJ2609">
        <v>17</v>
      </c>
      <c r="CH2609" t="str">
        <f t="shared" si="40"/>
        <v>D-0686</v>
      </c>
      <c r="CI2609" s="1" t="s">
        <v>102</v>
      </c>
    </row>
    <row r="2610" spans="1:87">
      <c r="A2610" t="s">
        <v>4240</v>
      </c>
      <c r="B2610">
        <v>20</v>
      </c>
      <c r="C2610" t="s">
        <v>4241</v>
      </c>
      <c r="D2610" t="s">
        <v>444</v>
      </c>
      <c r="E2610" t="s">
        <v>629</v>
      </c>
      <c r="F2610" t="s">
        <v>636</v>
      </c>
      <c r="G2610" t="s">
        <v>4242</v>
      </c>
      <c r="W2610">
        <v>3</v>
      </c>
      <c r="X2610">
        <v>1</v>
      </c>
      <c r="Y2610">
        <v>5</v>
      </c>
      <c r="Z2610">
        <v>1</v>
      </c>
      <c r="AA2610">
        <v>2</v>
      </c>
      <c r="AB2610">
        <v>2</v>
      </c>
      <c r="AD2610">
        <v>4</v>
      </c>
      <c r="AF2610">
        <v>2</v>
      </c>
      <c r="CH2610" t="str">
        <f t="shared" si="40"/>
        <v>D-0686</v>
      </c>
      <c r="CI2610" s="1" t="s">
        <v>102</v>
      </c>
    </row>
    <row r="2611" spans="1:87">
      <c r="A2611" t="s">
        <v>4243</v>
      </c>
      <c r="B2611">
        <v>5903</v>
      </c>
      <c r="C2611" t="s">
        <v>1561</v>
      </c>
      <c r="D2611" t="s">
        <v>444</v>
      </c>
      <c r="E2611" t="s">
        <v>629</v>
      </c>
      <c r="F2611" t="s">
        <v>636</v>
      </c>
      <c r="G2611" t="s">
        <v>1562</v>
      </c>
      <c r="R2611">
        <v>22</v>
      </c>
      <c r="S2611">
        <v>514</v>
      </c>
      <c r="T2611">
        <v>740</v>
      </c>
      <c r="U2611">
        <v>614</v>
      </c>
      <c r="V2611">
        <v>800</v>
      </c>
      <c r="W2611">
        <v>1048</v>
      </c>
      <c r="X2611">
        <v>381</v>
      </c>
      <c r="Y2611">
        <v>842</v>
      </c>
      <c r="Z2611">
        <v>424</v>
      </c>
      <c r="AA2611">
        <v>370</v>
      </c>
      <c r="AB2611">
        <v>115</v>
      </c>
      <c r="AF2611">
        <v>33</v>
      </c>
      <c r="CH2611" t="str">
        <f t="shared" si="40"/>
        <v>D-0686</v>
      </c>
      <c r="CI2611" s="1" t="s">
        <v>102</v>
      </c>
    </row>
    <row r="2612" spans="1:87">
      <c r="A2612" t="s">
        <v>4244</v>
      </c>
      <c r="B2612">
        <v>153</v>
      </c>
      <c r="C2612" t="s">
        <v>1563</v>
      </c>
      <c r="D2612" t="s">
        <v>444</v>
      </c>
      <c r="E2612" t="s">
        <v>629</v>
      </c>
      <c r="F2612" t="s">
        <v>636</v>
      </c>
      <c r="G2612" t="s">
        <v>1562</v>
      </c>
      <c r="R2612">
        <v>50</v>
      </c>
      <c r="AE2612">
        <v>1</v>
      </c>
      <c r="AF2612">
        <v>19</v>
      </c>
      <c r="AH2612">
        <v>54</v>
      </c>
      <c r="AJ2612">
        <v>29</v>
      </c>
      <c r="CH2612" t="str">
        <f t="shared" si="40"/>
        <v>D-0686</v>
      </c>
      <c r="CI2612" s="1" t="s">
        <v>102</v>
      </c>
    </row>
    <row r="2613" spans="1:87">
      <c r="A2613" t="s">
        <v>4245</v>
      </c>
      <c r="B2613">
        <v>8558</v>
      </c>
      <c r="C2613" t="s">
        <v>3398</v>
      </c>
      <c r="D2613" t="s">
        <v>444</v>
      </c>
      <c r="E2613" t="s">
        <v>642</v>
      </c>
      <c r="F2613" t="s">
        <v>636</v>
      </c>
      <c r="G2613" t="s">
        <v>637</v>
      </c>
      <c r="P2613">
        <v>288</v>
      </c>
      <c r="Q2613">
        <v>161</v>
      </c>
      <c r="R2613">
        <v>794</v>
      </c>
      <c r="S2613">
        <v>816</v>
      </c>
      <c r="T2613">
        <v>1510</v>
      </c>
      <c r="U2613">
        <v>1313</v>
      </c>
      <c r="V2613">
        <v>1233</v>
      </c>
      <c r="W2613">
        <v>929</v>
      </c>
      <c r="X2613">
        <v>798</v>
      </c>
      <c r="Y2613">
        <v>276</v>
      </c>
      <c r="Z2613">
        <v>299</v>
      </c>
      <c r="AA2613">
        <v>57</v>
      </c>
      <c r="AB2613">
        <v>44</v>
      </c>
      <c r="AC2613">
        <v>19</v>
      </c>
      <c r="AD2613">
        <v>21</v>
      </c>
      <c r="CH2613" t="str">
        <f t="shared" si="40"/>
        <v>D-0686</v>
      </c>
      <c r="CI2613" s="1" t="s">
        <v>102</v>
      </c>
    </row>
    <row r="2614" spans="1:87">
      <c r="A2614" t="s">
        <v>4246</v>
      </c>
      <c r="B2614">
        <v>1595</v>
      </c>
      <c r="C2614" t="s">
        <v>2515</v>
      </c>
      <c r="D2614" t="s">
        <v>444</v>
      </c>
      <c r="E2614" t="s">
        <v>642</v>
      </c>
      <c r="F2614" t="s">
        <v>636</v>
      </c>
      <c r="G2614" t="s">
        <v>2516</v>
      </c>
      <c r="Q2614">
        <v>14</v>
      </c>
      <c r="R2614">
        <v>164</v>
      </c>
      <c r="S2614">
        <v>343</v>
      </c>
      <c r="T2614">
        <v>435</v>
      </c>
      <c r="U2614">
        <v>287</v>
      </c>
      <c r="V2614">
        <v>352</v>
      </c>
      <c r="CH2614" t="str">
        <f t="shared" si="40"/>
        <v>D-0686</v>
      </c>
      <c r="CI2614" s="1" t="s">
        <v>102</v>
      </c>
    </row>
    <row r="2615" spans="1:87">
      <c r="A2615" t="s">
        <v>4247</v>
      </c>
      <c r="B2615">
        <v>1080</v>
      </c>
      <c r="C2615" t="s">
        <v>2517</v>
      </c>
      <c r="D2615" t="s">
        <v>444</v>
      </c>
      <c r="E2615" t="s">
        <v>629</v>
      </c>
      <c r="F2615" t="s">
        <v>636</v>
      </c>
      <c r="G2615" t="s">
        <v>637</v>
      </c>
      <c r="R2615">
        <v>8</v>
      </c>
      <c r="S2615">
        <v>11</v>
      </c>
      <c r="T2615">
        <v>19</v>
      </c>
      <c r="U2615">
        <v>11</v>
      </c>
      <c r="V2615">
        <v>42</v>
      </c>
      <c r="W2615">
        <v>59</v>
      </c>
      <c r="X2615">
        <v>89</v>
      </c>
      <c r="Y2615">
        <v>127</v>
      </c>
      <c r="Z2615">
        <v>132</v>
      </c>
      <c r="AA2615">
        <v>142</v>
      </c>
      <c r="AB2615">
        <v>140</v>
      </c>
      <c r="AC2615">
        <v>92</v>
      </c>
      <c r="AD2615">
        <v>110</v>
      </c>
      <c r="AE2615">
        <v>22</v>
      </c>
      <c r="AF2615">
        <v>46</v>
      </c>
      <c r="AH2615">
        <v>19</v>
      </c>
      <c r="AJ2615">
        <v>11</v>
      </c>
      <c r="CH2615" t="str">
        <f t="shared" si="40"/>
        <v>D-0686</v>
      </c>
      <c r="CI2615" s="1" t="s">
        <v>102</v>
      </c>
    </row>
    <row r="2616" spans="1:87">
      <c r="A2616" t="s">
        <v>4248</v>
      </c>
      <c r="B2616">
        <v>365</v>
      </c>
      <c r="C2616" t="s">
        <v>1182</v>
      </c>
      <c r="D2616" t="s">
        <v>444</v>
      </c>
      <c r="E2616" t="s">
        <v>642</v>
      </c>
      <c r="F2616" t="s">
        <v>636</v>
      </c>
      <c r="G2616" t="s">
        <v>1183</v>
      </c>
      <c r="T2616">
        <v>47</v>
      </c>
      <c r="U2616">
        <v>55</v>
      </c>
      <c r="V2616">
        <v>94</v>
      </c>
      <c r="W2616">
        <v>64</v>
      </c>
      <c r="X2616">
        <v>50</v>
      </c>
      <c r="Y2616">
        <v>47</v>
      </c>
      <c r="Z2616">
        <v>8</v>
      </c>
      <c r="CH2616" t="str">
        <f t="shared" si="40"/>
        <v>D-0686</v>
      </c>
      <c r="CI2616" s="1" t="s">
        <v>102</v>
      </c>
    </row>
    <row r="2617" spans="1:87">
      <c r="A2617" t="s">
        <v>4249</v>
      </c>
      <c r="B2617">
        <v>113</v>
      </c>
      <c r="C2617" t="s">
        <v>746</v>
      </c>
      <c r="D2617" t="s">
        <v>447</v>
      </c>
      <c r="E2617" t="s">
        <v>629</v>
      </c>
      <c r="F2617" t="s">
        <v>636</v>
      </c>
      <c r="G2617" t="s">
        <v>637</v>
      </c>
      <c r="R2617">
        <v>2</v>
      </c>
      <c r="X2617">
        <v>61</v>
      </c>
      <c r="Z2617">
        <v>32</v>
      </c>
      <c r="AA2617">
        <v>15</v>
      </c>
      <c r="AB2617">
        <v>3</v>
      </c>
      <c r="CH2617" t="str">
        <f t="shared" si="40"/>
        <v>D-0686</v>
      </c>
      <c r="CI2617" s="1" t="s">
        <v>102</v>
      </c>
    </row>
    <row r="2618" spans="1:87">
      <c r="A2618" t="s">
        <v>4250</v>
      </c>
      <c r="B2618">
        <v>2591</v>
      </c>
      <c r="C2618" t="s">
        <v>2583</v>
      </c>
      <c r="D2618" t="s">
        <v>200</v>
      </c>
      <c r="E2618" t="s">
        <v>629</v>
      </c>
      <c r="F2618" t="s">
        <v>632</v>
      </c>
      <c r="G2618" t="s">
        <v>2693</v>
      </c>
      <c r="R2618">
        <v>9</v>
      </c>
      <c r="S2618">
        <v>13</v>
      </c>
      <c r="T2618">
        <v>33</v>
      </c>
      <c r="U2618">
        <v>37</v>
      </c>
      <c r="W2618">
        <v>382</v>
      </c>
      <c r="X2618">
        <v>393</v>
      </c>
      <c r="Y2618">
        <v>386</v>
      </c>
      <c r="Z2618">
        <v>400</v>
      </c>
      <c r="AA2618">
        <v>7</v>
      </c>
      <c r="AB2618">
        <v>14</v>
      </c>
      <c r="AC2618">
        <v>30</v>
      </c>
      <c r="AD2618">
        <v>402</v>
      </c>
      <c r="AE2618">
        <v>27</v>
      </c>
      <c r="AF2618">
        <v>380</v>
      </c>
      <c r="AH2618">
        <v>49</v>
      </c>
      <c r="AJ2618">
        <v>29</v>
      </c>
      <c r="CH2618" t="str">
        <f t="shared" si="40"/>
        <v>D-0212</v>
      </c>
      <c r="CI2618" s="1" t="s">
        <v>102</v>
      </c>
    </row>
    <row r="2619" spans="1:87">
      <c r="A2619" t="s">
        <v>4251</v>
      </c>
      <c r="B2619">
        <v>1519</v>
      </c>
      <c r="C2619" t="s">
        <v>2583</v>
      </c>
      <c r="D2619" t="s">
        <v>200</v>
      </c>
      <c r="E2619" t="s">
        <v>629</v>
      </c>
      <c r="F2619" t="s">
        <v>632</v>
      </c>
      <c r="G2619" t="s">
        <v>2693</v>
      </c>
      <c r="R2619">
        <v>11</v>
      </c>
      <c r="S2619">
        <v>18</v>
      </c>
      <c r="T2619">
        <v>26</v>
      </c>
      <c r="U2619">
        <v>57</v>
      </c>
      <c r="AA2619">
        <v>443</v>
      </c>
      <c r="AB2619">
        <v>438</v>
      </c>
      <c r="AC2619">
        <v>425</v>
      </c>
      <c r="AE2619">
        <v>37</v>
      </c>
      <c r="AH2619">
        <v>42</v>
      </c>
      <c r="AJ2619">
        <v>22</v>
      </c>
      <c r="CH2619" t="str">
        <f t="shared" si="40"/>
        <v>D-0212</v>
      </c>
      <c r="CI2619" s="1" t="s">
        <v>102</v>
      </c>
    </row>
    <row r="2620" spans="1:87">
      <c r="A2620" t="s">
        <v>4252</v>
      </c>
      <c r="B2620">
        <v>11859</v>
      </c>
      <c r="C2620" t="s">
        <v>2585</v>
      </c>
      <c r="D2620" t="s">
        <v>200</v>
      </c>
      <c r="E2620" t="s">
        <v>629</v>
      </c>
      <c r="F2620" t="s">
        <v>632</v>
      </c>
      <c r="G2620" t="s">
        <v>2593</v>
      </c>
      <c r="R2620">
        <v>20</v>
      </c>
      <c r="S2620">
        <v>32</v>
      </c>
      <c r="T2620">
        <v>68</v>
      </c>
      <c r="U2620">
        <v>152</v>
      </c>
      <c r="V2620">
        <v>584</v>
      </c>
      <c r="W2620">
        <v>392</v>
      </c>
      <c r="X2620">
        <v>1121</v>
      </c>
      <c r="Y2620">
        <v>1274</v>
      </c>
      <c r="Z2620">
        <v>1502</v>
      </c>
      <c r="AA2620">
        <v>1550</v>
      </c>
      <c r="AB2620">
        <v>1580</v>
      </c>
      <c r="AC2620">
        <v>680</v>
      </c>
      <c r="AD2620">
        <v>1412</v>
      </c>
      <c r="AE2620">
        <v>14</v>
      </c>
      <c r="AF2620">
        <v>964</v>
      </c>
      <c r="AH2620">
        <v>452</v>
      </c>
      <c r="AJ2620">
        <v>62</v>
      </c>
      <c r="CH2620" t="str">
        <f t="shared" si="40"/>
        <v>D-0212</v>
      </c>
      <c r="CI2620" s="1" t="s">
        <v>102</v>
      </c>
    </row>
    <row r="2621" spans="1:87">
      <c r="A2621" t="s">
        <v>4253</v>
      </c>
      <c r="B2621">
        <v>3263</v>
      </c>
      <c r="C2621" t="s">
        <v>2588</v>
      </c>
      <c r="D2621" t="s">
        <v>313</v>
      </c>
      <c r="E2621" t="s">
        <v>629</v>
      </c>
      <c r="F2621" t="s">
        <v>636</v>
      </c>
      <c r="G2621" t="s">
        <v>2283</v>
      </c>
      <c r="U2621">
        <v>60</v>
      </c>
      <c r="W2621">
        <v>576</v>
      </c>
      <c r="Y2621">
        <v>1187</v>
      </c>
      <c r="AA2621">
        <v>1080</v>
      </c>
      <c r="AC2621">
        <v>246</v>
      </c>
      <c r="AE2621">
        <v>96</v>
      </c>
      <c r="AF2621">
        <v>18</v>
      </c>
      <c r="CH2621" t="str">
        <f t="shared" si="40"/>
        <v>D-0468</v>
      </c>
      <c r="CI2621" s="1" t="s">
        <v>102</v>
      </c>
    </row>
    <row r="2622" spans="1:87">
      <c r="A2622" t="s">
        <v>4254</v>
      </c>
      <c r="B2622">
        <v>2255</v>
      </c>
      <c r="C2622" t="s">
        <v>2588</v>
      </c>
      <c r="D2622" t="s">
        <v>313</v>
      </c>
      <c r="E2622" t="s">
        <v>629</v>
      </c>
      <c r="F2622" t="s">
        <v>636</v>
      </c>
      <c r="G2622" t="s">
        <v>2283</v>
      </c>
      <c r="U2622">
        <v>228</v>
      </c>
      <c r="W2622">
        <v>186</v>
      </c>
      <c r="Y2622">
        <v>407</v>
      </c>
      <c r="AA2622">
        <v>366</v>
      </c>
      <c r="AC2622">
        <v>720</v>
      </c>
      <c r="AE2622">
        <v>294</v>
      </c>
      <c r="AF2622">
        <v>54</v>
      </c>
      <c r="CH2622" t="str">
        <f t="shared" si="40"/>
        <v>D-0468</v>
      </c>
      <c r="CI2622" s="1" t="s">
        <v>102</v>
      </c>
    </row>
    <row r="2623" spans="1:87">
      <c r="A2623" t="s">
        <v>4255</v>
      </c>
      <c r="B2623">
        <v>248</v>
      </c>
      <c r="C2623" t="s">
        <v>2590</v>
      </c>
      <c r="D2623" t="s">
        <v>313</v>
      </c>
      <c r="E2623" t="s">
        <v>629</v>
      </c>
      <c r="F2623" t="s">
        <v>636</v>
      </c>
      <c r="G2623" t="s">
        <v>3367</v>
      </c>
      <c r="O2623">
        <v>3</v>
      </c>
      <c r="P2623">
        <v>11</v>
      </c>
      <c r="Q2623">
        <v>24</v>
      </c>
      <c r="R2623">
        <v>31</v>
      </c>
      <c r="S2623">
        <v>31</v>
      </c>
      <c r="T2623">
        <v>43</v>
      </c>
      <c r="U2623">
        <v>39</v>
      </c>
      <c r="V2623">
        <v>20</v>
      </c>
      <c r="W2623">
        <v>24</v>
      </c>
      <c r="X2623">
        <v>18</v>
      </c>
      <c r="Y2623">
        <v>4</v>
      </c>
      <c r="CH2623" t="str">
        <f t="shared" si="40"/>
        <v>D-0468</v>
      </c>
      <c r="CI2623" s="1" t="s">
        <v>102</v>
      </c>
    </row>
    <row r="2624" spans="1:87">
      <c r="A2624" t="s">
        <v>4256</v>
      </c>
      <c r="B2624">
        <v>656</v>
      </c>
      <c r="C2624" t="s">
        <v>2591</v>
      </c>
      <c r="D2624" t="s">
        <v>313</v>
      </c>
      <c r="E2624" t="s">
        <v>629</v>
      </c>
      <c r="F2624" t="s">
        <v>636</v>
      </c>
      <c r="G2624" t="s">
        <v>2283</v>
      </c>
      <c r="Z2624">
        <v>656</v>
      </c>
      <c r="CH2624" t="str">
        <f t="shared" si="40"/>
        <v>D-0468</v>
      </c>
      <c r="CI2624" s="1" t="s">
        <v>102</v>
      </c>
    </row>
    <row r="2625" spans="1:87">
      <c r="A2625" t="s">
        <v>4257</v>
      </c>
      <c r="B2625">
        <v>11733</v>
      </c>
      <c r="C2625" t="s">
        <v>2590</v>
      </c>
      <c r="D2625" t="s">
        <v>313</v>
      </c>
      <c r="E2625" t="s">
        <v>629</v>
      </c>
      <c r="F2625" t="s">
        <v>636</v>
      </c>
      <c r="G2625" t="s">
        <v>3367</v>
      </c>
      <c r="N2625">
        <v>147</v>
      </c>
      <c r="O2625">
        <v>193</v>
      </c>
      <c r="P2625">
        <v>672</v>
      </c>
      <c r="Q2625">
        <v>883</v>
      </c>
      <c r="R2625">
        <v>1441</v>
      </c>
      <c r="S2625">
        <v>1502</v>
      </c>
      <c r="T2625">
        <v>1816</v>
      </c>
      <c r="U2625">
        <v>1531</v>
      </c>
      <c r="V2625">
        <v>1310</v>
      </c>
      <c r="W2625">
        <v>829</v>
      </c>
      <c r="X2625">
        <v>776</v>
      </c>
      <c r="Y2625">
        <v>213</v>
      </c>
      <c r="Z2625">
        <v>309</v>
      </c>
      <c r="AA2625">
        <v>111</v>
      </c>
      <c r="CH2625" t="str">
        <f t="shared" si="40"/>
        <v>D-0468</v>
      </c>
      <c r="CI2625" s="1" t="s">
        <v>102</v>
      </c>
    </row>
    <row r="2626" spans="1:87">
      <c r="A2626" t="s">
        <v>4258</v>
      </c>
      <c r="B2626">
        <v>2972</v>
      </c>
      <c r="C2626" t="s">
        <v>2592</v>
      </c>
      <c r="D2626" t="s">
        <v>313</v>
      </c>
      <c r="E2626" t="s">
        <v>629</v>
      </c>
      <c r="F2626" t="s">
        <v>636</v>
      </c>
      <c r="G2626" t="s">
        <v>2593</v>
      </c>
      <c r="N2626">
        <v>58</v>
      </c>
      <c r="O2626">
        <v>377</v>
      </c>
      <c r="P2626">
        <v>587</v>
      </c>
      <c r="Q2626">
        <v>945</v>
      </c>
      <c r="R2626">
        <v>1005</v>
      </c>
      <c r="CH2626" t="str">
        <f t="shared" ref="CH2626:CH2689" si="41">TRIM(IFERROR(IFERROR(MID($D2626,FIND("(D-",$D2626)+1,6),LEFT($D2626,FIND("(",$D2626)-1)),$D2626))</f>
        <v>D-0468</v>
      </c>
      <c r="CI2626" s="1" t="s">
        <v>102</v>
      </c>
    </row>
    <row r="2627" spans="1:87">
      <c r="A2627" t="s">
        <v>4259</v>
      </c>
      <c r="B2627">
        <v>1389</v>
      </c>
      <c r="C2627" t="s">
        <v>2592</v>
      </c>
      <c r="D2627" t="s">
        <v>313</v>
      </c>
      <c r="E2627" t="s">
        <v>629</v>
      </c>
      <c r="F2627" t="s">
        <v>636</v>
      </c>
      <c r="G2627" t="s">
        <v>2593</v>
      </c>
      <c r="S2627">
        <v>594</v>
      </c>
      <c r="T2627">
        <v>370</v>
      </c>
      <c r="AA2627">
        <v>419</v>
      </c>
      <c r="AB2627">
        <v>6</v>
      </c>
      <c r="CH2627" t="str">
        <f t="shared" si="41"/>
        <v>D-0468</v>
      </c>
      <c r="CI2627" s="1" t="s">
        <v>102</v>
      </c>
    </row>
    <row r="2628" spans="1:87">
      <c r="A2628" t="s">
        <v>4260</v>
      </c>
      <c r="B2628">
        <v>5298</v>
      </c>
      <c r="C2628" t="s">
        <v>2592</v>
      </c>
      <c r="D2628" t="s">
        <v>313</v>
      </c>
      <c r="E2628" t="s">
        <v>629</v>
      </c>
      <c r="F2628" t="s">
        <v>636</v>
      </c>
      <c r="G2628" t="s">
        <v>2593</v>
      </c>
      <c r="N2628">
        <v>110</v>
      </c>
      <c r="O2628">
        <v>565</v>
      </c>
      <c r="P2628">
        <v>1034</v>
      </c>
      <c r="Q2628">
        <v>1582</v>
      </c>
      <c r="R2628">
        <v>2007</v>
      </c>
      <c r="CH2628" t="str">
        <f t="shared" si="41"/>
        <v>D-0468</v>
      </c>
      <c r="CI2628" s="1" t="s">
        <v>102</v>
      </c>
    </row>
    <row r="2629" spans="1:87">
      <c r="A2629" t="s">
        <v>4261</v>
      </c>
      <c r="B2629">
        <v>5087</v>
      </c>
      <c r="C2629" t="s">
        <v>2592</v>
      </c>
      <c r="D2629" t="s">
        <v>313</v>
      </c>
      <c r="E2629" t="s">
        <v>629</v>
      </c>
      <c r="F2629" t="s">
        <v>636</v>
      </c>
      <c r="G2629" t="s">
        <v>2593</v>
      </c>
      <c r="S2629">
        <v>1501</v>
      </c>
      <c r="T2629">
        <v>2304</v>
      </c>
      <c r="U2629">
        <v>1282</v>
      </c>
      <c r="CH2629" t="str">
        <f t="shared" si="41"/>
        <v>D-0468</v>
      </c>
      <c r="CI2629" s="1" t="s">
        <v>102</v>
      </c>
    </row>
    <row r="2630" spans="1:87">
      <c r="A2630" t="s">
        <v>4262</v>
      </c>
      <c r="B2630">
        <v>125</v>
      </c>
      <c r="C2630" t="s">
        <v>2590</v>
      </c>
      <c r="D2630" t="s">
        <v>313</v>
      </c>
      <c r="E2630" t="s">
        <v>629</v>
      </c>
      <c r="F2630" t="s">
        <v>636</v>
      </c>
      <c r="G2630" t="s">
        <v>3367</v>
      </c>
      <c r="AB2630">
        <v>125</v>
      </c>
      <c r="CH2630" t="str">
        <f t="shared" si="41"/>
        <v>D-0468</v>
      </c>
      <c r="CI2630" s="1" t="s">
        <v>102</v>
      </c>
    </row>
    <row r="2631" spans="1:87">
      <c r="A2631" t="s">
        <v>4263</v>
      </c>
      <c r="B2631">
        <v>5466</v>
      </c>
      <c r="C2631" t="s">
        <v>2592</v>
      </c>
      <c r="D2631" t="s">
        <v>313</v>
      </c>
      <c r="E2631" t="s">
        <v>629</v>
      </c>
      <c r="F2631" t="s">
        <v>636</v>
      </c>
      <c r="G2631" t="s">
        <v>2593</v>
      </c>
      <c r="V2631">
        <v>1204</v>
      </c>
      <c r="W2631">
        <v>1360</v>
      </c>
      <c r="X2631">
        <v>1187</v>
      </c>
      <c r="Y2631">
        <v>782</v>
      </c>
      <c r="Z2631">
        <v>764</v>
      </c>
      <c r="AB2631">
        <v>62</v>
      </c>
      <c r="AC2631">
        <v>22</v>
      </c>
      <c r="AD2631">
        <v>6</v>
      </c>
      <c r="AE2631">
        <v>37</v>
      </c>
      <c r="AF2631">
        <v>20</v>
      </c>
      <c r="AH2631">
        <v>11</v>
      </c>
      <c r="AJ2631">
        <v>11</v>
      </c>
      <c r="CH2631" t="str">
        <f t="shared" si="41"/>
        <v>D-0468</v>
      </c>
      <c r="CI2631" s="1" t="s">
        <v>102</v>
      </c>
    </row>
    <row r="2632" spans="1:87">
      <c r="A2632" t="s">
        <v>4264</v>
      </c>
      <c r="B2632">
        <v>1640</v>
      </c>
      <c r="C2632" t="s">
        <v>4265</v>
      </c>
      <c r="D2632" t="s">
        <v>313</v>
      </c>
      <c r="E2632" t="s">
        <v>629</v>
      </c>
      <c r="F2632" t="s">
        <v>636</v>
      </c>
      <c r="G2632" t="s">
        <v>2283</v>
      </c>
      <c r="N2632">
        <v>55</v>
      </c>
      <c r="O2632">
        <v>143</v>
      </c>
      <c r="P2632">
        <v>217</v>
      </c>
      <c r="Q2632">
        <v>353</v>
      </c>
      <c r="R2632">
        <v>335</v>
      </c>
      <c r="S2632">
        <v>204</v>
      </c>
      <c r="T2632">
        <v>192</v>
      </c>
      <c r="U2632">
        <v>64</v>
      </c>
      <c r="V2632">
        <v>20</v>
      </c>
      <c r="W2632">
        <v>17</v>
      </c>
      <c r="X2632">
        <v>21</v>
      </c>
      <c r="Y2632">
        <v>6</v>
      </c>
      <c r="Z2632">
        <v>5</v>
      </c>
      <c r="AA2632">
        <v>4</v>
      </c>
      <c r="AB2632">
        <v>4</v>
      </c>
      <c r="CH2632" t="str">
        <f t="shared" si="41"/>
        <v>D-0468</v>
      </c>
      <c r="CI2632" s="1" t="s">
        <v>102</v>
      </c>
    </row>
    <row r="2633" spans="1:87">
      <c r="A2633" t="s">
        <v>4266</v>
      </c>
      <c r="B2633">
        <v>5053</v>
      </c>
      <c r="C2633" t="s">
        <v>2591</v>
      </c>
      <c r="D2633" t="s">
        <v>313</v>
      </c>
      <c r="E2633" t="s">
        <v>629</v>
      </c>
      <c r="F2633" t="s">
        <v>636</v>
      </c>
      <c r="G2633" t="s">
        <v>2283</v>
      </c>
      <c r="S2633">
        <v>30</v>
      </c>
      <c r="T2633">
        <v>12</v>
      </c>
      <c r="U2633">
        <v>188</v>
      </c>
      <c r="V2633">
        <v>196</v>
      </c>
      <c r="W2633">
        <v>457</v>
      </c>
      <c r="X2633">
        <v>486</v>
      </c>
      <c r="Y2633">
        <v>662</v>
      </c>
      <c r="AA2633">
        <v>715</v>
      </c>
      <c r="AB2633">
        <v>645</v>
      </c>
      <c r="AC2633">
        <v>606</v>
      </c>
      <c r="AD2633">
        <v>328</v>
      </c>
      <c r="AE2633">
        <v>441</v>
      </c>
      <c r="AF2633">
        <v>287</v>
      </c>
      <c r="CH2633" t="str">
        <f t="shared" si="41"/>
        <v>D-0468</v>
      </c>
      <c r="CI2633" s="1" t="s">
        <v>102</v>
      </c>
    </row>
    <row r="2634" spans="1:87">
      <c r="A2634" t="s">
        <v>4267</v>
      </c>
      <c r="B2634">
        <v>1349</v>
      </c>
      <c r="C2634" t="s">
        <v>2596</v>
      </c>
      <c r="D2634" t="s">
        <v>313</v>
      </c>
      <c r="E2634" t="s">
        <v>629</v>
      </c>
      <c r="F2634" t="s">
        <v>636</v>
      </c>
      <c r="G2634" t="s">
        <v>2696</v>
      </c>
      <c r="U2634">
        <v>60</v>
      </c>
      <c r="W2634">
        <v>180</v>
      </c>
      <c r="Y2634">
        <v>395</v>
      </c>
      <c r="AA2634">
        <v>360</v>
      </c>
      <c r="AC2634">
        <v>240</v>
      </c>
      <c r="AE2634">
        <v>96</v>
      </c>
      <c r="AF2634">
        <v>18</v>
      </c>
      <c r="CH2634" t="str">
        <f t="shared" si="41"/>
        <v>D-0468</v>
      </c>
      <c r="CI2634" s="1" t="s">
        <v>102</v>
      </c>
    </row>
    <row r="2635" spans="1:87">
      <c r="A2635" t="s">
        <v>4268</v>
      </c>
      <c r="B2635">
        <v>1835</v>
      </c>
      <c r="C2635" t="s">
        <v>2596</v>
      </c>
      <c r="D2635" t="s">
        <v>313</v>
      </c>
      <c r="E2635" t="s">
        <v>629</v>
      </c>
      <c r="F2635" t="s">
        <v>636</v>
      </c>
      <c r="G2635" t="s">
        <v>2696</v>
      </c>
      <c r="U2635">
        <v>102</v>
      </c>
      <c r="W2635">
        <v>252</v>
      </c>
      <c r="Y2635">
        <v>527</v>
      </c>
      <c r="AA2635">
        <v>480</v>
      </c>
      <c r="AC2635">
        <v>318</v>
      </c>
      <c r="AE2635">
        <v>126</v>
      </c>
      <c r="AF2635">
        <v>30</v>
      </c>
      <c r="CH2635" t="str">
        <f t="shared" si="41"/>
        <v>D-0468</v>
      </c>
      <c r="CI2635" s="1" t="s">
        <v>102</v>
      </c>
    </row>
    <row r="2636" spans="1:87">
      <c r="A2636" t="s">
        <v>4269</v>
      </c>
      <c r="B2636">
        <v>407</v>
      </c>
      <c r="C2636" t="s">
        <v>2592</v>
      </c>
      <c r="D2636" t="s">
        <v>313</v>
      </c>
      <c r="E2636" t="s">
        <v>629</v>
      </c>
      <c r="F2636" t="s">
        <v>636</v>
      </c>
      <c r="G2636" t="s">
        <v>2593</v>
      </c>
      <c r="S2636">
        <v>70</v>
      </c>
      <c r="T2636">
        <v>92</v>
      </c>
      <c r="U2636">
        <v>84</v>
      </c>
      <c r="V2636">
        <v>73</v>
      </c>
      <c r="W2636">
        <v>38</v>
      </c>
      <c r="X2636">
        <v>38</v>
      </c>
      <c r="Y2636">
        <v>7</v>
      </c>
      <c r="Z2636">
        <v>5</v>
      </c>
      <c r="CH2636" t="str">
        <f t="shared" si="41"/>
        <v>D-0468</v>
      </c>
      <c r="CI2636" s="1" t="s">
        <v>102</v>
      </c>
    </row>
    <row r="2637" spans="1:87">
      <c r="A2637" t="s">
        <v>4270</v>
      </c>
      <c r="B2637">
        <v>129</v>
      </c>
      <c r="C2637" t="s">
        <v>2592</v>
      </c>
      <c r="D2637" t="s">
        <v>313</v>
      </c>
      <c r="E2637" t="s">
        <v>629</v>
      </c>
      <c r="F2637" t="s">
        <v>636</v>
      </c>
      <c r="G2637" t="s">
        <v>2593</v>
      </c>
      <c r="N2637">
        <v>2</v>
      </c>
      <c r="O2637">
        <v>5</v>
      </c>
      <c r="P2637">
        <v>21</v>
      </c>
      <c r="Q2637">
        <v>31</v>
      </c>
      <c r="R2637">
        <v>70</v>
      </c>
      <c r="CH2637" t="str">
        <f t="shared" si="41"/>
        <v>D-0468</v>
      </c>
      <c r="CI2637" s="1" t="s">
        <v>102</v>
      </c>
    </row>
    <row r="2638" spans="1:87">
      <c r="A2638" t="s">
        <v>4271</v>
      </c>
      <c r="B2638">
        <v>5416</v>
      </c>
      <c r="C2638" t="s">
        <v>886</v>
      </c>
      <c r="D2638" t="s">
        <v>114</v>
      </c>
      <c r="E2638" t="s">
        <v>642</v>
      </c>
      <c r="F2638" t="s">
        <v>632</v>
      </c>
      <c r="G2638" t="s">
        <v>2593</v>
      </c>
      <c r="P2638">
        <v>101</v>
      </c>
      <c r="Q2638">
        <v>118</v>
      </c>
      <c r="R2638">
        <v>240</v>
      </c>
      <c r="S2638">
        <v>360</v>
      </c>
      <c r="T2638">
        <v>684</v>
      </c>
      <c r="U2638">
        <v>564</v>
      </c>
      <c r="V2638">
        <v>817</v>
      </c>
      <c r="W2638">
        <v>540</v>
      </c>
      <c r="X2638">
        <v>638</v>
      </c>
      <c r="Y2638">
        <v>336</v>
      </c>
      <c r="Z2638">
        <v>384</v>
      </c>
      <c r="AA2638">
        <v>174</v>
      </c>
      <c r="AB2638">
        <v>240</v>
      </c>
      <c r="AC2638">
        <v>92</v>
      </c>
      <c r="AD2638">
        <v>128</v>
      </c>
      <c r="CH2638" t="str">
        <f t="shared" si="41"/>
        <v>D-0002</v>
      </c>
      <c r="CI2638" s="1" t="s">
        <v>102</v>
      </c>
    </row>
    <row r="2639" spans="1:87">
      <c r="A2639" t="s">
        <v>4272</v>
      </c>
      <c r="B2639">
        <v>4559</v>
      </c>
      <c r="C2639" t="s">
        <v>886</v>
      </c>
      <c r="D2639" t="s">
        <v>114</v>
      </c>
      <c r="E2639" t="s">
        <v>642</v>
      </c>
      <c r="F2639" t="s">
        <v>632</v>
      </c>
      <c r="G2639" t="s">
        <v>2593</v>
      </c>
      <c r="R2639">
        <v>204</v>
      </c>
      <c r="S2639">
        <v>360</v>
      </c>
      <c r="T2639">
        <v>672</v>
      </c>
      <c r="U2639">
        <v>564</v>
      </c>
      <c r="V2639">
        <v>817</v>
      </c>
      <c r="W2639">
        <v>540</v>
      </c>
      <c r="X2639">
        <v>602</v>
      </c>
      <c r="Y2639">
        <v>300</v>
      </c>
      <c r="Z2639">
        <v>384</v>
      </c>
      <c r="AB2639">
        <v>116</v>
      </c>
      <c r="CH2639" t="str">
        <f t="shared" si="41"/>
        <v>D-0002</v>
      </c>
      <c r="CI2639" s="1" t="s">
        <v>102</v>
      </c>
    </row>
    <row r="2640" spans="1:87">
      <c r="A2640" t="s">
        <v>4273</v>
      </c>
      <c r="B2640">
        <v>3282</v>
      </c>
      <c r="C2640" t="s">
        <v>886</v>
      </c>
      <c r="D2640" t="s">
        <v>114</v>
      </c>
      <c r="E2640" t="s">
        <v>642</v>
      </c>
      <c r="F2640" t="s">
        <v>632</v>
      </c>
      <c r="G2640" t="s">
        <v>2593</v>
      </c>
      <c r="R2640">
        <v>97</v>
      </c>
      <c r="S2640">
        <v>212</v>
      </c>
      <c r="T2640">
        <v>546</v>
      </c>
      <c r="U2640">
        <v>410</v>
      </c>
      <c r="V2640">
        <v>689</v>
      </c>
      <c r="W2640">
        <v>406</v>
      </c>
      <c r="X2640">
        <v>486</v>
      </c>
      <c r="Y2640">
        <v>188</v>
      </c>
      <c r="Z2640">
        <v>248</v>
      </c>
      <c r="CH2640" t="str">
        <f t="shared" si="41"/>
        <v>D-0002</v>
      </c>
      <c r="CI2640" s="1" t="s">
        <v>102</v>
      </c>
    </row>
    <row r="2641" spans="1:87">
      <c r="A2641" t="s">
        <v>4274</v>
      </c>
      <c r="B2641">
        <v>1749</v>
      </c>
      <c r="C2641" t="s">
        <v>886</v>
      </c>
      <c r="D2641" t="s">
        <v>114</v>
      </c>
      <c r="E2641" t="s">
        <v>642</v>
      </c>
      <c r="F2641" t="s">
        <v>632</v>
      </c>
      <c r="G2641" t="s">
        <v>2593</v>
      </c>
      <c r="P2641">
        <v>85</v>
      </c>
      <c r="Q2641">
        <v>100</v>
      </c>
      <c r="R2641">
        <v>460</v>
      </c>
      <c r="S2641">
        <v>82</v>
      </c>
      <c r="T2641">
        <v>167</v>
      </c>
      <c r="U2641">
        <v>135</v>
      </c>
      <c r="V2641">
        <v>204</v>
      </c>
      <c r="W2641">
        <v>130</v>
      </c>
      <c r="X2641">
        <v>153</v>
      </c>
      <c r="Y2641">
        <v>73</v>
      </c>
      <c r="Z2641">
        <v>90</v>
      </c>
      <c r="AA2641">
        <v>16</v>
      </c>
      <c r="AB2641">
        <v>31</v>
      </c>
      <c r="AC2641">
        <v>10</v>
      </c>
      <c r="AD2641">
        <v>13</v>
      </c>
      <c r="CH2641" t="str">
        <f t="shared" si="41"/>
        <v>D-0002</v>
      </c>
      <c r="CI2641" s="1" t="s">
        <v>102</v>
      </c>
    </row>
    <row r="2642" spans="1:87">
      <c r="A2642" t="s">
        <v>4277</v>
      </c>
      <c r="B2642">
        <v>4533</v>
      </c>
      <c r="C2642" t="s">
        <v>939</v>
      </c>
      <c r="D2642" t="s">
        <v>249</v>
      </c>
      <c r="E2642" t="s">
        <v>642</v>
      </c>
      <c r="F2642" t="s">
        <v>957</v>
      </c>
      <c r="G2642" t="s">
        <v>728</v>
      </c>
      <c r="Q2642">
        <v>48</v>
      </c>
      <c r="R2642">
        <v>6</v>
      </c>
      <c r="S2642">
        <v>546</v>
      </c>
      <c r="T2642">
        <v>24</v>
      </c>
      <c r="U2642">
        <v>780</v>
      </c>
      <c r="V2642">
        <v>559</v>
      </c>
      <c r="W2642">
        <v>930</v>
      </c>
      <c r="X2642">
        <v>554</v>
      </c>
      <c r="Y2642">
        <v>684</v>
      </c>
      <c r="Z2642">
        <v>18</v>
      </c>
      <c r="AA2642">
        <v>366</v>
      </c>
      <c r="AE2642">
        <v>1</v>
      </c>
      <c r="AF2642">
        <v>5</v>
      </c>
      <c r="AG2642">
        <v>6</v>
      </c>
      <c r="AH2642">
        <v>6</v>
      </c>
      <c r="CH2642" t="str">
        <f t="shared" si="41"/>
        <v>D-0271</v>
      </c>
      <c r="CI2642" s="1" t="s">
        <v>102</v>
      </c>
    </row>
    <row r="2643" spans="1:87">
      <c r="A2643" t="s">
        <v>4278</v>
      </c>
      <c r="B2643">
        <v>4847</v>
      </c>
      <c r="C2643" t="s">
        <v>1052</v>
      </c>
      <c r="D2643" t="s">
        <v>195</v>
      </c>
      <c r="E2643" t="s">
        <v>629</v>
      </c>
      <c r="F2643" t="s">
        <v>630</v>
      </c>
      <c r="G2643" t="s">
        <v>2593</v>
      </c>
      <c r="S2643">
        <v>10</v>
      </c>
      <c r="V2643">
        <v>81</v>
      </c>
      <c r="W2643">
        <v>139</v>
      </c>
      <c r="X2643">
        <v>596</v>
      </c>
      <c r="Y2643">
        <v>583</v>
      </c>
      <c r="Z2643">
        <v>965</v>
      </c>
      <c r="AA2643">
        <v>584</v>
      </c>
      <c r="AB2643">
        <v>898</v>
      </c>
      <c r="AC2643">
        <v>348</v>
      </c>
      <c r="AD2643">
        <v>349</v>
      </c>
      <c r="AE2643">
        <v>35</v>
      </c>
      <c r="AF2643">
        <v>180</v>
      </c>
      <c r="AH2643">
        <v>79</v>
      </c>
      <c r="CH2643" t="str">
        <f t="shared" si="41"/>
        <v>D-0189</v>
      </c>
      <c r="CI2643" s="1" t="s">
        <v>102</v>
      </c>
    </row>
    <row r="2644" spans="1:87">
      <c r="A2644" t="s">
        <v>4279</v>
      </c>
      <c r="B2644">
        <v>5412</v>
      </c>
      <c r="C2644" t="s">
        <v>1318</v>
      </c>
      <c r="D2644" t="s">
        <v>195</v>
      </c>
      <c r="E2644" t="s">
        <v>629</v>
      </c>
      <c r="F2644" t="s">
        <v>630</v>
      </c>
      <c r="G2644" t="s">
        <v>4280</v>
      </c>
      <c r="R2644">
        <v>2</v>
      </c>
      <c r="S2644">
        <v>7</v>
      </c>
      <c r="T2644">
        <v>336</v>
      </c>
      <c r="U2644">
        <v>480</v>
      </c>
      <c r="V2644">
        <v>721</v>
      </c>
      <c r="W2644">
        <v>900</v>
      </c>
      <c r="X2644">
        <v>890</v>
      </c>
      <c r="Y2644">
        <v>720</v>
      </c>
      <c r="Z2644">
        <v>540</v>
      </c>
      <c r="AA2644">
        <v>264</v>
      </c>
      <c r="AB2644">
        <v>256</v>
      </c>
      <c r="AC2644">
        <v>85</v>
      </c>
      <c r="AD2644">
        <v>133</v>
      </c>
      <c r="AE2644">
        <v>37</v>
      </c>
      <c r="AF2644">
        <v>30</v>
      </c>
      <c r="AH2644">
        <v>10</v>
      </c>
      <c r="AJ2644">
        <v>1</v>
      </c>
      <c r="CH2644" t="str">
        <f t="shared" si="41"/>
        <v>D-0189</v>
      </c>
      <c r="CI2644" s="1" t="s">
        <v>102</v>
      </c>
    </row>
    <row r="2645" spans="1:87">
      <c r="A2645" t="s">
        <v>4281</v>
      </c>
      <c r="B2645">
        <v>3881</v>
      </c>
      <c r="C2645" t="s">
        <v>1318</v>
      </c>
      <c r="D2645" t="s">
        <v>195</v>
      </c>
      <c r="E2645" t="s">
        <v>629</v>
      </c>
      <c r="F2645" t="s">
        <v>630</v>
      </c>
      <c r="G2645" t="s">
        <v>4280</v>
      </c>
      <c r="T2645">
        <v>200</v>
      </c>
      <c r="U2645">
        <v>374</v>
      </c>
      <c r="V2645">
        <v>615</v>
      </c>
      <c r="W2645">
        <v>768</v>
      </c>
      <c r="X2645">
        <v>765</v>
      </c>
      <c r="Y2645">
        <v>612</v>
      </c>
      <c r="Z2645">
        <v>412</v>
      </c>
      <c r="AA2645">
        <v>135</v>
      </c>
      <c r="CH2645" t="str">
        <f t="shared" si="41"/>
        <v>D-0189</v>
      </c>
      <c r="CI2645" s="1" t="s">
        <v>102</v>
      </c>
    </row>
    <row r="2646" spans="1:87">
      <c r="A2646" t="s">
        <v>4282</v>
      </c>
      <c r="B2646">
        <v>5274</v>
      </c>
      <c r="C2646" t="s">
        <v>1318</v>
      </c>
      <c r="D2646" t="s">
        <v>195</v>
      </c>
      <c r="E2646" t="s">
        <v>629</v>
      </c>
      <c r="F2646" t="s">
        <v>630</v>
      </c>
      <c r="G2646" t="s">
        <v>4280</v>
      </c>
      <c r="R2646">
        <v>2</v>
      </c>
      <c r="S2646">
        <v>240</v>
      </c>
      <c r="T2646">
        <v>444</v>
      </c>
      <c r="U2646">
        <v>420</v>
      </c>
      <c r="V2646">
        <v>841</v>
      </c>
      <c r="W2646">
        <v>900</v>
      </c>
      <c r="X2646">
        <v>686</v>
      </c>
      <c r="Y2646">
        <v>780</v>
      </c>
      <c r="Z2646">
        <v>300</v>
      </c>
      <c r="AA2646">
        <v>204</v>
      </c>
      <c r="AB2646">
        <v>241</v>
      </c>
      <c r="AC2646">
        <v>4</v>
      </c>
      <c r="AD2646">
        <v>178</v>
      </c>
      <c r="AE2646">
        <v>2</v>
      </c>
      <c r="AF2646">
        <v>32</v>
      </c>
      <c r="CH2646" t="str">
        <f t="shared" si="41"/>
        <v>D-0189</v>
      </c>
      <c r="CI2646" s="1" t="s">
        <v>102</v>
      </c>
    </row>
    <row r="2647" spans="1:87">
      <c r="A2647" t="s">
        <v>4283</v>
      </c>
      <c r="B2647">
        <v>4404</v>
      </c>
      <c r="C2647" t="s">
        <v>1318</v>
      </c>
      <c r="D2647" t="s">
        <v>195</v>
      </c>
      <c r="E2647" t="s">
        <v>629</v>
      </c>
      <c r="F2647" t="s">
        <v>630</v>
      </c>
      <c r="G2647" t="s">
        <v>4280</v>
      </c>
      <c r="S2647">
        <v>176</v>
      </c>
      <c r="T2647">
        <v>420</v>
      </c>
      <c r="U2647">
        <v>396</v>
      </c>
      <c r="V2647">
        <v>805</v>
      </c>
      <c r="W2647">
        <v>852</v>
      </c>
      <c r="X2647">
        <v>686</v>
      </c>
      <c r="Y2647">
        <v>720</v>
      </c>
      <c r="Z2647">
        <v>276</v>
      </c>
      <c r="AA2647">
        <v>73</v>
      </c>
      <c r="CH2647" t="str">
        <f t="shared" si="41"/>
        <v>D-0189</v>
      </c>
      <c r="CI2647" s="1" t="s">
        <v>102</v>
      </c>
    </row>
    <row r="2648" spans="1:87">
      <c r="A2648" t="s">
        <v>4284</v>
      </c>
      <c r="B2648">
        <v>3208</v>
      </c>
      <c r="C2648" t="s">
        <v>1318</v>
      </c>
      <c r="D2648" t="s">
        <v>195</v>
      </c>
      <c r="E2648" t="s">
        <v>629</v>
      </c>
      <c r="F2648" t="s">
        <v>630</v>
      </c>
      <c r="G2648" t="s">
        <v>4280</v>
      </c>
      <c r="T2648">
        <v>266</v>
      </c>
      <c r="U2648">
        <v>260</v>
      </c>
      <c r="V2648">
        <v>673</v>
      </c>
      <c r="W2648">
        <v>720</v>
      </c>
      <c r="X2648">
        <v>548</v>
      </c>
      <c r="Y2648">
        <v>602</v>
      </c>
      <c r="Z2648">
        <v>139</v>
      </c>
      <c r="CH2648" t="str">
        <f t="shared" si="41"/>
        <v>D-0189</v>
      </c>
      <c r="CI2648" s="1" t="s">
        <v>102</v>
      </c>
    </row>
    <row r="2649" spans="1:87">
      <c r="A2649" t="s">
        <v>4285</v>
      </c>
      <c r="B2649">
        <v>4802</v>
      </c>
      <c r="C2649" t="s">
        <v>1318</v>
      </c>
      <c r="D2649" t="s">
        <v>195</v>
      </c>
      <c r="E2649" t="s">
        <v>629</v>
      </c>
      <c r="F2649" t="s">
        <v>630</v>
      </c>
      <c r="G2649" t="s">
        <v>4280</v>
      </c>
      <c r="R2649">
        <v>7</v>
      </c>
      <c r="S2649">
        <v>204</v>
      </c>
      <c r="T2649">
        <v>300</v>
      </c>
      <c r="U2649">
        <v>300</v>
      </c>
      <c r="V2649">
        <v>661</v>
      </c>
      <c r="W2649">
        <v>720</v>
      </c>
      <c r="X2649">
        <v>602</v>
      </c>
      <c r="Y2649">
        <v>660</v>
      </c>
      <c r="Z2649">
        <v>600</v>
      </c>
      <c r="AA2649">
        <v>300</v>
      </c>
      <c r="AB2649">
        <v>240</v>
      </c>
      <c r="AC2649">
        <v>7</v>
      </c>
      <c r="AD2649">
        <v>178</v>
      </c>
      <c r="AE2649">
        <v>2</v>
      </c>
      <c r="AF2649">
        <v>21</v>
      </c>
      <c r="CH2649" t="str">
        <f t="shared" si="41"/>
        <v>D-0189</v>
      </c>
      <c r="CI2649" s="1" t="s">
        <v>102</v>
      </c>
    </row>
    <row r="2650" spans="1:87">
      <c r="A2650" t="s">
        <v>4286</v>
      </c>
      <c r="B2650">
        <v>4227</v>
      </c>
      <c r="C2650" t="s">
        <v>1318</v>
      </c>
      <c r="D2650" t="s">
        <v>195</v>
      </c>
      <c r="E2650" t="s">
        <v>629</v>
      </c>
      <c r="F2650" t="s">
        <v>630</v>
      </c>
      <c r="G2650" t="s">
        <v>4280</v>
      </c>
      <c r="S2650">
        <v>72</v>
      </c>
      <c r="T2650">
        <v>300</v>
      </c>
      <c r="U2650">
        <v>300</v>
      </c>
      <c r="V2650">
        <v>601</v>
      </c>
      <c r="W2650">
        <v>660</v>
      </c>
      <c r="X2650">
        <v>602</v>
      </c>
      <c r="Y2650">
        <v>612</v>
      </c>
      <c r="Z2650">
        <v>600</v>
      </c>
      <c r="AA2650">
        <v>240</v>
      </c>
      <c r="AB2650">
        <v>240</v>
      </c>
      <c r="CH2650" t="str">
        <f t="shared" si="41"/>
        <v>D-0189</v>
      </c>
      <c r="CI2650" s="1" t="s">
        <v>102</v>
      </c>
    </row>
    <row r="2651" spans="1:87">
      <c r="A2651" t="s">
        <v>4287</v>
      </c>
      <c r="B2651">
        <v>3974</v>
      </c>
      <c r="C2651" t="s">
        <v>1318</v>
      </c>
      <c r="D2651" t="s">
        <v>195</v>
      </c>
      <c r="E2651" t="s">
        <v>629</v>
      </c>
      <c r="F2651" t="s">
        <v>630</v>
      </c>
      <c r="G2651" t="s">
        <v>4280</v>
      </c>
      <c r="T2651">
        <v>264</v>
      </c>
      <c r="U2651">
        <v>300</v>
      </c>
      <c r="V2651">
        <v>601</v>
      </c>
      <c r="W2651">
        <v>660</v>
      </c>
      <c r="X2651">
        <v>566</v>
      </c>
      <c r="Y2651">
        <v>600</v>
      </c>
      <c r="Z2651">
        <v>540</v>
      </c>
      <c r="AA2651">
        <v>240</v>
      </c>
      <c r="AB2651">
        <v>203</v>
      </c>
      <c r="CH2651" t="str">
        <f t="shared" si="41"/>
        <v>D-0189</v>
      </c>
      <c r="CI2651" s="1" t="s">
        <v>102</v>
      </c>
    </row>
    <row r="2652" spans="1:87">
      <c r="A2652" t="s">
        <v>4288</v>
      </c>
      <c r="B2652">
        <v>2641</v>
      </c>
      <c r="C2652" t="s">
        <v>1318</v>
      </c>
      <c r="D2652" t="s">
        <v>195</v>
      </c>
      <c r="E2652" t="s">
        <v>629</v>
      </c>
      <c r="F2652" t="s">
        <v>630</v>
      </c>
      <c r="G2652" t="s">
        <v>4280</v>
      </c>
      <c r="T2652">
        <v>112</v>
      </c>
      <c r="U2652">
        <v>163</v>
      </c>
      <c r="V2652">
        <v>432</v>
      </c>
      <c r="W2652">
        <v>548</v>
      </c>
      <c r="X2652">
        <v>418</v>
      </c>
      <c r="Y2652">
        <v>488</v>
      </c>
      <c r="Z2652">
        <v>401</v>
      </c>
      <c r="AA2652">
        <v>79</v>
      </c>
      <c r="CH2652" t="str">
        <f t="shared" si="41"/>
        <v>D-0189</v>
      </c>
      <c r="CI2652" s="1" t="s">
        <v>102</v>
      </c>
    </row>
    <row r="2653" spans="1:87">
      <c r="A2653" t="s">
        <v>4289</v>
      </c>
      <c r="B2653">
        <v>2047</v>
      </c>
      <c r="C2653" t="s">
        <v>669</v>
      </c>
      <c r="D2653" t="s">
        <v>195</v>
      </c>
      <c r="E2653" t="s">
        <v>629</v>
      </c>
      <c r="F2653" t="s">
        <v>630</v>
      </c>
      <c r="G2653" t="s">
        <v>2283</v>
      </c>
      <c r="R2653">
        <v>1</v>
      </c>
      <c r="S2653">
        <v>91</v>
      </c>
      <c r="T2653">
        <v>185</v>
      </c>
      <c r="U2653">
        <v>155</v>
      </c>
      <c r="V2653">
        <v>272</v>
      </c>
      <c r="W2653">
        <v>297</v>
      </c>
      <c r="X2653">
        <v>284</v>
      </c>
      <c r="Y2653">
        <v>281</v>
      </c>
      <c r="Z2653">
        <v>201</v>
      </c>
      <c r="AA2653">
        <v>100</v>
      </c>
      <c r="AB2653">
        <v>90</v>
      </c>
      <c r="AC2653">
        <v>31</v>
      </c>
      <c r="AD2653">
        <v>37</v>
      </c>
      <c r="AE2653">
        <v>15</v>
      </c>
      <c r="AF2653">
        <v>6</v>
      </c>
      <c r="AJ2653">
        <v>1</v>
      </c>
      <c r="CH2653" t="str">
        <f t="shared" si="41"/>
        <v>D-0189</v>
      </c>
      <c r="CI2653" s="1" t="s">
        <v>102</v>
      </c>
    </row>
    <row r="2654" spans="1:87">
      <c r="A2654" t="s">
        <v>4290</v>
      </c>
      <c r="B2654">
        <v>6083</v>
      </c>
      <c r="C2654" t="s">
        <v>669</v>
      </c>
      <c r="D2654" t="s">
        <v>195</v>
      </c>
      <c r="E2654" t="s">
        <v>629</v>
      </c>
      <c r="F2654" t="s">
        <v>630</v>
      </c>
      <c r="G2654" t="s">
        <v>2283</v>
      </c>
      <c r="S2654">
        <v>300</v>
      </c>
      <c r="T2654">
        <v>300</v>
      </c>
      <c r="U2654">
        <v>600</v>
      </c>
      <c r="V2654">
        <v>577</v>
      </c>
      <c r="W2654">
        <v>840</v>
      </c>
      <c r="X2654">
        <v>722</v>
      </c>
      <c r="Y2654">
        <v>840</v>
      </c>
      <c r="Z2654">
        <v>1020</v>
      </c>
      <c r="AA2654">
        <v>360</v>
      </c>
      <c r="AB2654">
        <v>384</v>
      </c>
      <c r="AD2654">
        <v>104</v>
      </c>
      <c r="AF2654">
        <v>36</v>
      </c>
      <c r="CH2654" t="str">
        <f t="shared" si="41"/>
        <v>D-0189</v>
      </c>
      <c r="CI2654" s="1" t="s">
        <v>102</v>
      </c>
    </row>
    <row r="2655" spans="1:87">
      <c r="A2655" t="s">
        <v>4291</v>
      </c>
      <c r="B2655">
        <v>4594</v>
      </c>
      <c r="C2655" t="s">
        <v>669</v>
      </c>
      <c r="D2655" t="s">
        <v>195</v>
      </c>
      <c r="E2655" t="s">
        <v>629</v>
      </c>
      <c r="F2655" t="s">
        <v>630</v>
      </c>
      <c r="G2655" t="s">
        <v>2283</v>
      </c>
      <c r="S2655">
        <v>141</v>
      </c>
      <c r="T2655">
        <v>137</v>
      </c>
      <c r="U2655">
        <v>492</v>
      </c>
      <c r="V2655">
        <v>443</v>
      </c>
      <c r="W2655">
        <v>700</v>
      </c>
      <c r="X2655">
        <v>596</v>
      </c>
      <c r="Y2655">
        <v>728</v>
      </c>
      <c r="Z2655">
        <v>886</v>
      </c>
      <c r="AA2655">
        <v>228</v>
      </c>
      <c r="AB2655">
        <v>243</v>
      </c>
      <c r="CH2655" t="str">
        <f t="shared" si="41"/>
        <v>D-0189</v>
      </c>
      <c r="CI2655" s="1" t="s">
        <v>102</v>
      </c>
    </row>
    <row r="2656" spans="1:87">
      <c r="A2656" t="s">
        <v>4292</v>
      </c>
      <c r="B2656">
        <v>5582</v>
      </c>
      <c r="C2656" t="s">
        <v>741</v>
      </c>
      <c r="D2656" t="s">
        <v>195</v>
      </c>
      <c r="E2656" t="s">
        <v>629</v>
      </c>
      <c r="F2656" t="s">
        <v>630</v>
      </c>
      <c r="G2656" t="s">
        <v>3367</v>
      </c>
      <c r="R2656">
        <v>20</v>
      </c>
      <c r="S2656">
        <v>146</v>
      </c>
      <c r="T2656">
        <v>433</v>
      </c>
      <c r="U2656">
        <v>266</v>
      </c>
      <c r="V2656">
        <v>1148</v>
      </c>
      <c r="W2656">
        <v>1250</v>
      </c>
      <c r="X2656">
        <v>860</v>
      </c>
      <c r="Y2656">
        <v>1051</v>
      </c>
      <c r="Z2656">
        <v>408</v>
      </c>
      <c r="CH2656" t="str">
        <f t="shared" si="41"/>
        <v>D-0189</v>
      </c>
      <c r="CI2656" s="1" t="s">
        <v>102</v>
      </c>
    </row>
    <row r="2657" spans="1:87">
      <c r="A2657" t="s">
        <v>4293</v>
      </c>
      <c r="B2657">
        <v>2878</v>
      </c>
      <c r="C2657" t="s">
        <v>1192</v>
      </c>
      <c r="D2657" t="s">
        <v>195</v>
      </c>
      <c r="E2657" t="s">
        <v>642</v>
      </c>
      <c r="F2657" t="s">
        <v>630</v>
      </c>
      <c r="G2657" t="s">
        <v>3474</v>
      </c>
      <c r="Q2657">
        <v>68</v>
      </c>
      <c r="S2657">
        <v>81</v>
      </c>
      <c r="U2657">
        <v>224</v>
      </c>
      <c r="V2657">
        <v>463</v>
      </c>
      <c r="W2657">
        <v>868</v>
      </c>
      <c r="X2657">
        <v>369</v>
      </c>
      <c r="Y2657">
        <v>355</v>
      </c>
      <c r="Z2657">
        <v>219</v>
      </c>
      <c r="AA2657">
        <v>100</v>
      </c>
      <c r="AB2657">
        <v>115</v>
      </c>
      <c r="AC2657">
        <v>14</v>
      </c>
      <c r="AD2657">
        <v>2</v>
      </c>
      <c r="CH2657" t="str">
        <f t="shared" si="41"/>
        <v>D-0189</v>
      </c>
      <c r="CI2657" s="1" t="s">
        <v>102</v>
      </c>
    </row>
    <row r="2658" spans="1:87">
      <c r="A2658" t="s">
        <v>4294</v>
      </c>
      <c r="B2658">
        <v>6354</v>
      </c>
      <c r="C2658" t="s">
        <v>940</v>
      </c>
      <c r="D2658" t="s">
        <v>249</v>
      </c>
      <c r="E2658" t="s">
        <v>642</v>
      </c>
      <c r="F2658" t="s">
        <v>657</v>
      </c>
      <c r="G2658" t="s">
        <v>941</v>
      </c>
      <c r="Q2658">
        <v>13</v>
      </c>
      <c r="R2658">
        <v>348</v>
      </c>
      <c r="S2658">
        <v>570</v>
      </c>
      <c r="T2658">
        <v>833</v>
      </c>
      <c r="U2658">
        <v>556</v>
      </c>
      <c r="V2658">
        <v>694</v>
      </c>
      <c r="W2658">
        <v>494</v>
      </c>
      <c r="X2658">
        <v>745</v>
      </c>
      <c r="Y2658">
        <v>473</v>
      </c>
      <c r="Z2658">
        <v>610</v>
      </c>
      <c r="AA2658">
        <v>136</v>
      </c>
      <c r="AB2658">
        <v>439</v>
      </c>
      <c r="AC2658">
        <v>19</v>
      </c>
      <c r="AD2658">
        <v>216</v>
      </c>
      <c r="AE2658">
        <v>16</v>
      </c>
      <c r="AF2658">
        <v>174</v>
      </c>
      <c r="AG2658">
        <v>10</v>
      </c>
      <c r="AH2658">
        <v>6</v>
      </c>
      <c r="AK2658">
        <v>2</v>
      </c>
      <c r="CH2658" t="str">
        <f t="shared" si="41"/>
        <v>D-0271</v>
      </c>
      <c r="CI2658" s="1" t="s">
        <v>102</v>
      </c>
    </row>
    <row r="2659" spans="1:87">
      <c r="A2659" t="s">
        <v>4295</v>
      </c>
      <c r="B2659">
        <v>7209</v>
      </c>
      <c r="C2659" t="s">
        <v>940</v>
      </c>
      <c r="D2659" t="s">
        <v>249</v>
      </c>
      <c r="E2659" t="s">
        <v>642</v>
      </c>
      <c r="F2659" t="s">
        <v>657</v>
      </c>
      <c r="G2659" t="s">
        <v>941</v>
      </c>
      <c r="Q2659">
        <v>132</v>
      </c>
      <c r="R2659">
        <v>30</v>
      </c>
      <c r="S2659">
        <v>1014</v>
      </c>
      <c r="T2659">
        <v>594</v>
      </c>
      <c r="U2659">
        <v>1473</v>
      </c>
      <c r="V2659">
        <v>595</v>
      </c>
      <c r="W2659">
        <v>1743</v>
      </c>
      <c r="X2659">
        <v>611</v>
      </c>
      <c r="Y2659">
        <v>795</v>
      </c>
      <c r="Z2659">
        <v>15</v>
      </c>
      <c r="AA2659">
        <v>207</v>
      </c>
      <c r="CH2659" t="str">
        <f t="shared" si="41"/>
        <v>D-0271</v>
      </c>
      <c r="CI2659" s="1" t="s">
        <v>102</v>
      </c>
    </row>
    <row r="2660" spans="1:87">
      <c r="A2660" t="s">
        <v>4296</v>
      </c>
      <c r="B2660">
        <v>4985</v>
      </c>
      <c r="C2660" t="s">
        <v>940</v>
      </c>
      <c r="D2660" t="s">
        <v>249</v>
      </c>
      <c r="E2660" t="s">
        <v>642</v>
      </c>
      <c r="F2660" t="s">
        <v>657</v>
      </c>
      <c r="G2660" t="s">
        <v>941</v>
      </c>
      <c r="Q2660">
        <v>132</v>
      </c>
      <c r="R2660">
        <v>360</v>
      </c>
      <c r="S2660">
        <v>480</v>
      </c>
      <c r="T2660">
        <v>780</v>
      </c>
      <c r="U2660">
        <v>444</v>
      </c>
      <c r="V2660">
        <v>781</v>
      </c>
      <c r="W2660">
        <v>708</v>
      </c>
      <c r="X2660">
        <v>374</v>
      </c>
      <c r="Y2660">
        <v>420</v>
      </c>
      <c r="Z2660">
        <v>240</v>
      </c>
      <c r="AA2660">
        <v>77</v>
      </c>
      <c r="AB2660">
        <v>117</v>
      </c>
      <c r="AC2660">
        <v>22</v>
      </c>
      <c r="AD2660">
        <v>17</v>
      </c>
      <c r="AE2660">
        <v>12</v>
      </c>
      <c r="AF2660">
        <v>10</v>
      </c>
      <c r="AG2660">
        <v>10</v>
      </c>
      <c r="AH2660">
        <v>1</v>
      </c>
      <c r="CH2660" t="str">
        <f t="shared" si="41"/>
        <v>D-0271</v>
      </c>
      <c r="CI2660" s="1" t="s">
        <v>102</v>
      </c>
    </row>
    <row r="2661" spans="1:87">
      <c r="A2661" t="s">
        <v>4297</v>
      </c>
      <c r="B2661">
        <v>3437</v>
      </c>
      <c r="C2661" t="s">
        <v>940</v>
      </c>
      <c r="D2661" t="s">
        <v>249</v>
      </c>
      <c r="E2661" t="s">
        <v>642</v>
      </c>
      <c r="F2661" t="s">
        <v>657</v>
      </c>
      <c r="G2661" t="s">
        <v>941</v>
      </c>
      <c r="R2661">
        <v>189</v>
      </c>
      <c r="S2661">
        <v>338</v>
      </c>
      <c r="T2661">
        <v>640</v>
      </c>
      <c r="U2661">
        <v>326</v>
      </c>
      <c r="V2661">
        <v>679</v>
      </c>
      <c r="W2661">
        <v>585</v>
      </c>
      <c r="X2661">
        <v>250</v>
      </c>
      <c r="Y2661">
        <v>306</v>
      </c>
      <c r="Z2661">
        <v>124</v>
      </c>
      <c r="CH2661" t="str">
        <f t="shared" si="41"/>
        <v>D-0271</v>
      </c>
      <c r="CI2661" s="1" t="s">
        <v>102</v>
      </c>
    </row>
    <row r="2662" spans="1:87">
      <c r="A2662" t="s">
        <v>4298</v>
      </c>
      <c r="B2662">
        <v>7413</v>
      </c>
      <c r="C2662" t="s">
        <v>1447</v>
      </c>
      <c r="D2662" t="s">
        <v>249</v>
      </c>
      <c r="E2662" t="s">
        <v>629</v>
      </c>
      <c r="F2662" t="s">
        <v>657</v>
      </c>
      <c r="G2662" t="s">
        <v>1448</v>
      </c>
      <c r="R2662">
        <v>48</v>
      </c>
      <c r="S2662">
        <v>168</v>
      </c>
      <c r="T2662">
        <v>232</v>
      </c>
      <c r="U2662">
        <v>232</v>
      </c>
      <c r="V2662">
        <v>462</v>
      </c>
      <c r="W2662">
        <v>438</v>
      </c>
      <c r="X2662">
        <v>1172</v>
      </c>
      <c r="Y2662">
        <v>682</v>
      </c>
      <c r="Z2662">
        <v>1120</v>
      </c>
      <c r="AA2662">
        <v>577</v>
      </c>
      <c r="AB2662">
        <v>950</v>
      </c>
      <c r="AC2662">
        <v>322</v>
      </c>
      <c r="AD2662">
        <v>587</v>
      </c>
      <c r="AE2662">
        <v>93</v>
      </c>
      <c r="AF2662">
        <v>273</v>
      </c>
      <c r="AH2662">
        <v>39</v>
      </c>
      <c r="AJ2662">
        <v>18</v>
      </c>
      <c r="CH2662" t="str">
        <f t="shared" si="41"/>
        <v>D-0271</v>
      </c>
      <c r="CI2662" s="1" t="s">
        <v>102</v>
      </c>
    </row>
    <row r="2663" spans="1:87">
      <c r="A2663" t="s">
        <v>4299</v>
      </c>
      <c r="B2663">
        <v>917</v>
      </c>
      <c r="C2663" t="s">
        <v>1176</v>
      </c>
      <c r="D2663" t="s">
        <v>249</v>
      </c>
      <c r="E2663" t="s">
        <v>629</v>
      </c>
      <c r="F2663" t="s">
        <v>657</v>
      </c>
      <c r="G2663" t="s">
        <v>1177</v>
      </c>
      <c r="R2663">
        <v>131</v>
      </c>
      <c r="S2663">
        <v>110</v>
      </c>
      <c r="T2663">
        <v>163</v>
      </c>
      <c r="U2663">
        <v>51</v>
      </c>
      <c r="W2663">
        <v>45</v>
      </c>
      <c r="AC2663">
        <v>79</v>
      </c>
      <c r="AE2663">
        <v>102</v>
      </c>
      <c r="AF2663">
        <v>45</v>
      </c>
      <c r="AH2663">
        <v>98</v>
      </c>
      <c r="AJ2663">
        <v>93</v>
      </c>
      <c r="CH2663" t="str">
        <f t="shared" si="41"/>
        <v>D-0271</v>
      </c>
      <c r="CI2663" s="1" t="s">
        <v>102</v>
      </c>
    </row>
    <row r="2664" spans="1:87">
      <c r="A2664" t="s">
        <v>4301</v>
      </c>
      <c r="B2664">
        <v>3172</v>
      </c>
      <c r="C2664" t="s">
        <v>1273</v>
      </c>
      <c r="D2664" t="s">
        <v>352</v>
      </c>
      <c r="E2664" t="s">
        <v>642</v>
      </c>
      <c r="F2664" t="s">
        <v>645</v>
      </c>
      <c r="G2664" t="s">
        <v>1274</v>
      </c>
      <c r="P2664">
        <v>84</v>
      </c>
      <c r="Q2664">
        <v>176</v>
      </c>
      <c r="R2664">
        <v>410</v>
      </c>
      <c r="S2664">
        <v>676</v>
      </c>
      <c r="T2664">
        <v>674</v>
      </c>
      <c r="U2664">
        <v>683</v>
      </c>
      <c r="V2664">
        <v>115</v>
      </c>
      <c r="W2664">
        <v>226</v>
      </c>
      <c r="X2664">
        <v>89</v>
      </c>
      <c r="Y2664">
        <v>39</v>
      </c>
      <c r="CH2664" t="str">
        <f t="shared" si="41"/>
        <v>D-0515</v>
      </c>
      <c r="CI2664" s="1" t="s">
        <v>102</v>
      </c>
    </row>
    <row r="2665" spans="1:87">
      <c r="A2665" t="s">
        <v>4302</v>
      </c>
      <c r="B2665">
        <v>1642</v>
      </c>
      <c r="C2665" t="s">
        <v>727</v>
      </c>
      <c r="D2665" t="s">
        <v>505</v>
      </c>
      <c r="E2665" t="s">
        <v>629</v>
      </c>
      <c r="F2665" t="s">
        <v>657</v>
      </c>
      <c r="G2665" t="s">
        <v>728</v>
      </c>
      <c r="T2665">
        <v>79</v>
      </c>
      <c r="V2665">
        <v>265</v>
      </c>
      <c r="W2665">
        <v>88</v>
      </c>
      <c r="X2665">
        <v>270</v>
      </c>
      <c r="Z2665">
        <v>210</v>
      </c>
      <c r="AB2665">
        <v>387</v>
      </c>
      <c r="AD2665">
        <v>282</v>
      </c>
      <c r="AE2665">
        <v>61</v>
      </c>
      <c r="CH2665" t="str">
        <f t="shared" si="41"/>
        <v>QMR-2</v>
      </c>
      <c r="CI2665" s="1" t="s">
        <v>102</v>
      </c>
    </row>
    <row r="2666" spans="1:87">
      <c r="A2666" t="s">
        <v>4306</v>
      </c>
      <c r="B2666">
        <v>4075</v>
      </c>
      <c r="C2666" t="s">
        <v>1320</v>
      </c>
      <c r="D2666" t="s">
        <v>249</v>
      </c>
      <c r="E2666" t="s">
        <v>629</v>
      </c>
      <c r="F2666" t="s">
        <v>657</v>
      </c>
      <c r="G2666" t="s">
        <v>710</v>
      </c>
      <c r="T2666">
        <v>88</v>
      </c>
      <c r="V2666">
        <v>361</v>
      </c>
      <c r="W2666">
        <v>240</v>
      </c>
      <c r="X2666">
        <v>722</v>
      </c>
      <c r="Y2666">
        <v>420</v>
      </c>
      <c r="Z2666">
        <v>720</v>
      </c>
      <c r="AA2666">
        <v>240</v>
      </c>
      <c r="AB2666">
        <v>540</v>
      </c>
      <c r="AC2666">
        <v>240</v>
      </c>
      <c r="AD2666">
        <v>300</v>
      </c>
      <c r="AF2666">
        <v>204</v>
      </c>
      <c r="CH2666" t="str">
        <f t="shared" si="41"/>
        <v>D-0271</v>
      </c>
      <c r="CI2666" s="1" t="s">
        <v>102</v>
      </c>
    </row>
    <row r="2667" spans="1:87">
      <c r="A2667" t="s">
        <v>4307</v>
      </c>
      <c r="B2667">
        <v>3558</v>
      </c>
      <c r="C2667" t="s">
        <v>1320</v>
      </c>
      <c r="D2667" t="s">
        <v>249</v>
      </c>
      <c r="E2667" t="s">
        <v>629</v>
      </c>
      <c r="F2667" t="s">
        <v>657</v>
      </c>
      <c r="G2667" t="s">
        <v>710</v>
      </c>
      <c r="V2667">
        <v>301</v>
      </c>
      <c r="W2667">
        <v>240</v>
      </c>
      <c r="X2667">
        <v>722</v>
      </c>
      <c r="Y2667">
        <v>420</v>
      </c>
      <c r="Z2667">
        <v>684</v>
      </c>
      <c r="AA2667">
        <v>204</v>
      </c>
      <c r="AB2667">
        <v>540</v>
      </c>
      <c r="AC2667">
        <v>87</v>
      </c>
      <c r="AD2667">
        <v>300</v>
      </c>
      <c r="AF2667">
        <v>60</v>
      </c>
      <c r="CH2667" t="str">
        <f t="shared" si="41"/>
        <v>D-0271</v>
      </c>
      <c r="CI2667" s="1" t="s">
        <v>102</v>
      </c>
    </row>
    <row r="2668" spans="1:87">
      <c r="A2668" t="s">
        <v>4308</v>
      </c>
      <c r="B2668">
        <v>3267</v>
      </c>
      <c r="C2668" t="s">
        <v>1320</v>
      </c>
      <c r="D2668" t="s">
        <v>249</v>
      </c>
      <c r="E2668" t="s">
        <v>629</v>
      </c>
      <c r="F2668" t="s">
        <v>657</v>
      </c>
      <c r="G2668" t="s">
        <v>710</v>
      </c>
      <c r="V2668">
        <v>301</v>
      </c>
      <c r="W2668">
        <v>240</v>
      </c>
      <c r="X2668">
        <v>722</v>
      </c>
      <c r="Y2668">
        <v>360</v>
      </c>
      <c r="Z2668">
        <v>660</v>
      </c>
      <c r="AA2668">
        <v>204</v>
      </c>
      <c r="AB2668">
        <v>480</v>
      </c>
      <c r="AD2668">
        <v>300</v>
      </c>
      <c r="CH2668" t="str">
        <f t="shared" si="41"/>
        <v>D-0271</v>
      </c>
      <c r="CI2668" s="1" t="s">
        <v>102</v>
      </c>
    </row>
    <row r="2669" spans="1:87">
      <c r="A2669" t="s">
        <v>4309</v>
      </c>
      <c r="B2669">
        <v>2235</v>
      </c>
      <c r="C2669" t="s">
        <v>1320</v>
      </c>
      <c r="D2669" t="s">
        <v>249</v>
      </c>
      <c r="E2669" t="s">
        <v>629</v>
      </c>
      <c r="F2669" t="s">
        <v>657</v>
      </c>
      <c r="G2669" t="s">
        <v>710</v>
      </c>
      <c r="V2669">
        <v>185</v>
      </c>
      <c r="W2669">
        <v>110</v>
      </c>
      <c r="X2669">
        <v>590</v>
      </c>
      <c r="Y2669">
        <v>225</v>
      </c>
      <c r="Z2669">
        <v>531</v>
      </c>
      <c r="AA2669">
        <v>66</v>
      </c>
      <c r="AB2669">
        <v>350</v>
      </c>
      <c r="AD2669">
        <v>178</v>
      </c>
      <c r="CH2669" t="str">
        <f t="shared" si="41"/>
        <v>D-0271</v>
      </c>
      <c r="CI2669" s="1" t="s">
        <v>102</v>
      </c>
    </row>
    <row r="2670" spans="1:87">
      <c r="A2670" t="s">
        <v>4310</v>
      </c>
      <c r="B2670">
        <v>5127</v>
      </c>
      <c r="C2670" t="s">
        <v>1320</v>
      </c>
      <c r="D2670" t="s">
        <v>249</v>
      </c>
      <c r="E2670" t="s">
        <v>629</v>
      </c>
      <c r="F2670" t="s">
        <v>657</v>
      </c>
      <c r="G2670" t="s">
        <v>710</v>
      </c>
      <c r="T2670">
        <v>196</v>
      </c>
      <c r="U2670">
        <v>80</v>
      </c>
      <c r="V2670">
        <v>686</v>
      </c>
      <c r="W2670">
        <v>78</v>
      </c>
      <c r="X2670">
        <v>231</v>
      </c>
      <c r="Y2670">
        <v>132</v>
      </c>
      <c r="Z2670">
        <v>1391</v>
      </c>
      <c r="AA2670">
        <v>386</v>
      </c>
      <c r="AB2670">
        <v>1009</v>
      </c>
      <c r="AC2670">
        <v>234</v>
      </c>
      <c r="AD2670">
        <v>604</v>
      </c>
      <c r="AE2670">
        <v>61</v>
      </c>
      <c r="AF2670">
        <v>33</v>
      </c>
      <c r="AH2670">
        <v>6</v>
      </c>
      <c r="CH2670" t="str">
        <f t="shared" si="41"/>
        <v>D-0271</v>
      </c>
      <c r="CI2670" s="1" t="s">
        <v>102</v>
      </c>
    </row>
    <row r="2671" spans="1:87">
      <c r="A2671" t="s">
        <v>4311</v>
      </c>
      <c r="B2671">
        <v>4668</v>
      </c>
      <c r="C2671" t="s">
        <v>1377</v>
      </c>
      <c r="D2671" t="s">
        <v>195</v>
      </c>
      <c r="E2671" t="s">
        <v>629</v>
      </c>
      <c r="F2671" t="s">
        <v>630</v>
      </c>
      <c r="G2671" t="s">
        <v>2499</v>
      </c>
      <c r="P2671">
        <v>6</v>
      </c>
      <c r="R2671">
        <v>26</v>
      </c>
      <c r="S2671">
        <v>43</v>
      </c>
      <c r="T2671">
        <v>188</v>
      </c>
      <c r="U2671">
        <v>252</v>
      </c>
      <c r="V2671">
        <v>491</v>
      </c>
      <c r="W2671">
        <v>607</v>
      </c>
      <c r="X2671">
        <v>677</v>
      </c>
      <c r="Y2671">
        <v>600</v>
      </c>
      <c r="Z2671">
        <v>479</v>
      </c>
      <c r="AA2671">
        <v>300</v>
      </c>
      <c r="AB2671">
        <v>267</v>
      </c>
      <c r="AC2671">
        <v>197</v>
      </c>
      <c r="AD2671">
        <v>234</v>
      </c>
      <c r="AE2671">
        <v>119</v>
      </c>
      <c r="AF2671">
        <v>106</v>
      </c>
      <c r="AH2671">
        <v>57</v>
      </c>
      <c r="AJ2671">
        <v>19</v>
      </c>
      <c r="CH2671" t="str">
        <f t="shared" si="41"/>
        <v>D-0189</v>
      </c>
      <c r="CI2671" s="1" t="s">
        <v>102</v>
      </c>
    </row>
    <row r="2672" spans="1:87">
      <c r="A2672" t="s">
        <v>4312</v>
      </c>
      <c r="B2672">
        <v>7935</v>
      </c>
      <c r="C2672" t="s">
        <v>1378</v>
      </c>
      <c r="D2672" t="s">
        <v>195</v>
      </c>
      <c r="E2672" t="s">
        <v>642</v>
      </c>
      <c r="F2672" t="s">
        <v>630</v>
      </c>
      <c r="G2672" t="s">
        <v>3371</v>
      </c>
      <c r="P2672">
        <v>175</v>
      </c>
      <c r="Q2672">
        <v>531</v>
      </c>
      <c r="R2672">
        <v>905</v>
      </c>
      <c r="S2672">
        <v>1444</v>
      </c>
      <c r="T2672">
        <v>1500</v>
      </c>
      <c r="U2672">
        <v>1199</v>
      </c>
      <c r="V2672">
        <v>1054</v>
      </c>
      <c r="W2672">
        <v>511</v>
      </c>
      <c r="X2672">
        <v>111</v>
      </c>
      <c r="Y2672">
        <v>115</v>
      </c>
      <c r="Z2672">
        <v>122</v>
      </c>
      <c r="AA2672">
        <v>109</v>
      </c>
      <c r="AB2672">
        <v>80</v>
      </c>
      <c r="AC2672">
        <v>50</v>
      </c>
      <c r="AD2672">
        <v>29</v>
      </c>
      <c r="CH2672" t="str">
        <f t="shared" si="41"/>
        <v>D-0189</v>
      </c>
      <c r="CI2672" s="1" t="s">
        <v>102</v>
      </c>
    </row>
    <row r="2673" spans="1:87">
      <c r="A2673" t="s">
        <v>4313</v>
      </c>
      <c r="B2673">
        <v>3333</v>
      </c>
      <c r="C2673" t="s">
        <v>1379</v>
      </c>
      <c r="D2673" t="s">
        <v>195</v>
      </c>
      <c r="E2673" t="s">
        <v>629</v>
      </c>
      <c r="F2673" t="s">
        <v>630</v>
      </c>
      <c r="G2673" t="s">
        <v>3371</v>
      </c>
      <c r="R2673">
        <v>18</v>
      </c>
      <c r="S2673">
        <v>67</v>
      </c>
      <c r="T2673">
        <v>170</v>
      </c>
      <c r="U2673">
        <v>177</v>
      </c>
      <c r="V2673">
        <v>387</v>
      </c>
      <c r="W2673">
        <v>427</v>
      </c>
      <c r="X2673">
        <v>450</v>
      </c>
      <c r="Y2673">
        <v>439</v>
      </c>
      <c r="Z2673">
        <v>374</v>
      </c>
      <c r="AA2673">
        <v>241</v>
      </c>
      <c r="AB2673">
        <v>219</v>
      </c>
      <c r="AC2673">
        <v>102</v>
      </c>
      <c r="AD2673">
        <v>139</v>
      </c>
      <c r="AE2673">
        <v>37</v>
      </c>
      <c r="AF2673">
        <v>52</v>
      </c>
      <c r="AH2673">
        <v>25</v>
      </c>
      <c r="AJ2673">
        <v>9</v>
      </c>
      <c r="CH2673" t="str">
        <f t="shared" si="41"/>
        <v>D-0189</v>
      </c>
      <c r="CI2673" s="1" t="s">
        <v>102</v>
      </c>
    </row>
    <row r="2674" spans="1:87">
      <c r="A2674" t="s">
        <v>4314</v>
      </c>
      <c r="B2674">
        <v>4544</v>
      </c>
      <c r="C2674" t="s">
        <v>1113</v>
      </c>
      <c r="D2674" t="s">
        <v>249</v>
      </c>
      <c r="E2674" t="s">
        <v>642</v>
      </c>
      <c r="F2674" t="s">
        <v>657</v>
      </c>
      <c r="G2674" t="s">
        <v>1114</v>
      </c>
      <c r="P2674">
        <v>34</v>
      </c>
      <c r="Q2674">
        <v>190</v>
      </c>
      <c r="R2674">
        <v>204</v>
      </c>
      <c r="S2674">
        <v>444</v>
      </c>
      <c r="T2674">
        <v>360</v>
      </c>
      <c r="U2674">
        <v>600</v>
      </c>
      <c r="V2674">
        <v>481</v>
      </c>
      <c r="W2674">
        <v>672</v>
      </c>
      <c r="X2674">
        <v>302</v>
      </c>
      <c r="Y2674">
        <v>480</v>
      </c>
      <c r="Z2674">
        <v>240</v>
      </c>
      <c r="AA2674">
        <v>240</v>
      </c>
      <c r="AB2674">
        <v>173</v>
      </c>
      <c r="AC2674">
        <v>80</v>
      </c>
      <c r="AD2674">
        <v>44</v>
      </c>
      <c r="CH2674" t="str">
        <f t="shared" si="41"/>
        <v>D-0271</v>
      </c>
      <c r="CI2674" s="1" t="s">
        <v>102</v>
      </c>
    </row>
    <row r="2675" spans="1:87">
      <c r="A2675" t="s">
        <v>4315</v>
      </c>
      <c r="B2675">
        <v>3675</v>
      </c>
      <c r="C2675" t="s">
        <v>1113</v>
      </c>
      <c r="D2675" t="s">
        <v>249</v>
      </c>
      <c r="E2675" t="s">
        <v>642</v>
      </c>
      <c r="F2675" t="s">
        <v>657</v>
      </c>
      <c r="G2675" t="s">
        <v>1114</v>
      </c>
      <c r="R2675">
        <v>93</v>
      </c>
      <c r="S2675">
        <v>420</v>
      </c>
      <c r="T2675">
        <v>336</v>
      </c>
      <c r="U2675">
        <v>600</v>
      </c>
      <c r="V2675">
        <v>481</v>
      </c>
      <c r="W2675">
        <v>660</v>
      </c>
      <c r="X2675">
        <v>302</v>
      </c>
      <c r="Y2675">
        <v>456</v>
      </c>
      <c r="Z2675">
        <v>160</v>
      </c>
      <c r="AA2675">
        <v>167</v>
      </c>
      <c r="CH2675" t="str">
        <f t="shared" si="41"/>
        <v>D-0271</v>
      </c>
      <c r="CI2675" s="1" t="s">
        <v>102</v>
      </c>
    </row>
    <row r="2676" spans="1:87">
      <c r="A2676" t="s">
        <v>4316</v>
      </c>
      <c r="B2676">
        <v>2316</v>
      </c>
      <c r="C2676" t="s">
        <v>1113</v>
      </c>
      <c r="D2676" t="s">
        <v>249</v>
      </c>
      <c r="E2676" t="s">
        <v>642</v>
      </c>
      <c r="F2676" t="s">
        <v>657</v>
      </c>
      <c r="G2676" t="s">
        <v>1114</v>
      </c>
      <c r="S2676">
        <v>280</v>
      </c>
      <c r="T2676">
        <v>213</v>
      </c>
      <c r="U2676">
        <v>471</v>
      </c>
      <c r="V2676">
        <v>340</v>
      </c>
      <c r="W2676">
        <v>535</v>
      </c>
      <c r="X2676">
        <v>158</v>
      </c>
      <c r="Y2676">
        <v>319</v>
      </c>
      <c r="CH2676" t="str">
        <f t="shared" si="41"/>
        <v>D-0271</v>
      </c>
      <c r="CI2676" s="1" t="s">
        <v>102</v>
      </c>
    </row>
    <row r="2677" spans="1:87">
      <c r="A2677" t="s">
        <v>4317</v>
      </c>
      <c r="B2677">
        <v>4638</v>
      </c>
      <c r="C2677" t="s">
        <v>983</v>
      </c>
      <c r="D2677" t="s">
        <v>235</v>
      </c>
      <c r="E2677" t="s">
        <v>642</v>
      </c>
      <c r="F2677" t="s">
        <v>695</v>
      </c>
      <c r="G2677" t="s">
        <v>952</v>
      </c>
      <c r="Q2677">
        <v>231</v>
      </c>
      <c r="R2677">
        <v>300</v>
      </c>
      <c r="S2677">
        <v>420</v>
      </c>
      <c r="T2677">
        <v>636</v>
      </c>
      <c r="U2677">
        <v>636</v>
      </c>
      <c r="V2677">
        <v>793</v>
      </c>
      <c r="W2677">
        <v>636</v>
      </c>
      <c r="X2677">
        <v>422</v>
      </c>
      <c r="Y2677">
        <v>360</v>
      </c>
      <c r="Z2677">
        <v>204</v>
      </c>
      <c r="CH2677" t="str">
        <f t="shared" si="41"/>
        <v>D-0266</v>
      </c>
      <c r="CI2677" s="1" t="s">
        <v>102</v>
      </c>
    </row>
    <row r="2678" spans="1:87">
      <c r="A2678" t="s">
        <v>4318</v>
      </c>
      <c r="B2678">
        <v>3300</v>
      </c>
      <c r="C2678" t="s">
        <v>983</v>
      </c>
      <c r="D2678" t="s">
        <v>235</v>
      </c>
      <c r="E2678" t="s">
        <v>642</v>
      </c>
      <c r="F2678" t="s">
        <v>695</v>
      </c>
      <c r="G2678" t="s">
        <v>952</v>
      </c>
      <c r="R2678">
        <v>192</v>
      </c>
      <c r="S2678">
        <v>285</v>
      </c>
      <c r="T2678">
        <v>502</v>
      </c>
      <c r="U2678">
        <v>502</v>
      </c>
      <c r="V2678">
        <v>674</v>
      </c>
      <c r="W2678">
        <v>524</v>
      </c>
      <c r="X2678">
        <v>315</v>
      </c>
      <c r="Y2678">
        <v>222</v>
      </c>
      <c r="Z2678">
        <v>84</v>
      </c>
      <c r="CH2678" t="str">
        <f t="shared" si="41"/>
        <v>D-0266</v>
      </c>
      <c r="CI2678" s="1" t="s">
        <v>102</v>
      </c>
    </row>
    <row r="2679" spans="1:87">
      <c r="A2679" t="s">
        <v>4319</v>
      </c>
      <c r="B2679">
        <v>35</v>
      </c>
      <c r="C2679" t="s">
        <v>2282</v>
      </c>
      <c r="D2679" t="s">
        <v>114</v>
      </c>
      <c r="E2679" t="s">
        <v>642</v>
      </c>
      <c r="F2679" t="s">
        <v>632</v>
      </c>
      <c r="G2679" t="s">
        <v>2283</v>
      </c>
      <c r="P2679">
        <v>2</v>
      </c>
      <c r="R2679">
        <v>14</v>
      </c>
      <c r="T2679">
        <v>15</v>
      </c>
      <c r="AB2679">
        <v>4</v>
      </c>
      <c r="CH2679" t="str">
        <f t="shared" si="41"/>
        <v>D-0002</v>
      </c>
      <c r="CI2679" s="1" t="s">
        <v>102</v>
      </c>
    </row>
    <row r="2680" spans="1:87">
      <c r="A2680" t="s">
        <v>4320</v>
      </c>
      <c r="B2680">
        <v>760</v>
      </c>
      <c r="C2680" t="s">
        <v>1318</v>
      </c>
      <c r="D2680" t="s">
        <v>195</v>
      </c>
      <c r="E2680" t="s">
        <v>629</v>
      </c>
      <c r="F2680" t="s">
        <v>630</v>
      </c>
      <c r="G2680" t="s">
        <v>4280</v>
      </c>
      <c r="R2680">
        <v>2</v>
      </c>
      <c r="S2680">
        <v>2</v>
      </c>
      <c r="T2680">
        <v>29</v>
      </c>
      <c r="U2680">
        <v>69</v>
      </c>
      <c r="V2680">
        <v>15</v>
      </c>
      <c r="W2680">
        <v>117</v>
      </c>
      <c r="X2680">
        <v>31</v>
      </c>
      <c r="Y2680">
        <v>190</v>
      </c>
      <c r="Z2680">
        <v>159</v>
      </c>
      <c r="AA2680">
        <v>14</v>
      </c>
      <c r="AB2680">
        <v>86</v>
      </c>
      <c r="AC2680">
        <v>1</v>
      </c>
      <c r="AD2680">
        <v>44</v>
      </c>
      <c r="AF2680">
        <v>1</v>
      </c>
      <c r="CH2680" t="str">
        <f t="shared" si="41"/>
        <v>D-0189</v>
      </c>
      <c r="CI2680" s="1" t="s">
        <v>102</v>
      </c>
    </row>
    <row r="2681" spans="1:87">
      <c r="A2681" t="s">
        <v>4321</v>
      </c>
      <c r="B2681">
        <v>902</v>
      </c>
      <c r="C2681" t="s">
        <v>1210</v>
      </c>
      <c r="D2681" t="s">
        <v>195</v>
      </c>
      <c r="E2681" t="s">
        <v>629</v>
      </c>
      <c r="F2681" t="s">
        <v>630</v>
      </c>
      <c r="G2681" t="s">
        <v>3369</v>
      </c>
      <c r="S2681">
        <v>3</v>
      </c>
      <c r="T2681">
        <v>61</v>
      </c>
      <c r="U2681">
        <v>60</v>
      </c>
      <c r="V2681">
        <v>101</v>
      </c>
      <c r="W2681">
        <v>96</v>
      </c>
      <c r="X2681">
        <v>168</v>
      </c>
      <c r="Y2681">
        <v>60</v>
      </c>
      <c r="Z2681">
        <v>54</v>
      </c>
      <c r="AB2681">
        <v>16</v>
      </c>
      <c r="AC2681">
        <v>39</v>
      </c>
      <c r="AD2681">
        <v>47</v>
      </c>
      <c r="AE2681">
        <v>123</v>
      </c>
      <c r="AF2681">
        <v>31</v>
      </c>
      <c r="AH2681">
        <v>4</v>
      </c>
      <c r="AJ2681">
        <v>39</v>
      </c>
      <c r="CH2681" t="str">
        <f t="shared" si="41"/>
        <v>D-0189</v>
      </c>
      <c r="CI2681" s="1" t="s">
        <v>102</v>
      </c>
    </row>
    <row r="2682" spans="1:87">
      <c r="A2682" t="s">
        <v>4322</v>
      </c>
      <c r="B2682">
        <v>4358</v>
      </c>
      <c r="C2682" t="s">
        <v>4323</v>
      </c>
      <c r="D2682" t="s">
        <v>195</v>
      </c>
      <c r="E2682" t="s">
        <v>642</v>
      </c>
      <c r="F2682" t="s">
        <v>630</v>
      </c>
      <c r="G2682" t="s">
        <v>2593</v>
      </c>
      <c r="P2682">
        <v>165</v>
      </c>
      <c r="Q2682">
        <v>351</v>
      </c>
      <c r="R2682">
        <v>571</v>
      </c>
      <c r="S2682">
        <v>856</v>
      </c>
      <c r="T2682">
        <v>812</v>
      </c>
      <c r="U2682">
        <v>647</v>
      </c>
      <c r="V2682">
        <v>557</v>
      </c>
      <c r="W2682">
        <v>197</v>
      </c>
      <c r="X2682">
        <v>50</v>
      </c>
      <c r="Y2682">
        <v>40</v>
      </c>
      <c r="Z2682">
        <v>32</v>
      </c>
      <c r="AA2682">
        <v>28</v>
      </c>
      <c r="AB2682">
        <v>24</v>
      </c>
      <c r="AC2682">
        <v>16</v>
      </c>
      <c r="AD2682">
        <v>12</v>
      </c>
      <c r="CH2682" t="str">
        <f t="shared" si="41"/>
        <v>D-0189</v>
      </c>
      <c r="CI2682" s="1" t="s">
        <v>102</v>
      </c>
    </row>
    <row r="2683" spans="1:87">
      <c r="A2683" t="s">
        <v>4324</v>
      </c>
      <c r="B2683">
        <v>646</v>
      </c>
      <c r="C2683" t="s">
        <v>1212</v>
      </c>
      <c r="D2683" t="s">
        <v>195</v>
      </c>
      <c r="E2683" t="s">
        <v>642</v>
      </c>
      <c r="F2683" t="s">
        <v>630</v>
      </c>
      <c r="G2683" t="s">
        <v>3371</v>
      </c>
      <c r="P2683">
        <v>8</v>
      </c>
      <c r="W2683">
        <v>125</v>
      </c>
      <c r="X2683">
        <v>196</v>
      </c>
      <c r="Y2683">
        <v>107</v>
      </c>
      <c r="Z2683">
        <v>130</v>
      </c>
      <c r="AA2683">
        <v>14</v>
      </c>
      <c r="AB2683">
        <v>59</v>
      </c>
      <c r="AC2683">
        <v>2</v>
      </c>
      <c r="AD2683">
        <v>5</v>
      </c>
      <c r="CH2683" t="str">
        <f t="shared" si="41"/>
        <v>D-0189</v>
      </c>
      <c r="CI2683" s="1" t="s">
        <v>102</v>
      </c>
    </row>
    <row r="2684" spans="1:87">
      <c r="A2684" t="s">
        <v>4325</v>
      </c>
      <c r="B2684">
        <v>1393</v>
      </c>
      <c r="C2684" t="s">
        <v>1192</v>
      </c>
      <c r="D2684" t="s">
        <v>195</v>
      </c>
      <c r="E2684" t="s">
        <v>642</v>
      </c>
      <c r="F2684" t="s">
        <v>630</v>
      </c>
      <c r="G2684" t="s">
        <v>3474</v>
      </c>
      <c r="Q2684">
        <v>102</v>
      </c>
      <c r="S2684">
        <v>134</v>
      </c>
      <c r="T2684">
        <v>163</v>
      </c>
      <c r="U2684">
        <v>403</v>
      </c>
      <c r="V2684">
        <v>90</v>
      </c>
      <c r="W2684">
        <v>271</v>
      </c>
      <c r="X2684">
        <v>147</v>
      </c>
      <c r="Y2684">
        <v>13</v>
      </c>
      <c r="Z2684">
        <v>66</v>
      </c>
      <c r="AA2684">
        <v>4</v>
      </c>
      <c r="CH2684" t="str">
        <f t="shared" si="41"/>
        <v>D-0189</v>
      </c>
      <c r="CI2684" s="1" t="s">
        <v>102</v>
      </c>
    </row>
    <row r="2685" spans="1:87">
      <c r="A2685" t="s">
        <v>4326</v>
      </c>
      <c r="B2685">
        <v>2991</v>
      </c>
      <c r="C2685" t="s">
        <v>996</v>
      </c>
      <c r="D2685" t="s">
        <v>199</v>
      </c>
      <c r="E2685" t="s">
        <v>629</v>
      </c>
      <c r="F2685" t="s">
        <v>725</v>
      </c>
      <c r="G2685" t="s">
        <v>2493</v>
      </c>
      <c r="N2685">
        <v>6</v>
      </c>
      <c r="O2685">
        <v>6</v>
      </c>
      <c r="P2685">
        <v>12</v>
      </c>
      <c r="Q2685">
        <v>18</v>
      </c>
      <c r="R2685">
        <v>24</v>
      </c>
      <c r="S2685">
        <v>36</v>
      </c>
      <c r="T2685">
        <v>150</v>
      </c>
      <c r="U2685">
        <v>36</v>
      </c>
      <c r="V2685">
        <v>283</v>
      </c>
      <c r="W2685">
        <v>204</v>
      </c>
      <c r="X2685">
        <v>374</v>
      </c>
      <c r="Y2685">
        <v>270</v>
      </c>
      <c r="Z2685">
        <v>432</v>
      </c>
      <c r="AA2685">
        <v>186</v>
      </c>
      <c r="AB2685">
        <v>342</v>
      </c>
      <c r="AC2685">
        <v>120</v>
      </c>
      <c r="AD2685">
        <v>246</v>
      </c>
      <c r="AE2685">
        <v>30</v>
      </c>
      <c r="AF2685">
        <v>126</v>
      </c>
      <c r="AH2685">
        <v>78</v>
      </c>
      <c r="AJ2685">
        <v>12</v>
      </c>
      <c r="CH2685" t="str">
        <f t="shared" si="41"/>
        <v>D-0203</v>
      </c>
      <c r="CI2685" s="1" t="s">
        <v>102</v>
      </c>
    </row>
    <row r="2686" spans="1:87">
      <c r="A2686" t="s">
        <v>4329</v>
      </c>
      <c r="B2686">
        <v>3249</v>
      </c>
      <c r="C2686" t="s">
        <v>2383</v>
      </c>
      <c r="D2686" t="s">
        <v>249</v>
      </c>
      <c r="E2686" t="s">
        <v>629</v>
      </c>
      <c r="F2686" t="s">
        <v>657</v>
      </c>
      <c r="G2686" t="s">
        <v>2384</v>
      </c>
      <c r="V2686">
        <v>301</v>
      </c>
      <c r="W2686">
        <v>99</v>
      </c>
      <c r="X2686">
        <v>602</v>
      </c>
      <c r="Y2686">
        <v>204</v>
      </c>
      <c r="Z2686">
        <v>780</v>
      </c>
      <c r="AA2686">
        <v>216</v>
      </c>
      <c r="AB2686">
        <v>600</v>
      </c>
      <c r="AC2686">
        <v>87</v>
      </c>
      <c r="AD2686">
        <v>360</v>
      </c>
      <c r="CH2686" t="str">
        <f t="shared" si="41"/>
        <v>D-0271</v>
      </c>
      <c r="CI2686" s="1" t="s">
        <v>102</v>
      </c>
    </row>
    <row r="2687" spans="1:87">
      <c r="A2687" t="s">
        <v>4330</v>
      </c>
      <c r="B2687">
        <v>2200</v>
      </c>
      <c r="C2687" t="s">
        <v>2383</v>
      </c>
      <c r="D2687" t="s">
        <v>249</v>
      </c>
      <c r="E2687" t="s">
        <v>629</v>
      </c>
      <c r="F2687" t="s">
        <v>657</v>
      </c>
      <c r="G2687" t="s">
        <v>2384</v>
      </c>
      <c r="V2687">
        <v>199</v>
      </c>
      <c r="X2687">
        <v>462</v>
      </c>
      <c r="Y2687">
        <v>94</v>
      </c>
      <c r="Z2687">
        <v>640</v>
      </c>
      <c r="AA2687">
        <v>85</v>
      </c>
      <c r="AB2687">
        <v>480</v>
      </c>
      <c r="AD2687">
        <v>240</v>
      </c>
      <c r="CH2687" t="str">
        <f t="shared" si="41"/>
        <v>D-0271</v>
      </c>
      <c r="CI2687" s="1" t="s">
        <v>102</v>
      </c>
    </row>
    <row r="2688" spans="1:87">
      <c r="A2688" t="s">
        <v>4332</v>
      </c>
      <c r="B2688">
        <v>3585</v>
      </c>
      <c r="C2688" t="s">
        <v>2383</v>
      </c>
      <c r="D2688" t="s">
        <v>249</v>
      </c>
      <c r="E2688" t="s">
        <v>629</v>
      </c>
      <c r="F2688" t="s">
        <v>657</v>
      </c>
      <c r="G2688" t="s">
        <v>2384</v>
      </c>
      <c r="V2688">
        <v>385</v>
      </c>
      <c r="W2688">
        <v>240</v>
      </c>
      <c r="X2688">
        <v>602</v>
      </c>
      <c r="Y2688">
        <v>384</v>
      </c>
      <c r="Z2688">
        <v>696</v>
      </c>
      <c r="AA2688">
        <v>216</v>
      </c>
      <c r="AB2688">
        <v>540</v>
      </c>
      <c r="AC2688">
        <v>96</v>
      </c>
      <c r="AD2688">
        <v>360</v>
      </c>
      <c r="AF2688">
        <v>66</v>
      </c>
      <c r="CH2688" t="str">
        <f t="shared" si="41"/>
        <v>D-0271</v>
      </c>
      <c r="CI2688" s="1" t="s">
        <v>102</v>
      </c>
    </row>
    <row r="2689" spans="1:87">
      <c r="A2689" t="s">
        <v>4333</v>
      </c>
      <c r="B2689">
        <v>2349</v>
      </c>
      <c r="C2689" t="s">
        <v>2383</v>
      </c>
      <c r="D2689" t="s">
        <v>249</v>
      </c>
      <c r="E2689" t="s">
        <v>629</v>
      </c>
      <c r="F2689" t="s">
        <v>657</v>
      </c>
      <c r="G2689" t="s">
        <v>2384</v>
      </c>
      <c r="V2689">
        <v>247</v>
      </c>
      <c r="W2689">
        <v>120</v>
      </c>
      <c r="X2689">
        <v>412</v>
      </c>
      <c r="Y2689">
        <v>242</v>
      </c>
      <c r="Z2689">
        <v>564</v>
      </c>
      <c r="AA2689">
        <v>94</v>
      </c>
      <c r="AB2689">
        <v>460</v>
      </c>
      <c r="AD2689">
        <v>210</v>
      </c>
      <c r="CH2689" t="str">
        <f t="shared" si="41"/>
        <v>D-0271</v>
      </c>
      <c r="CI2689" s="1" t="s">
        <v>102</v>
      </c>
    </row>
    <row r="2690" spans="1:87">
      <c r="A2690" t="s">
        <v>4334</v>
      </c>
      <c r="B2690">
        <v>5207</v>
      </c>
      <c r="C2690" t="s">
        <v>2383</v>
      </c>
      <c r="D2690" t="s">
        <v>249</v>
      </c>
      <c r="E2690" t="s">
        <v>629</v>
      </c>
      <c r="F2690" t="s">
        <v>657</v>
      </c>
      <c r="G2690" t="s">
        <v>2384</v>
      </c>
      <c r="T2690">
        <v>140</v>
      </c>
      <c r="U2690">
        <v>20</v>
      </c>
      <c r="V2690">
        <v>560</v>
      </c>
      <c r="W2690">
        <v>390</v>
      </c>
      <c r="X2690">
        <v>764</v>
      </c>
      <c r="Y2690">
        <v>590</v>
      </c>
      <c r="Z2690">
        <v>871</v>
      </c>
      <c r="AA2690">
        <v>320</v>
      </c>
      <c r="AB2690">
        <v>717</v>
      </c>
      <c r="AC2690">
        <v>180</v>
      </c>
      <c r="AD2690">
        <v>455</v>
      </c>
      <c r="AE2690">
        <v>20</v>
      </c>
      <c r="AF2690">
        <v>160</v>
      </c>
      <c r="AH2690">
        <v>20</v>
      </c>
      <c r="CH2690" t="str">
        <f t="shared" ref="CH2690:CH2753" si="42">TRIM(IFERROR(IFERROR(MID($D2690,FIND("(D-",$D2690)+1,6),LEFT($D2690,FIND("(",$D2690)-1)),$D2690))</f>
        <v>D-0271</v>
      </c>
      <c r="CI2690" s="1" t="s">
        <v>102</v>
      </c>
    </row>
    <row r="2691" spans="1:87">
      <c r="A2691" t="s">
        <v>4335</v>
      </c>
      <c r="B2691">
        <v>1472</v>
      </c>
      <c r="C2691" t="s">
        <v>1112</v>
      </c>
      <c r="D2691" t="s">
        <v>199</v>
      </c>
      <c r="E2691" t="s">
        <v>629</v>
      </c>
      <c r="F2691" t="s">
        <v>725</v>
      </c>
      <c r="G2691" t="s">
        <v>2493</v>
      </c>
      <c r="V2691">
        <v>130</v>
      </c>
      <c r="X2691">
        <v>354</v>
      </c>
      <c r="Z2691">
        <v>438</v>
      </c>
      <c r="AA2691">
        <v>59</v>
      </c>
      <c r="AB2691">
        <v>340</v>
      </c>
      <c r="AD2691">
        <v>151</v>
      </c>
      <c r="CH2691" t="str">
        <f t="shared" si="42"/>
        <v>D-0203</v>
      </c>
      <c r="CI2691" s="1" t="s">
        <v>102</v>
      </c>
    </row>
    <row r="2692" spans="1:87">
      <c r="A2692" t="s">
        <v>4336</v>
      </c>
      <c r="B2692">
        <v>4610</v>
      </c>
      <c r="C2692" t="s">
        <v>1046</v>
      </c>
      <c r="D2692" t="s">
        <v>352</v>
      </c>
      <c r="E2692" t="s">
        <v>642</v>
      </c>
      <c r="F2692" t="s">
        <v>645</v>
      </c>
      <c r="G2692" t="s">
        <v>2283</v>
      </c>
      <c r="P2692">
        <v>67</v>
      </c>
      <c r="Q2692">
        <v>131</v>
      </c>
      <c r="R2692">
        <v>405</v>
      </c>
      <c r="S2692">
        <v>555</v>
      </c>
      <c r="T2692">
        <v>743</v>
      </c>
      <c r="U2692">
        <v>610</v>
      </c>
      <c r="V2692">
        <v>483</v>
      </c>
      <c r="W2692">
        <v>416</v>
      </c>
      <c r="X2692">
        <v>303</v>
      </c>
      <c r="Y2692">
        <v>218</v>
      </c>
      <c r="Z2692">
        <v>173</v>
      </c>
      <c r="AA2692">
        <v>156</v>
      </c>
      <c r="AB2692">
        <v>128</v>
      </c>
      <c r="AC2692">
        <v>120</v>
      </c>
      <c r="AD2692">
        <v>102</v>
      </c>
      <c r="CH2692" t="str">
        <f t="shared" si="42"/>
        <v>D-0515</v>
      </c>
      <c r="CI2692" s="1" t="s">
        <v>102</v>
      </c>
    </row>
    <row r="2693" spans="1:87">
      <c r="A2693" t="s">
        <v>4337</v>
      </c>
      <c r="B2693">
        <v>4155</v>
      </c>
      <c r="C2693" t="s">
        <v>1205</v>
      </c>
      <c r="D2693" t="s">
        <v>199</v>
      </c>
      <c r="E2693" t="s">
        <v>629</v>
      </c>
      <c r="F2693" t="s">
        <v>725</v>
      </c>
      <c r="G2693" t="s">
        <v>4338</v>
      </c>
      <c r="N2693">
        <v>1</v>
      </c>
      <c r="O2693">
        <v>1</v>
      </c>
      <c r="P2693">
        <v>4</v>
      </c>
      <c r="Q2693">
        <v>4</v>
      </c>
      <c r="R2693">
        <v>27</v>
      </c>
      <c r="S2693">
        <v>44</v>
      </c>
      <c r="T2693">
        <v>104</v>
      </c>
      <c r="U2693">
        <v>57</v>
      </c>
      <c r="V2693">
        <v>437</v>
      </c>
      <c r="W2693">
        <v>455</v>
      </c>
      <c r="X2693">
        <v>468</v>
      </c>
      <c r="Y2693">
        <v>553</v>
      </c>
      <c r="Z2693">
        <v>621</v>
      </c>
      <c r="AA2693">
        <v>121</v>
      </c>
      <c r="AB2693">
        <v>520</v>
      </c>
      <c r="AC2693">
        <v>111</v>
      </c>
      <c r="AD2693">
        <v>405</v>
      </c>
      <c r="AE2693">
        <v>73</v>
      </c>
      <c r="AF2693">
        <v>83</v>
      </c>
      <c r="AH2693">
        <v>41</v>
      </c>
      <c r="AJ2693">
        <v>25</v>
      </c>
      <c r="CH2693" t="str">
        <f t="shared" si="42"/>
        <v>D-0203</v>
      </c>
      <c r="CI2693" s="1" t="s">
        <v>102</v>
      </c>
    </row>
    <row r="2694" spans="1:87">
      <c r="A2694" t="s">
        <v>4339</v>
      </c>
      <c r="B2694">
        <v>4737</v>
      </c>
      <c r="C2694" t="s">
        <v>1194</v>
      </c>
      <c r="D2694" t="s">
        <v>199</v>
      </c>
      <c r="E2694" t="s">
        <v>629</v>
      </c>
      <c r="F2694" t="s">
        <v>725</v>
      </c>
      <c r="G2694" t="s">
        <v>4340</v>
      </c>
      <c r="O2694">
        <v>1</v>
      </c>
      <c r="P2694">
        <v>2</v>
      </c>
      <c r="Q2694">
        <v>3</v>
      </c>
      <c r="R2694">
        <v>18</v>
      </c>
      <c r="S2694">
        <v>29</v>
      </c>
      <c r="T2694">
        <v>97</v>
      </c>
      <c r="U2694">
        <v>43</v>
      </c>
      <c r="V2694">
        <v>534</v>
      </c>
      <c r="W2694">
        <v>352</v>
      </c>
      <c r="X2694">
        <v>730</v>
      </c>
      <c r="Y2694">
        <v>471</v>
      </c>
      <c r="Z2694">
        <v>849</v>
      </c>
      <c r="AA2694">
        <v>234</v>
      </c>
      <c r="AB2694">
        <v>722</v>
      </c>
      <c r="AC2694">
        <v>116</v>
      </c>
      <c r="AD2694">
        <v>341</v>
      </c>
      <c r="AE2694">
        <v>49</v>
      </c>
      <c r="AF2694">
        <v>100</v>
      </c>
      <c r="AH2694">
        <v>29</v>
      </c>
      <c r="AJ2694">
        <v>17</v>
      </c>
      <c r="CH2694" t="str">
        <f t="shared" si="42"/>
        <v>D-0203</v>
      </c>
      <c r="CI2694" s="1" t="s">
        <v>102</v>
      </c>
    </row>
    <row r="2695" spans="1:87">
      <c r="A2695" t="s">
        <v>4341</v>
      </c>
      <c r="B2695">
        <v>5004</v>
      </c>
      <c r="C2695" t="s">
        <v>708</v>
      </c>
      <c r="D2695" t="s">
        <v>249</v>
      </c>
      <c r="E2695" t="s">
        <v>642</v>
      </c>
      <c r="F2695" t="s">
        <v>709</v>
      </c>
      <c r="G2695" t="s">
        <v>710</v>
      </c>
      <c r="P2695">
        <v>21</v>
      </c>
      <c r="Q2695">
        <v>126</v>
      </c>
      <c r="R2695">
        <v>300</v>
      </c>
      <c r="S2695">
        <v>300</v>
      </c>
      <c r="T2695">
        <v>720</v>
      </c>
      <c r="U2695">
        <v>600</v>
      </c>
      <c r="V2695">
        <v>841</v>
      </c>
      <c r="W2695">
        <v>540</v>
      </c>
      <c r="X2695">
        <v>494</v>
      </c>
      <c r="Y2695">
        <v>300</v>
      </c>
      <c r="Z2695">
        <v>240</v>
      </c>
      <c r="AA2695">
        <v>49</v>
      </c>
      <c r="AB2695">
        <v>196</v>
      </c>
      <c r="AC2695">
        <v>37</v>
      </c>
      <c r="AD2695">
        <v>59</v>
      </c>
      <c r="AE2695">
        <v>36</v>
      </c>
      <c r="AF2695">
        <v>44</v>
      </c>
      <c r="AG2695">
        <v>32</v>
      </c>
      <c r="AH2695">
        <v>34</v>
      </c>
      <c r="AI2695">
        <v>20</v>
      </c>
      <c r="AK2695">
        <v>15</v>
      </c>
      <c r="CH2695" t="str">
        <f t="shared" si="42"/>
        <v>D-0271</v>
      </c>
      <c r="CI2695" s="1" t="s">
        <v>102</v>
      </c>
    </row>
    <row r="2696" spans="1:87">
      <c r="A2696" t="s">
        <v>4342</v>
      </c>
      <c r="B2696">
        <v>3153</v>
      </c>
      <c r="C2696" t="s">
        <v>708</v>
      </c>
      <c r="D2696" t="s">
        <v>249</v>
      </c>
      <c r="E2696" t="s">
        <v>642</v>
      </c>
      <c r="F2696" t="s">
        <v>709</v>
      </c>
      <c r="G2696" t="s">
        <v>710</v>
      </c>
      <c r="R2696">
        <v>134</v>
      </c>
      <c r="S2696">
        <v>188</v>
      </c>
      <c r="T2696">
        <v>577</v>
      </c>
      <c r="U2696">
        <v>478</v>
      </c>
      <c r="V2696">
        <v>706</v>
      </c>
      <c r="W2696">
        <v>403</v>
      </c>
      <c r="X2696">
        <v>389</v>
      </c>
      <c r="Y2696">
        <v>155</v>
      </c>
      <c r="Z2696">
        <v>123</v>
      </c>
      <c r="CH2696" t="str">
        <f t="shared" si="42"/>
        <v>D-0271</v>
      </c>
      <c r="CI2696" s="1" t="s">
        <v>102</v>
      </c>
    </row>
    <row r="2697" spans="1:87">
      <c r="A2697" t="s">
        <v>4343</v>
      </c>
      <c r="B2697">
        <v>3053</v>
      </c>
      <c r="C2697" t="s">
        <v>1535</v>
      </c>
      <c r="D2697" t="s">
        <v>195</v>
      </c>
      <c r="E2697" t="s">
        <v>629</v>
      </c>
      <c r="F2697" t="s">
        <v>630</v>
      </c>
      <c r="G2697" t="s">
        <v>4344</v>
      </c>
      <c r="R2697">
        <v>19</v>
      </c>
      <c r="S2697">
        <v>29</v>
      </c>
      <c r="T2697">
        <v>45</v>
      </c>
      <c r="U2697">
        <v>64</v>
      </c>
      <c r="V2697">
        <v>121</v>
      </c>
      <c r="W2697">
        <v>171</v>
      </c>
      <c r="X2697">
        <v>261</v>
      </c>
      <c r="Y2697">
        <v>310</v>
      </c>
      <c r="Z2697">
        <v>361</v>
      </c>
      <c r="AA2697">
        <v>398</v>
      </c>
      <c r="AB2697">
        <v>370</v>
      </c>
      <c r="AC2697">
        <v>237</v>
      </c>
      <c r="AD2697">
        <v>280</v>
      </c>
      <c r="AE2697">
        <v>90</v>
      </c>
      <c r="AF2697">
        <v>183</v>
      </c>
      <c r="AH2697">
        <v>74</v>
      </c>
      <c r="AJ2697">
        <v>40</v>
      </c>
      <c r="CH2697" t="str">
        <f t="shared" si="42"/>
        <v>D-0189</v>
      </c>
      <c r="CI2697" s="1" t="s">
        <v>102</v>
      </c>
    </row>
    <row r="2698" spans="1:87">
      <c r="A2698" t="s">
        <v>4345</v>
      </c>
      <c r="B2698">
        <v>429</v>
      </c>
      <c r="C2698" t="s">
        <v>2413</v>
      </c>
      <c r="D2698" t="s">
        <v>237</v>
      </c>
      <c r="E2698" t="s">
        <v>629</v>
      </c>
      <c r="F2698" t="s">
        <v>665</v>
      </c>
      <c r="G2698" t="s">
        <v>3502</v>
      </c>
      <c r="T2698">
        <v>24</v>
      </c>
      <c r="V2698">
        <v>60</v>
      </c>
      <c r="X2698">
        <v>123</v>
      </c>
      <c r="Z2698">
        <v>114</v>
      </c>
      <c r="AB2698">
        <v>72</v>
      </c>
      <c r="AD2698">
        <v>30</v>
      </c>
      <c r="AF2698">
        <v>6</v>
      </c>
      <c r="CH2698" t="str">
        <f t="shared" si="42"/>
        <v>D-0267</v>
      </c>
      <c r="CI2698" s="1" t="s">
        <v>102</v>
      </c>
    </row>
    <row r="2699" spans="1:87">
      <c r="A2699" t="s">
        <v>4346</v>
      </c>
      <c r="B2699">
        <v>609</v>
      </c>
      <c r="C2699" t="s">
        <v>2413</v>
      </c>
      <c r="D2699" t="s">
        <v>237</v>
      </c>
      <c r="E2699" t="s">
        <v>629</v>
      </c>
      <c r="F2699" t="s">
        <v>665</v>
      </c>
      <c r="G2699" t="s">
        <v>3502</v>
      </c>
      <c r="T2699">
        <v>12</v>
      </c>
      <c r="U2699">
        <v>18</v>
      </c>
      <c r="V2699">
        <v>48</v>
      </c>
      <c r="W2699">
        <v>36</v>
      </c>
      <c r="X2699">
        <v>87</v>
      </c>
      <c r="Y2699">
        <v>78</v>
      </c>
      <c r="Z2699">
        <v>96</v>
      </c>
      <c r="AA2699">
        <v>66</v>
      </c>
      <c r="AB2699">
        <v>78</v>
      </c>
      <c r="AC2699">
        <v>30</v>
      </c>
      <c r="AD2699">
        <v>36</v>
      </c>
      <c r="AE2699">
        <v>6</v>
      </c>
      <c r="AF2699">
        <v>18</v>
      </c>
      <c r="CH2699" t="str">
        <f t="shared" si="42"/>
        <v>D-0267</v>
      </c>
      <c r="CI2699" s="1" t="s">
        <v>102</v>
      </c>
    </row>
    <row r="2700" spans="1:87">
      <c r="A2700" t="s">
        <v>4347</v>
      </c>
      <c r="B2700">
        <v>2935</v>
      </c>
      <c r="C2700" t="s">
        <v>2413</v>
      </c>
      <c r="D2700" t="s">
        <v>237</v>
      </c>
      <c r="E2700" t="s">
        <v>629</v>
      </c>
      <c r="F2700" t="s">
        <v>665</v>
      </c>
      <c r="G2700" t="s">
        <v>3502</v>
      </c>
      <c r="T2700">
        <v>78</v>
      </c>
      <c r="U2700">
        <v>93</v>
      </c>
      <c r="V2700">
        <v>221</v>
      </c>
      <c r="W2700">
        <v>249</v>
      </c>
      <c r="X2700">
        <v>338</v>
      </c>
      <c r="Y2700">
        <v>344</v>
      </c>
      <c r="Z2700">
        <v>378</v>
      </c>
      <c r="AA2700">
        <v>345</v>
      </c>
      <c r="AB2700">
        <v>324</v>
      </c>
      <c r="AC2700">
        <v>180</v>
      </c>
      <c r="AD2700">
        <v>239</v>
      </c>
      <c r="AE2700">
        <v>3</v>
      </c>
      <c r="AF2700">
        <v>143</v>
      </c>
      <c r="CH2700" t="str">
        <f t="shared" si="42"/>
        <v>D-0267</v>
      </c>
      <c r="CI2700" s="1" t="s">
        <v>102</v>
      </c>
    </row>
    <row r="2701" spans="1:87">
      <c r="A2701" t="s">
        <v>4348</v>
      </c>
      <c r="B2701">
        <v>4803</v>
      </c>
      <c r="C2701" t="s">
        <v>2413</v>
      </c>
      <c r="D2701" t="s">
        <v>237</v>
      </c>
      <c r="E2701" t="s">
        <v>629</v>
      </c>
      <c r="F2701" t="s">
        <v>665</v>
      </c>
      <c r="G2701" t="s">
        <v>3502</v>
      </c>
      <c r="T2701">
        <v>96</v>
      </c>
      <c r="U2701">
        <v>144</v>
      </c>
      <c r="V2701">
        <v>432</v>
      </c>
      <c r="W2701">
        <v>384</v>
      </c>
      <c r="X2701">
        <v>531</v>
      </c>
      <c r="Y2701">
        <v>480</v>
      </c>
      <c r="Z2701">
        <v>672</v>
      </c>
      <c r="AA2701">
        <v>576</v>
      </c>
      <c r="AB2701">
        <v>528</v>
      </c>
      <c r="AC2701">
        <v>240</v>
      </c>
      <c r="AD2701">
        <v>432</v>
      </c>
      <c r="AF2701">
        <v>288</v>
      </c>
      <c r="CH2701" t="str">
        <f t="shared" si="42"/>
        <v>D-0267</v>
      </c>
      <c r="CI2701" s="1" t="s">
        <v>102</v>
      </c>
    </row>
    <row r="2702" spans="1:87">
      <c r="A2702" t="s">
        <v>4349</v>
      </c>
      <c r="B2702">
        <v>23</v>
      </c>
      <c r="C2702" t="s">
        <v>2413</v>
      </c>
      <c r="D2702" t="s">
        <v>237</v>
      </c>
      <c r="E2702" t="s">
        <v>629</v>
      </c>
      <c r="F2702" t="s">
        <v>665</v>
      </c>
      <c r="G2702" t="s">
        <v>3502</v>
      </c>
      <c r="R2702">
        <v>5</v>
      </c>
      <c r="S2702">
        <v>5</v>
      </c>
      <c r="T2702">
        <v>5</v>
      </c>
      <c r="U2702">
        <v>3</v>
      </c>
      <c r="V2702">
        <v>5</v>
      </c>
      <c r="CH2702" t="str">
        <f t="shared" si="42"/>
        <v>D-0267</v>
      </c>
      <c r="CI2702" s="1" t="s">
        <v>102</v>
      </c>
    </row>
    <row r="2703" spans="1:87">
      <c r="A2703" t="s">
        <v>4350</v>
      </c>
      <c r="B2703">
        <v>210</v>
      </c>
      <c r="C2703" t="s">
        <v>4351</v>
      </c>
      <c r="D2703" t="s">
        <v>237</v>
      </c>
      <c r="E2703" t="s">
        <v>629</v>
      </c>
      <c r="F2703" t="s">
        <v>665</v>
      </c>
      <c r="G2703" t="s">
        <v>4352</v>
      </c>
      <c r="T2703">
        <v>12</v>
      </c>
      <c r="V2703">
        <v>30</v>
      </c>
      <c r="X2703">
        <v>60</v>
      </c>
      <c r="Z2703">
        <v>54</v>
      </c>
      <c r="AB2703">
        <v>36</v>
      </c>
      <c r="AD2703">
        <v>12</v>
      </c>
      <c r="AF2703">
        <v>6</v>
      </c>
      <c r="CH2703" t="str">
        <f t="shared" si="42"/>
        <v>D-0267</v>
      </c>
      <c r="CI2703" s="1" t="s">
        <v>102</v>
      </c>
    </row>
    <row r="2704" spans="1:87">
      <c r="A2704" t="s">
        <v>4353</v>
      </c>
      <c r="B2704">
        <v>96</v>
      </c>
      <c r="C2704" t="s">
        <v>4351</v>
      </c>
      <c r="D2704" t="s">
        <v>237</v>
      </c>
      <c r="E2704" t="s">
        <v>629</v>
      </c>
      <c r="F2704" t="s">
        <v>665</v>
      </c>
      <c r="G2704" t="s">
        <v>4352</v>
      </c>
      <c r="T2704">
        <v>6</v>
      </c>
      <c r="V2704">
        <v>12</v>
      </c>
      <c r="X2704">
        <v>30</v>
      </c>
      <c r="Z2704">
        <v>24</v>
      </c>
      <c r="AB2704">
        <v>18</v>
      </c>
      <c r="AD2704">
        <v>6</v>
      </c>
      <c r="CH2704" t="str">
        <f t="shared" si="42"/>
        <v>D-0267</v>
      </c>
      <c r="CI2704" s="1" t="s">
        <v>102</v>
      </c>
    </row>
    <row r="2705" spans="1:87">
      <c r="A2705" t="s">
        <v>4354</v>
      </c>
      <c r="B2705">
        <v>369</v>
      </c>
      <c r="C2705" t="s">
        <v>4351</v>
      </c>
      <c r="D2705" t="s">
        <v>237</v>
      </c>
      <c r="E2705" t="s">
        <v>629</v>
      </c>
      <c r="F2705" t="s">
        <v>665</v>
      </c>
      <c r="G2705" t="s">
        <v>4352</v>
      </c>
      <c r="R2705">
        <v>30</v>
      </c>
      <c r="S2705">
        <v>12</v>
      </c>
      <c r="T2705">
        <v>42</v>
      </c>
      <c r="U2705">
        <v>24</v>
      </c>
      <c r="V2705">
        <v>60</v>
      </c>
      <c r="W2705">
        <v>24</v>
      </c>
      <c r="X2705">
        <v>63</v>
      </c>
      <c r="Y2705">
        <v>24</v>
      </c>
      <c r="Z2705">
        <v>36</v>
      </c>
      <c r="AA2705">
        <v>24</v>
      </c>
      <c r="AB2705">
        <v>18</v>
      </c>
      <c r="AD2705">
        <v>12</v>
      </c>
      <c r="CH2705" t="str">
        <f t="shared" si="42"/>
        <v>D-0267</v>
      </c>
      <c r="CI2705" s="1" t="s">
        <v>102</v>
      </c>
    </row>
    <row r="2706" spans="1:87">
      <c r="A2706" t="s">
        <v>4355</v>
      </c>
      <c r="B2706">
        <v>6886</v>
      </c>
      <c r="C2706" t="s">
        <v>4351</v>
      </c>
      <c r="D2706" t="s">
        <v>237</v>
      </c>
      <c r="E2706" t="s">
        <v>629</v>
      </c>
      <c r="F2706" t="s">
        <v>665</v>
      </c>
      <c r="G2706" t="s">
        <v>4352</v>
      </c>
      <c r="S2706">
        <v>41</v>
      </c>
      <c r="T2706">
        <v>234</v>
      </c>
      <c r="U2706">
        <v>248</v>
      </c>
      <c r="V2706">
        <v>565</v>
      </c>
      <c r="W2706">
        <v>593</v>
      </c>
      <c r="X2706">
        <v>766</v>
      </c>
      <c r="Y2706">
        <v>962</v>
      </c>
      <c r="Z2706">
        <v>993</v>
      </c>
      <c r="AA2706">
        <v>531</v>
      </c>
      <c r="AB2706">
        <v>685</v>
      </c>
      <c r="AC2706">
        <v>414</v>
      </c>
      <c r="AD2706">
        <v>545</v>
      </c>
      <c r="AE2706">
        <v>151</v>
      </c>
      <c r="AF2706">
        <v>158</v>
      </c>
      <c r="CH2706" t="str">
        <f t="shared" si="42"/>
        <v>D-0267</v>
      </c>
      <c r="CI2706" s="1" t="s">
        <v>102</v>
      </c>
    </row>
    <row r="2707" spans="1:87">
      <c r="A2707" t="s">
        <v>4356</v>
      </c>
      <c r="B2707">
        <v>6886</v>
      </c>
      <c r="C2707" t="s">
        <v>4351</v>
      </c>
      <c r="D2707" t="s">
        <v>237</v>
      </c>
      <c r="E2707" t="s">
        <v>629</v>
      </c>
      <c r="F2707" t="s">
        <v>665</v>
      </c>
      <c r="G2707" t="s">
        <v>4352</v>
      </c>
      <c r="S2707">
        <v>41</v>
      </c>
      <c r="T2707">
        <v>234</v>
      </c>
      <c r="U2707">
        <v>248</v>
      </c>
      <c r="V2707">
        <v>565</v>
      </c>
      <c r="W2707">
        <v>593</v>
      </c>
      <c r="X2707">
        <v>766</v>
      </c>
      <c r="Y2707">
        <v>962</v>
      </c>
      <c r="Z2707">
        <v>993</v>
      </c>
      <c r="AA2707">
        <v>531</v>
      </c>
      <c r="AB2707">
        <v>685</v>
      </c>
      <c r="AC2707">
        <v>414</v>
      </c>
      <c r="AD2707">
        <v>545</v>
      </c>
      <c r="AE2707">
        <v>151</v>
      </c>
      <c r="AF2707">
        <v>158</v>
      </c>
      <c r="CH2707" t="str">
        <f t="shared" si="42"/>
        <v>D-0267</v>
      </c>
      <c r="CI2707" s="1" t="s">
        <v>102</v>
      </c>
    </row>
    <row r="2708" spans="1:87">
      <c r="A2708" t="s">
        <v>4357</v>
      </c>
      <c r="B2708">
        <v>2642</v>
      </c>
      <c r="C2708" t="s">
        <v>4351</v>
      </c>
      <c r="D2708" t="s">
        <v>237</v>
      </c>
      <c r="E2708" t="s">
        <v>629</v>
      </c>
      <c r="F2708" t="s">
        <v>665</v>
      </c>
      <c r="G2708" t="s">
        <v>4352</v>
      </c>
      <c r="S2708">
        <v>17</v>
      </c>
      <c r="T2708">
        <v>91</v>
      </c>
      <c r="U2708">
        <v>95</v>
      </c>
      <c r="V2708">
        <v>217</v>
      </c>
      <c r="W2708">
        <v>227</v>
      </c>
      <c r="X2708">
        <v>295</v>
      </c>
      <c r="Y2708">
        <v>368</v>
      </c>
      <c r="Z2708">
        <v>379</v>
      </c>
      <c r="AA2708">
        <v>203</v>
      </c>
      <c r="AB2708">
        <v>263</v>
      </c>
      <c r="AC2708">
        <v>158</v>
      </c>
      <c r="AD2708">
        <v>208</v>
      </c>
      <c r="AE2708">
        <v>59</v>
      </c>
      <c r="AF2708">
        <v>62</v>
      </c>
      <c r="CH2708" t="str">
        <f t="shared" si="42"/>
        <v>D-0267</v>
      </c>
      <c r="CI2708" s="1" t="s">
        <v>102</v>
      </c>
    </row>
    <row r="2709" spans="1:87">
      <c r="A2709" t="s">
        <v>4358</v>
      </c>
      <c r="B2709">
        <v>6905</v>
      </c>
      <c r="C2709" t="s">
        <v>4351</v>
      </c>
      <c r="D2709" t="s">
        <v>237</v>
      </c>
      <c r="E2709" t="s">
        <v>629</v>
      </c>
      <c r="F2709" t="s">
        <v>665</v>
      </c>
      <c r="G2709" t="s">
        <v>4352</v>
      </c>
      <c r="S2709">
        <v>137</v>
      </c>
      <c r="T2709">
        <v>637</v>
      </c>
      <c r="U2709">
        <v>594</v>
      </c>
      <c r="V2709">
        <v>1309</v>
      </c>
      <c r="W2709">
        <v>1333</v>
      </c>
      <c r="X2709">
        <v>934</v>
      </c>
      <c r="Y2709">
        <v>1073</v>
      </c>
      <c r="Z2709">
        <v>538</v>
      </c>
      <c r="AA2709">
        <v>204</v>
      </c>
      <c r="AB2709">
        <v>132</v>
      </c>
      <c r="AD2709">
        <v>14</v>
      </c>
      <c r="CH2709" t="str">
        <f t="shared" si="42"/>
        <v>D-0267</v>
      </c>
      <c r="CI2709" s="1" t="s">
        <v>102</v>
      </c>
    </row>
    <row r="2710" spans="1:87">
      <c r="A2710" t="s">
        <v>4359</v>
      </c>
      <c r="B2710">
        <v>6905</v>
      </c>
      <c r="C2710" t="s">
        <v>4351</v>
      </c>
      <c r="D2710" t="s">
        <v>237</v>
      </c>
      <c r="E2710" t="s">
        <v>629</v>
      </c>
      <c r="F2710" t="s">
        <v>665</v>
      </c>
      <c r="G2710" t="s">
        <v>4352</v>
      </c>
      <c r="S2710">
        <v>137</v>
      </c>
      <c r="T2710">
        <v>637</v>
      </c>
      <c r="U2710">
        <v>594</v>
      </c>
      <c r="V2710">
        <v>1309</v>
      </c>
      <c r="W2710">
        <v>1333</v>
      </c>
      <c r="X2710">
        <v>934</v>
      </c>
      <c r="Y2710">
        <v>1073</v>
      </c>
      <c r="Z2710">
        <v>538</v>
      </c>
      <c r="AA2710">
        <v>204</v>
      </c>
      <c r="AB2710">
        <v>132</v>
      </c>
      <c r="AD2710">
        <v>14</v>
      </c>
      <c r="CH2710" t="str">
        <f t="shared" si="42"/>
        <v>D-0267</v>
      </c>
      <c r="CI2710" s="1" t="s">
        <v>102</v>
      </c>
    </row>
    <row r="2711" spans="1:87">
      <c r="A2711" t="s">
        <v>4360</v>
      </c>
      <c r="B2711">
        <v>2648</v>
      </c>
      <c r="C2711" t="s">
        <v>4351</v>
      </c>
      <c r="D2711" t="s">
        <v>237</v>
      </c>
      <c r="E2711" t="s">
        <v>629</v>
      </c>
      <c r="F2711" t="s">
        <v>665</v>
      </c>
      <c r="G2711" t="s">
        <v>4352</v>
      </c>
      <c r="S2711">
        <v>53</v>
      </c>
      <c r="T2711">
        <v>245</v>
      </c>
      <c r="U2711">
        <v>227</v>
      </c>
      <c r="V2711">
        <v>501</v>
      </c>
      <c r="W2711">
        <v>509</v>
      </c>
      <c r="X2711">
        <v>359</v>
      </c>
      <c r="Y2711">
        <v>411</v>
      </c>
      <c r="Z2711">
        <v>205</v>
      </c>
      <c r="AA2711">
        <v>79</v>
      </c>
      <c r="AB2711">
        <v>52</v>
      </c>
      <c r="AD2711">
        <v>7</v>
      </c>
      <c r="CH2711" t="str">
        <f t="shared" si="42"/>
        <v>D-0267</v>
      </c>
      <c r="CI2711" s="1" t="s">
        <v>102</v>
      </c>
    </row>
    <row r="2712" spans="1:87">
      <c r="A2712" t="s">
        <v>4361</v>
      </c>
      <c r="B2712">
        <v>29</v>
      </c>
      <c r="C2712" t="s">
        <v>4351</v>
      </c>
      <c r="D2712" t="s">
        <v>237</v>
      </c>
      <c r="E2712" t="s">
        <v>629</v>
      </c>
      <c r="F2712" t="s">
        <v>665</v>
      </c>
      <c r="G2712" t="s">
        <v>4352</v>
      </c>
      <c r="T2712">
        <v>5</v>
      </c>
      <c r="U2712">
        <v>5</v>
      </c>
      <c r="V2712">
        <v>5</v>
      </c>
      <c r="W2712">
        <v>5</v>
      </c>
      <c r="X2712">
        <v>3</v>
      </c>
      <c r="Y2712">
        <v>2</v>
      </c>
      <c r="AB2712">
        <v>2</v>
      </c>
      <c r="AD2712">
        <v>2</v>
      </c>
      <c r="CH2712" t="str">
        <f t="shared" si="42"/>
        <v>D-0267</v>
      </c>
      <c r="CI2712" s="1" t="s">
        <v>102</v>
      </c>
    </row>
    <row r="2713" spans="1:87">
      <c r="A2713" t="s">
        <v>4362</v>
      </c>
      <c r="B2713">
        <v>1203</v>
      </c>
      <c r="C2713" t="s">
        <v>2408</v>
      </c>
      <c r="D2713" t="s">
        <v>237</v>
      </c>
      <c r="E2713" t="s">
        <v>629</v>
      </c>
      <c r="F2713" t="s">
        <v>665</v>
      </c>
      <c r="G2713" t="s">
        <v>3502</v>
      </c>
      <c r="T2713">
        <v>72</v>
      </c>
      <c r="U2713">
        <v>96</v>
      </c>
      <c r="V2713">
        <v>132</v>
      </c>
      <c r="W2713">
        <v>228</v>
      </c>
      <c r="X2713">
        <v>243</v>
      </c>
      <c r="Y2713">
        <v>180</v>
      </c>
      <c r="Z2713">
        <v>132</v>
      </c>
      <c r="AA2713">
        <v>84</v>
      </c>
      <c r="AB2713">
        <v>36</v>
      </c>
      <c r="CH2713" t="str">
        <f t="shared" si="42"/>
        <v>D-0267</v>
      </c>
      <c r="CI2713" s="1" t="s">
        <v>102</v>
      </c>
    </row>
    <row r="2714" spans="1:87">
      <c r="A2714" t="s">
        <v>4363</v>
      </c>
      <c r="B2714">
        <v>483</v>
      </c>
      <c r="C2714" t="s">
        <v>2408</v>
      </c>
      <c r="D2714" t="s">
        <v>237</v>
      </c>
      <c r="E2714" t="s">
        <v>629</v>
      </c>
      <c r="F2714" t="s">
        <v>665</v>
      </c>
      <c r="G2714" t="s">
        <v>3502</v>
      </c>
      <c r="T2714">
        <v>18</v>
      </c>
      <c r="U2714">
        <v>12</v>
      </c>
      <c r="V2714">
        <v>42</v>
      </c>
      <c r="W2714">
        <v>48</v>
      </c>
      <c r="X2714">
        <v>81</v>
      </c>
      <c r="Y2714">
        <v>66</v>
      </c>
      <c r="Z2714">
        <v>78</v>
      </c>
      <c r="AA2714">
        <v>42</v>
      </c>
      <c r="AB2714">
        <v>36</v>
      </c>
      <c r="AC2714">
        <v>12</v>
      </c>
      <c r="AD2714">
        <v>36</v>
      </c>
      <c r="AE2714">
        <v>6</v>
      </c>
      <c r="AF2714">
        <v>6</v>
      </c>
      <c r="CH2714" t="str">
        <f t="shared" si="42"/>
        <v>D-0267</v>
      </c>
      <c r="CI2714" s="1" t="s">
        <v>102</v>
      </c>
    </row>
    <row r="2715" spans="1:87">
      <c r="A2715" t="s">
        <v>4364</v>
      </c>
      <c r="B2715">
        <v>861</v>
      </c>
      <c r="C2715" t="s">
        <v>2408</v>
      </c>
      <c r="D2715" t="s">
        <v>237</v>
      </c>
      <c r="E2715" t="s">
        <v>629</v>
      </c>
      <c r="F2715" t="s">
        <v>665</v>
      </c>
      <c r="G2715" t="s">
        <v>3502</v>
      </c>
      <c r="T2715">
        <v>18</v>
      </c>
      <c r="U2715">
        <v>24</v>
      </c>
      <c r="V2715">
        <v>66</v>
      </c>
      <c r="W2715">
        <v>54</v>
      </c>
      <c r="X2715">
        <v>117</v>
      </c>
      <c r="Y2715">
        <v>114</v>
      </c>
      <c r="Z2715">
        <v>138</v>
      </c>
      <c r="AA2715">
        <v>90</v>
      </c>
      <c r="AB2715">
        <v>108</v>
      </c>
      <c r="AC2715">
        <v>42</v>
      </c>
      <c r="AD2715">
        <v>48</v>
      </c>
      <c r="AE2715">
        <v>12</v>
      </c>
      <c r="AF2715">
        <v>24</v>
      </c>
      <c r="AH2715">
        <v>6</v>
      </c>
      <c r="CH2715" t="str">
        <f t="shared" si="42"/>
        <v>D-0267</v>
      </c>
      <c r="CI2715" s="1" t="s">
        <v>102</v>
      </c>
    </row>
    <row r="2716" spans="1:87">
      <c r="A2716" t="s">
        <v>4365</v>
      </c>
      <c r="B2716">
        <v>861</v>
      </c>
      <c r="C2716" t="s">
        <v>2408</v>
      </c>
      <c r="D2716" t="s">
        <v>237</v>
      </c>
      <c r="E2716" t="s">
        <v>629</v>
      </c>
      <c r="F2716" t="s">
        <v>665</v>
      </c>
      <c r="G2716" t="s">
        <v>3502</v>
      </c>
      <c r="T2716">
        <v>96</v>
      </c>
      <c r="U2716">
        <v>138</v>
      </c>
      <c r="V2716">
        <v>162</v>
      </c>
      <c r="W2716">
        <v>168</v>
      </c>
      <c r="X2716">
        <v>153</v>
      </c>
      <c r="Y2716">
        <v>102</v>
      </c>
      <c r="Z2716">
        <v>42</v>
      </c>
      <c r="CH2716" t="str">
        <f t="shared" si="42"/>
        <v>D-0267</v>
      </c>
      <c r="CI2716" s="1" t="s">
        <v>102</v>
      </c>
    </row>
    <row r="2717" spans="1:87">
      <c r="A2717" t="s">
        <v>4366</v>
      </c>
      <c r="B2717">
        <v>681</v>
      </c>
      <c r="C2717" t="s">
        <v>2408</v>
      </c>
      <c r="D2717" t="s">
        <v>237</v>
      </c>
      <c r="E2717" t="s">
        <v>629</v>
      </c>
      <c r="F2717" t="s">
        <v>665</v>
      </c>
      <c r="G2717" t="s">
        <v>3502</v>
      </c>
      <c r="R2717">
        <v>6</v>
      </c>
      <c r="S2717">
        <v>6</v>
      </c>
      <c r="T2717">
        <v>30</v>
      </c>
      <c r="U2717">
        <v>36</v>
      </c>
      <c r="V2717">
        <v>60</v>
      </c>
      <c r="W2717">
        <v>66</v>
      </c>
      <c r="X2717">
        <v>99</v>
      </c>
      <c r="Y2717">
        <v>96</v>
      </c>
      <c r="Z2717">
        <v>90</v>
      </c>
      <c r="AA2717">
        <v>66</v>
      </c>
      <c r="AB2717">
        <v>60</v>
      </c>
      <c r="AC2717">
        <v>30</v>
      </c>
      <c r="AD2717">
        <v>18</v>
      </c>
      <c r="AE2717">
        <v>6</v>
      </c>
      <c r="AF2717">
        <v>6</v>
      </c>
      <c r="AH2717">
        <v>6</v>
      </c>
      <c r="CH2717" t="str">
        <f t="shared" si="42"/>
        <v>D-0267</v>
      </c>
      <c r="CI2717" s="1" t="s">
        <v>102</v>
      </c>
    </row>
    <row r="2718" spans="1:87">
      <c r="A2718" t="s">
        <v>4367</v>
      </c>
      <c r="B2718">
        <v>363</v>
      </c>
      <c r="C2718" t="s">
        <v>2408</v>
      </c>
      <c r="D2718" t="s">
        <v>237</v>
      </c>
      <c r="E2718" t="s">
        <v>629</v>
      </c>
      <c r="F2718" t="s">
        <v>665</v>
      </c>
      <c r="G2718" t="s">
        <v>3502</v>
      </c>
      <c r="R2718">
        <v>30</v>
      </c>
      <c r="S2718">
        <v>12</v>
      </c>
      <c r="T2718">
        <v>42</v>
      </c>
      <c r="U2718">
        <v>24</v>
      </c>
      <c r="V2718">
        <v>60</v>
      </c>
      <c r="W2718">
        <v>24</v>
      </c>
      <c r="X2718">
        <v>63</v>
      </c>
      <c r="Y2718">
        <v>24</v>
      </c>
      <c r="Z2718">
        <v>36</v>
      </c>
      <c r="AA2718">
        <v>24</v>
      </c>
      <c r="AB2718">
        <v>18</v>
      </c>
      <c r="AD2718">
        <v>6</v>
      </c>
      <c r="CH2718" t="str">
        <f t="shared" si="42"/>
        <v>D-0267</v>
      </c>
      <c r="CI2718" s="1" t="s">
        <v>102</v>
      </c>
    </row>
    <row r="2719" spans="1:87">
      <c r="A2719" t="s">
        <v>4368</v>
      </c>
      <c r="B2719">
        <v>6962</v>
      </c>
      <c r="C2719" t="s">
        <v>2408</v>
      </c>
      <c r="D2719" t="s">
        <v>237</v>
      </c>
      <c r="E2719" t="s">
        <v>629</v>
      </c>
      <c r="F2719" t="s">
        <v>665</v>
      </c>
      <c r="G2719" t="s">
        <v>3502</v>
      </c>
      <c r="T2719">
        <v>248</v>
      </c>
      <c r="U2719">
        <v>188</v>
      </c>
      <c r="V2719">
        <v>597</v>
      </c>
      <c r="W2719">
        <v>627</v>
      </c>
      <c r="X2719">
        <v>812</v>
      </c>
      <c r="Y2719">
        <v>1020</v>
      </c>
      <c r="Z2719">
        <v>1050</v>
      </c>
      <c r="AA2719">
        <v>561</v>
      </c>
      <c r="AB2719">
        <v>729</v>
      </c>
      <c r="AC2719">
        <v>286</v>
      </c>
      <c r="AD2719">
        <v>576</v>
      </c>
      <c r="AE2719">
        <v>100</v>
      </c>
      <c r="AF2719">
        <v>168</v>
      </c>
      <c r="CH2719" t="str">
        <f t="shared" si="42"/>
        <v>D-0267</v>
      </c>
      <c r="CI2719" s="1" t="s">
        <v>102</v>
      </c>
    </row>
    <row r="2720" spans="1:87">
      <c r="A2720" t="s">
        <v>4369</v>
      </c>
      <c r="B2720">
        <v>2328</v>
      </c>
      <c r="C2720" t="s">
        <v>2408</v>
      </c>
      <c r="D2720" t="s">
        <v>237</v>
      </c>
      <c r="E2720" t="s">
        <v>629</v>
      </c>
      <c r="F2720" t="s">
        <v>665</v>
      </c>
      <c r="G2720" t="s">
        <v>3502</v>
      </c>
      <c r="T2720">
        <v>83</v>
      </c>
      <c r="U2720">
        <v>63</v>
      </c>
      <c r="V2720">
        <v>200</v>
      </c>
      <c r="W2720">
        <v>209</v>
      </c>
      <c r="X2720">
        <v>273</v>
      </c>
      <c r="Y2720">
        <v>341</v>
      </c>
      <c r="Z2720">
        <v>350</v>
      </c>
      <c r="AA2720">
        <v>188</v>
      </c>
      <c r="AB2720">
        <v>243</v>
      </c>
      <c r="AC2720">
        <v>96</v>
      </c>
      <c r="AD2720">
        <v>192</v>
      </c>
      <c r="AE2720">
        <v>34</v>
      </c>
      <c r="AF2720">
        <v>56</v>
      </c>
      <c r="CH2720" t="str">
        <f t="shared" si="42"/>
        <v>D-0267</v>
      </c>
      <c r="CI2720" s="1" t="s">
        <v>102</v>
      </c>
    </row>
    <row r="2721" spans="1:87">
      <c r="A2721" t="s">
        <v>4370</v>
      </c>
      <c r="B2721">
        <v>1054</v>
      </c>
      <c r="C2721" t="s">
        <v>2408</v>
      </c>
      <c r="D2721" t="s">
        <v>237</v>
      </c>
      <c r="E2721" t="s">
        <v>629</v>
      </c>
      <c r="F2721" t="s">
        <v>665</v>
      </c>
      <c r="G2721" t="s">
        <v>3502</v>
      </c>
      <c r="V2721">
        <v>214</v>
      </c>
      <c r="W2721">
        <v>509</v>
      </c>
      <c r="X2721">
        <v>314</v>
      </c>
      <c r="Y2721">
        <v>17</v>
      </c>
      <c r="CH2721" t="str">
        <f t="shared" si="42"/>
        <v>D-0267</v>
      </c>
      <c r="CI2721" s="1" t="s">
        <v>102</v>
      </c>
    </row>
    <row r="2722" spans="1:87">
      <c r="A2722" t="s">
        <v>4371</v>
      </c>
      <c r="B2722">
        <v>10003</v>
      </c>
      <c r="C2722" t="s">
        <v>2408</v>
      </c>
      <c r="D2722" t="s">
        <v>237</v>
      </c>
      <c r="E2722" t="s">
        <v>629</v>
      </c>
      <c r="F2722" t="s">
        <v>665</v>
      </c>
      <c r="G2722" t="s">
        <v>3502</v>
      </c>
      <c r="T2722">
        <v>200</v>
      </c>
      <c r="U2722">
        <v>300</v>
      </c>
      <c r="V2722">
        <v>900</v>
      </c>
      <c r="W2722">
        <v>800</v>
      </c>
      <c r="X2722">
        <v>1103</v>
      </c>
      <c r="Y2722">
        <v>1000</v>
      </c>
      <c r="Z2722">
        <v>1400</v>
      </c>
      <c r="AA2722">
        <v>1200</v>
      </c>
      <c r="AB2722">
        <v>1100</v>
      </c>
      <c r="AC2722">
        <v>500</v>
      </c>
      <c r="AD2722">
        <v>900</v>
      </c>
      <c r="AF2722">
        <v>600</v>
      </c>
      <c r="CH2722" t="str">
        <f t="shared" si="42"/>
        <v>D-0267</v>
      </c>
      <c r="CI2722" s="1" t="s">
        <v>102</v>
      </c>
    </row>
    <row r="2723" spans="1:87">
      <c r="A2723" t="s">
        <v>4372</v>
      </c>
      <c r="B2723">
        <v>64</v>
      </c>
      <c r="C2723" t="s">
        <v>2408</v>
      </c>
      <c r="D2723" t="s">
        <v>237</v>
      </c>
      <c r="E2723" t="s">
        <v>629</v>
      </c>
      <c r="F2723" t="s">
        <v>665</v>
      </c>
      <c r="G2723" t="s">
        <v>3502</v>
      </c>
      <c r="V2723">
        <v>4</v>
      </c>
      <c r="W2723">
        <v>6</v>
      </c>
      <c r="X2723">
        <v>8</v>
      </c>
      <c r="Y2723">
        <v>8</v>
      </c>
      <c r="Z2723">
        <v>8</v>
      </c>
      <c r="AA2723">
        <v>8</v>
      </c>
      <c r="AB2723">
        <v>8</v>
      </c>
      <c r="AC2723">
        <v>6</v>
      </c>
      <c r="AD2723">
        <v>4</v>
      </c>
      <c r="AE2723">
        <v>2</v>
      </c>
      <c r="AF2723">
        <v>2</v>
      </c>
      <c r="CH2723" t="str">
        <f t="shared" si="42"/>
        <v>D-0267</v>
      </c>
      <c r="CI2723" s="1" t="s">
        <v>102</v>
      </c>
    </row>
    <row r="2724" spans="1:87">
      <c r="A2724" t="s">
        <v>4373</v>
      </c>
      <c r="B2724">
        <v>210</v>
      </c>
      <c r="C2724" t="s">
        <v>4374</v>
      </c>
      <c r="D2724" t="s">
        <v>237</v>
      </c>
      <c r="E2724" t="s">
        <v>629</v>
      </c>
      <c r="F2724" t="s">
        <v>665</v>
      </c>
      <c r="G2724" t="s">
        <v>4375</v>
      </c>
      <c r="T2724">
        <v>12</v>
      </c>
      <c r="V2724">
        <v>30</v>
      </c>
      <c r="X2724">
        <v>60</v>
      </c>
      <c r="Z2724">
        <v>54</v>
      </c>
      <c r="AB2724">
        <v>36</v>
      </c>
      <c r="AD2724">
        <v>12</v>
      </c>
      <c r="AF2724">
        <v>6</v>
      </c>
      <c r="CH2724" t="str">
        <f t="shared" si="42"/>
        <v>D-0267</v>
      </c>
      <c r="CI2724" s="1" t="s">
        <v>102</v>
      </c>
    </row>
    <row r="2725" spans="1:87">
      <c r="A2725" t="s">
        <v>4376</v>
      </c>
      <c r="B2725">
        <v>96</v>
      </c>
      <c r="C2725" t="s">
        <v>4374</v>
      </c>
      <c r="D2725" t="s">
        <v>237</v>
      </c>
      <c r="E2725" t="s">
        <v>629</v>
      </c>
      <c r="F2725" t="s">
        <v>665</v>
      </c>
      <c r="G2725" t="s">
        <v>4375</v>
      </c>
      <c r="T2725">
        <v>6</v>
      </c>
      <c r="V2725">
        <v>12</v>
      </c>
      <c r="X2725">
        <v>30</v>
      </c>
      <c r="Z2725">
        <v>24</v>
      </c>
      <c r="AB2725">
        <v>18</v>
      </c>
      <c r="AD2725">
        <v>6</v>
      </c>
      <c r="CH2725" t="str">
        <f t="shared" si="42"/>
        <v>D-0267</v>
      </c>
      <c r="CI2725" s="1" t="s">
        <v>102</v>
      </c>
    </row>
    <row r="2726" spans="1:87">
      <c r="A2726" t="s">
        <v>4377</v>
      </c>
      <c r="B2726">
        <v>3335</v>
      </c>
      <c r="C2726" t="s">
        <v>4374</v>
      </c>
      <c r="D2726" t="s">
        <v>237</v>
      </c>
      <c r="E2726" t="s">
        <v>629</v>
      </c>
      <c r="F2726" t="s">
        <v>665</v>
      </c>
      <c r="G2726" t="s">
        <v>4375</v>
      </c>
      <c r="S2726">
        <v>39</v>
      </c>
      <c r="T2726">
        <v>175</v>
      </c>
      <c r="U2726">
        <v>164</v>
      </c>
      <c r="V2726">
        <v>360</v>
      </c>
      <c r="W2726">
        <v>366</v>
      </c>
      <c r="X2726">
        <v>259</v>
      </c>
      <c r="Y2726">
        <v>1079</v>
      </c>
      <c r="Z2726">
        <v>541</v>
      </c>
      <c r="AA2726">
        <v>205</v>
      </c>
      <c r="AB2726">
        <v>133</v>
      </c>
      <c r="AD2726">
        <v>14</v>
      </c>
      <c r="CH2726" t="str">
        <f t="shared" si="42"/>
        <v>D-0267</v>
      </c>
      <c r="CI2726" s="1" t="s">
        <v>102</v>
      </c>
    </row>
    <row r="2727" spans="1:87">
      <c r="A2727" t="s">
        <v>4378</v>
      </c>
      <c r="B2727">
        <v>6934</v>
      </c>
      <c r="C2727" t="s">
        <v>4374</v>
      </c>
      <c r="D2727" t="s">
        <v>237</v>
      </c>
      <c r="E2727" t="s">
        <v>629</v>
      </c>
      <c r="F2727" t="s">
        <v>665</v>
      </c>
      <c r="G2727" t="s">
        <v>4375</v>
      </c>
      <c r="S2727">
        <v>137</v>
      </c>
      <c r="T2727">
        <v>639</v>
      </c>
      <c r="U2727">
        <v>596</v>
      </c>
      <c r="V2727">
        <v>1313</v>
      </c>
      <c r="W2727">
        <v>1338</v>
      </c>
      <c r="X2727">
        <v>939</v>
      </c>
      <c r="Y2727">
        <v>1079</v>
      </c>
      <c r="Z2727">
        <v>541</v>
      </c>
      <c r="AA2727">
        <v>205</v>
      </c>
      <c r="AB2727">
        <v>133</v>
      </c>
      <c r="AD2727">
        <v>14</v>
      </c>
      <c r="CH2727" t="str">
        <f t="shared" si="42"/>
        <v>D-0267</v>
      </c>
      <c r="CI2727" s="1" t="s">
        <v>102</v>
      </c>
    </row>
    <row r="2728" spans="1:87">
      <c r="A2728" t="s">
        <v>4379</v>
      </c>
      <c r="B2728">
        <v>5507</v>
      </c>
      <c r="C2728" t="s">
        <v>4374</v>
      </c>
      <c r="D2728" t="s">
        <v>237</v>
      </c>
      <c r="E2728" t="s">
        <v>629</v>
      </c>
      <c r="F2728" t="s">
        <v>665</v>
      </c>
      <c r="G2728" t="s">
        <v>4375</v>
      </c>
      <c r="S2728">
        <v>137</v>
      </c>
      <c r="T2728">
        <v>639</v>
      </c>
      <c r="U2728">
        <v>596</v>
      </c>
      <c r="V2728">
        <v>1313</v>
      </c>
      <c r="W2728">
        <v>1338</v>
      </c>
      <c r="X2728">
        <v>939</v>
      </c>
      <c r="Y2728">
        <v>295</v>
      </c>
      <c r="Z2728">
        <v>148</v>
      </c>
      <c r="AA2728">
        <v>58</v>
      </c>
      <c r="AB2728">
        <v>38</v>
      </c>
      <c r="AD2728">
        <v>6</v>
      </c>
      <c r="CH2728" t="str">
        <f t="shared" si="42"/>
        <v>D-0267</v>
      </c>
      <c r="CI2728" s="1" t="s">
        <v>102</v>
      </c>
    </row>
    <row r="2729" spans="1:87">
      <c r="A2729" t="s">
        <v>4380</v>
      </c>
      <c r="B2729">
        <v>1803</v>
      </c>
      <c r="C2729" t="s">
        <v>755</v>
      </c>
      <c r="D2729" t="s">
        <v>237</v>
      </c>
      <c r="E2729" t="s">
        <v>629</v>
      </c>
      <c r="F2729" t="s">
        <v>632</v>
      </c>
      <c r="G2729" t="s">
        <v>2418</v>
      </c>
      <c r="V2729">
        <v>200</v>
      </c>
      <c r="W2729">
        <v>200</v>
      </c>
      <c r="X2729">
        <v>203</v>
      </c>
      <c r="Y2729">
        <v>200</v>
      </c>
      <c r="Z2729">
        <v>200</v>
      </c>
      <c r="AA2729">
        <v>200</v>
      </c>
      <c r="AB2729">
        <v>200</v>
      </c>
      <c r="AD2729">
        <v>200</v>
      </c>
      <c r="AF2729">
        <v>200</v>
      </c>
      <c r="CH2729" t="str">
        <f t="shared" si="42"/>
        <v>D-0267</v>
      </c>
      <c r="CI2729" s="1" t="s">
        <v>102</v>
      </c>
    </row>
    <row r="2730" spans="1:87">
      <c r="A2730" t="s">
        <v>4381</v>
      </c>
      <c r="B2730">
        <v>1803</v>
      </c>
      <c r="C2730" t="s">
        <v>755</v>
      </c>
      <c r="D2730" t="s">
        <v>237</v>
      </c>
      <c r="E2730" t="s">
        <v>629</v>
      </c>
      <c r="F2730" t="s">
        <v>632</v>
      </c>
      <c r="G2730" t="s">
        <v>2418</v>
      </c>
      <c r="T2730">
        <v>54</v>
      </c>
      <c r="U2730">
        <v>72</v>
      </c>
      <c r="V2730">
        <v>36</v>
      </c>
      <c r="W2730">
        <v>72</v>
      </c>
      <c r="X2730">
        <v>159</v>
      </c>
      <c r="Y2730">
        <v>162</v>
      </c>
      <c r="Z2730">
        <v>216</v>
      </c>
      <c r="AA2730">
        <v>246</v>
      </c>
      <c r="AB2730">
        <v>192</v>
      </c>
      <c r="AC2730">
        <v>162</v>
      </c>
      <c r="AD2730">
        <v>180</v>
      </c>
      <c r="AF2730">
        <v>108</v>
      </c>
      <c r="AH2730">
        <v>108</v>
      </c>
      <c r="AJ2730">
        <v>36</v>
      </c>
      <c r="CH2730" t="str">
        <f t="shared" si="42"/>
        <v>D-0267</v>
      </c>
      <c r="CI2730" s="1" t="s">
        <v>102</v>
      </c>
    </row>
    <row r="2731" spans="1:87">
      <c r="A2731" t="s">
        <v>4382</v>
      </c>
      <c r="B2731">
        <v>2403</v>
      </c>
      <c r="C2731" t="s">
        <v>662</v>
      </c>
      <c r="D2731" t="s">
        <v>238</v>
      </c>
      <c r="E2731" t="s">
        <v>629</v>
      </c>
      <c r="F2731" t="s">
        <v>632</v>
      </c>
      <c r="G2731" t="s">
        <v>4383</v>
      </c>
      <c r="T2731">
        <v>36</v>
      </c>
      <c r="U2731">
        <v>48</v>
      </c>
      <c r="V2731">
        <v>156</v>
      </c>
      <c r="W2731">
        <v>180</v>
      </c>
      <c r="X2731">
        <v>243</v>
      </c>
      <c r="Y2731">
        <v>240</v>
      </c>
      <c r="Z2731">
        <v>276</v>
      </c>
      <c r="AA2731">
        <v>300</v>
      </c>
      <c r="AB2731">
        <v>264</v>
      </c>
      <c r="AC2731">
        <v>108</v>
      </c>
      <c r="AD2731">
        <v>252</v>
      </c>
      <c r="AF2731">
        <v>204</v>
      </c>
      <c r="AH2731">
        <v>72</v>
      </c>
      <c r="AJ2731">
        <v>24</v>
      </c>
      <c r="CH2731" t="str">
        <f t="shared" si="42"/>
        <v>D-0267</v>
      </c>
      <c r="CI2731" s="1" t="s">
        <v>102</v>
      </c>
    </row>
    <row r="2732" spans="1:87">
      <c r="A2732" t="s">
        <v>4384</v>
      </c>
      <c r="B2732">
        <v>603</v>
      </c>
      <c r="C2732" t="s">
        <v>662</v>
      </c>
      <c r="D2732" t="s">
        <v>238</v>
      </c>
      <c r="E2732" t="s">
        <v>629</v>
      </c>
      <c r="F2732" t="s">
        <v>632</v>
      </c>
      <c r="G2732" t="s">
        <v>4383</v>
      </c>
      <c r="Y2732">
        <v>100</v>
      </c>
      <c r="Z2732">
        <v>103</v>
      </c>
      <c r="AA2732">
        <v>100</v>
      </c>
      <c r="AB2732">
        <v>100</v>
      </c>
      <c r="AD2732">
        <v>100</v>
      </c>
      <c r="AF2732">
        <v>100</v>
      </c>
      <c r="CH2732" t="str">
        <f t="shared" si="42"/>
        <v>D-0267</v>
      </c>
      <c r="CI2732" s="1" t="s">
        <v>102</v>
      </c>
    </row>
    <row r="2733" spans="1:87">
      <c r="A2733" t="s">
        <v>4385</v>
      </c>
      <c r="B2733">
        <v>903</v>
      </c>
      <c r="C2733" t="s">
        <v>662</v>
      </c>
      <c r="D2733" t="s">
        <v>238</v>
      </c>
      <c r="E2733" t="s">
        <v>629</v>
      </c>
      <c r="F2733" t="s">
        <v>632</v>
      </c>
      <c r="G2733" t="s">
        <v>4383</v>
      </c>
      <c r="U2733">
        <v>100</v>
      </c>
      <c r="V2733">
        <v>100</v>
      </c>
      <c r="W2733">
        <v>100</v>
      </c>
      <c r="X2733">
        <v>103</v>
      </c>
      <c r="Y2733">
        <v>100</v>
      </c>
      <c r="Z2733">
        <v>100</v>
      </c>
      <c r="AA2733">
        <v>100</v>
      </c>
      <c r="AB2733">
        <v>100</v>
      </c>
      <c r="AD2733">
        <v>100</v>
      </c>
      <c r="CH2733" t="str">
        <f t="shared" si="42"/>
        <v>D-0267</v>
      </c>
      <c r="CI2733" s="1" t="s">
        <v>102</v>
      </c>
    </row>
    <row r="2734" spans="1:87">
      <c r="A2734" t="s">
        <v>4386</v>
      </c>
      <c r="B2734">
        <v>561</v>
      </c>
      <c r="C2734" t="s">
        <v>2423</v>
      </c>
      <c r="D2734" t="s">
        <v>238</v>
      </c>
      <c r="E2734" t="s">
        <v>629</v>
      </c>
      <c r="F2734" t="s">
        <v>632</v>
      </c>
      <c r="G2734" t="s">
        <v>2593</v>
      </c>
      <c r="T2734">
        <v>30</v>
      </c>
      <c r="V2734">
        <v>90</v>
      </c>
      <c r="X2734">
        <v>153</v>
      </c>
      <c r="Z2734">
        <v>144</v>
      </c>
      <c r="AB2734">
        <v>96</v>
      </c>
      <c r="AD2734">
        <v>42</v>
      </c>
      <c r="AF2734">
        <v>6</v>
      </c>
      <c r="CH2734" t="str">
        <f t="shared" si="42"/>
        <v>D-0267</v>
      </c>
      <c r="CI2734" s="1" t="s">
        <v>102</v>
      </c>
    </row>
    <row r="2735" spans="1:87">
      <c r="A2735" t="s">
        <v>4387</v>
      </c>
      <c r="B2735">
        <v>573</v>
      </c>
      <c r="C2735" t="s">
        <v>2423</v>
      </c>
      <c r="D2735" t="s">
        <v>238</v>
      </c>
      <c r="E2735" t="s">
        <v>629</v>
      </c>
      <c r="F2735" t="s">
        <v>632</v>
      </c>
      <c r="G2735" t="s">
        <v>2593</v>
      </c>
      <c r="T2735">
        <v>30</v>
      </c>
      <c r="V2735">
        <v>108</v>
      </c>
      <c r="X2735">
        <v>147</v>
      </c>
      <c r="Z2735">
        <v>144</v>
      </c>
      <c r="AB2735">
        <v>102</v>
      </c>
      <c r="AD2735">
        <v>36</v>
      </c>
      <c r="AF2735">
        <v>6</v>
      </c>
      <c r="CH2735" t="str">
        <f t="shared" si="42"/>
        <v>D-0267</v>
      </c>
      <c r="CI2735" s="1" t="s">
        <v>102</v>
      </c>
    </row>
    <row r="2736" spans="1:87">
      <c r="A2736" t="s">
        <v>4388</v>
      </c>
      <c r="B2736">
        <v>873</v>
      </c>
      <c r="C2736" t="s">
        <v>2423</v>
      </c>
      <c r="D2736" t="s">
        <v>238</v>
      </c>
      <c r="E2736" t="s">
        <v>629</v>
      </c>
      <c r="F2736" t="s">
        <v>632</v>
      </c>
      <c r="G2736" t="s">
        <v>2593</v>
      </c>
      <c r="T2736">
        <v>42</v>
      </c>
      <c r="V2736">
        <v>144</v>
      </c>
      <c r="X2736">
        <v>243</v>
      </c>
      <c r="Z2736">
        <v>222</v>
      </c>
      <c r="AB2736">
        <v>150</v>
      </c>
      <c r="AD2736">
        <v>66</v>
      </c>
      <c r="AF2736">
        <v>6</v>
      </c>
      <c r="CH2736" t="str">
        <f t="shared" si="42"/>
        <v>D-0267</v>
      </c>
      <c r="CI2736" s="1" t="s">
        <v>102</v>
      </c>
    </row>
    <row r="2737" spans="1:87">
      <c r="A2737" t="s">
        <v>4389</v>
      </c>
      <c r="B2737">
        <v>84</v>
      </c>
      <c r="C2737" t="s">
        <v>2423</v>
      </c>
      <c r="D2737" t="s">
        <v>238</v>
      </c>
      <c r="E2737" t="s">
        <v>629</v>
      </c>
      <c r="F2737" t="s">
        <v>632</v>
      </c>
      <c r="G2737" t="s">
        <v>2593</v>
      </c>
      <c r="T2737">
        <v>6</v>
      </c>
      <c r="U2737">
        <v>6</v>
      </c>
      <c r="V2737">
        <v>6</v>
      </c>
      <c r="W2737">
        <v>12</v>
      </c>
      <c r="X2737">
        <v>12</v>
      </c>
      <c r="Y2737">
        <v>12</v>
      </c>
      <c r="Z2737">
        <v>12</v>
      </c>
      <c r="AA2737">
        <v>6</v>
      </c>
      <c r="AB2737">
        <v>6</v>
      </c>
      <c r="AD2737">
        <v>6</v>
      </c>
      <c r="CH2737" t="str">
        <f t="shared" si="42"/>
        <v>D-0267</v>
      </c>
      <c r="CI2737" s="1" t="s">
        <v>102</v>
      </c>
    </row>
    <row r="2738" spans="1:87">
      <c r="A2738" t="s">
        <v>4390</v>
      </c>
      <c r="B2738">
        <v>315</v>
      </c>
      <c r="C2738" t="s">
        <v>2423</v>
      </c>
      <c r="D2738" t="s">
        <v>238</v>
      </c>
      <c r="E2738" t="s">
        <v>629</v>
      </c>
      <c r="F2738" t="s">
        <v>632</v>
      </c>
      <c r="G2738" t="s">
        <v>2593</v>
      </c>
      <c r="T2738">
        <v>18</v>
      </c>
      <c r="V2738">
        <v>48</v>
      </c>
      <c r="X2738">
        <v>93</v>
      </c>
      <c r="Z2738">
        <v>90</v>
      </c>
      <c r="AB2738">
        <v>48</v>
      </c>
      <c r="AD2738">
        <v>12</v>
      </c>
      <c r="AF2738">
        <v>6</v>
      </c>
      <c r="CH2738" t="str">
        <f t="shared" si="42"/>
        <v>D-0267</v>
      </c>
      <c r="CI2738" s="1" t="s">
        <v>102</v>
      </c>
    </row>
    <row r="2739" spans="1:87">
      <c r="A2739" t="s">
        <v>4391</v>
      </c>
      <c r="B2739">
        <v>1184</v>
      </c>
      <c r="C2739" t="s">
        <v>2423</v>
      </c>
      <c r="D2739" t="s">
        <v>238</v>
      </c>
      <c r="E2739" t="s">
        <v>629</v>
      </c>
      <c r="F2739" t="s">
        <v>632</v>
      </c>
      <c r="G2739" t="s">
        <v>2593</v>
      </c>
      <c r="R2739">
        <v>10</v>
      </c>
      <c r="S2739">
        <v>8</v>
      </c>
      <c r="T2739">
        <v>31</v>
      </c>
      <c r="U2739">
        <v>36</v>
      </c>
      <c r="V2739">
        <v>70</v>
      </c>
      <c r="W2739">
        <v>75</v>
      </c>
      <c r="X2739">
        <v>111</v>
      </c>
      <c r="Y2739">
        <v>116</v>
      </c>
      <c r="Z2739">
        <v>137</v>
      </c>
      <c r="AA2739">
        <v>136</v>
      </c>
      <c r="AB2739">
        <v>134</v>
      </c>
      <c r="AC2739">
        <v>79</v>
      </c>
      <c r="AD2739">
        <v>107</v>
      </c>
      <c r="AE2739">
        <v>15</v>
      </c>
      <c r="AF2739">
        <v>77</v>
      </c>
      <c r="AH2739">
        <v>29</v>
      </c>
      <c r="AJ2739">
        <v>13</v>
      </c>
      <c r="CH2739" t="str">
        <f t="shared" si="42"/>
        <v>D-0267</v>
      </c>
      <c r="CI2739" s="1" t="s">
        <v>102</v>
      </c>
    </row>
    <row r="2740" spans="1:87">
      <c r="A2740" t="s">
        <v>4392</v>
      </c>
      <c r="B2740">
        <v>1184</v>
      </c>
      <c r="C2740" t="s">
        <v>2424</v>
      </c>
      <c r="D2740" t="s">
        <v>238</v>
      </c>
      <c r="E2740" t="s">
        <v>629</v>
      </c>
      <c r="F2740" t="s">
        <v>632</v>
      </c>
      <c r="G2740" t="s">
        <v>2283</v>
      </c>
      <c r="R2740">
        <v>10</v>
      </c>
      <c r="S2740">
        <v>8</v>
      </c>
      <c r="T2740">
        <v>31</v>
      </c>
      <c r="U2740">
        <v>36</v>
      </c>
      <c r="V2740">
        <v>70</v>
      </c>
      <c r="W2740">
        <v>75</v>
      </c>
      <c r="X2740">
        <v>111</v>
      </c>
      <c r="Y2740">
        <v>116</v>
      </c>
      <c r="Z2740">
        <v>137</v>
      </c>
      <c r="AA2740">
        <v>136</v>
      </c>
      <c r="AB2740">
        <v>134</v>
      </c>
      <c r="AC2740">
        <v>79</v>
      </c>
      <c r="AD2740">
        <v>107</v>
      </c>
      <c r="AE2740">
        <v>15</v>
      </c>
      <c r="AF2740">
        <v>77</v>
      </c>
      <c r="AH2740">
        <v>29</v>
      </c>
      <c r="AJ2740">
        <v>13</v>
      </c>
      <c r="CH2740" t="str">
        <f t="shared" si="42"/>
        <v>D-0267</v>
      </c>
      <c r="CI2740" s="1" t="s">
        <v>102</v>
      </c>
    </row>
    <row r="2741" spans="1:87">
      <c r="A2741" t="s">
        <v>4393</v>
      </c>
      <c r="B2741">
        <v>1425</v>
      </c>
      <c r="C2741" t="s">
        <v>2424</v>
      </c>
      <c r="D2741" t="s">
        <v>238</v>
      </c>
      <c r="E2741" t="s">
        <v>629</v>
      </c>
      <c r="F2741" t="s">
        <v>632</v>
      </c>
      <c r="G2741" t="s">
        <v>2283</v>
      </c>
      <c r="T2741">
        <v>60</v>
      </c>
      <c r="U2741">
        <v>86</v>
      </c>
      <c r="V2741">
        <v>107</v>
      </c>
      <c r="W2741">
        <v>111</v>
      </c>
      <c r="X2741">
        <v>152</v>
      </c>
      <c r="Y2741">
        <v>151</v>
      </c>
      <c r="Z2741">
        <v>171</v>
      </c>
      <c r="AA2741">
        <v>166</v>
      </c>
      <c r="AB2741">
        <v>136</v>
      </c>
      <c r="AC2741">
        <v>84</v>
      </c>
      <c r="AD2741">
        <v>113</v>
      </c>
      <c r="AF2741">
        <v>88</v>
      </c>
      <c r="CH2741" t="str">
        <f t="shared" si="42"/>
        <v>D-0267</v>
      </c>
      <c r="CI2741" s="1" t="s">
        <v>102</v>
      </c>
    </row>
    <row r="2742" spans="1:87">
      <c r="A2742" t="s">
        <v>4394</v>
      </c>
      <c r="B2742">
        <v>422</v>
      </c>
      <c r="C2742" t="s">
        <v>2424</v>
      </c>
      <c r="D2742" t="s">
        <v>238</v>
      </c>
      <c r="E2742" t="s">
        <v>629</v>
      </c>
      <c r="F2742" t="s">
        <v>632</v>
      </c>
      <c r="G2742" t="s">
        <v>2283</v>
      </c>
      <c r="T2742">
        <v>19</v>
      </c>
      <c r="U2742">
        <v>22</v>
      </c>
      <c r="V2742">
        <v>25</v>
      </c>
      <c r="W2742">
        <v>27</v>
      </c>
      <c r="X2742">
        <v>42</v>
      </c>
      <c r="Y2742">
        <v>39</v>
      </c>
      <c r="Z2742">
        <v>44</v>
      </c>
      <c r="AA2742">
        <v>51</v>
      </c>
      <c r="AB2742">
        <v>45</v>
      </c>
      <c r="AC2742">
        <v>30</v>
      </c>
      <c r="AD2742">
        <v>44</v>
      </c>
      <c r="AF2742">
        <v>34</v>
      </c>
      <c r="CH2742" t="str">
        <f t="shared" si="42"/>
        <v>D-0267</v>
      </c>
      <c r="CI2742" s="1" t="s">
        <v>102</v>
      </c>
    </row>
    <row r="2743" spans="1:87">
      <c r="A2743" t="s">
        <v>4395</v>
      </c>
      <c r="B2743">
        <v>459</v>
      </c>
      <c r="C2743" t="s">
        <v>2424</v>
      </c>
      <c r="D2743" t="s">
        <v>238</v>
      </c>
      <c r="E2743" t="s">
        <v>629</v>
      </c>
      <c r="F2743" t="s">
        <v>632</v>
      </c>
      <c r="G2743" t="s">
        <v>2283</v>
      </c>
      <c r="T2743">
        <v>21</v>
      </c>
      <c r="U2743">
        <v>22</v>
      </c>
      <c r="V2743">
        <v>36</v>
      </c>
      <c r="W2743">
        <v>38</v>
      </c>
      <c r="X2743">
        <v>46</v>
      </c>
      <c r="Y2743">
        <v>46</v>
      </c>
      <c r="Z2743">
        <v>46</v>
      </c>
      <c r="AA2743">
        <v>60</v>
      </c>
      <c r="AB2743">
        <v>47</v>
      </c>
      <c r="AC2743">
        <v>26</v>
      </c>
      <c r="AD2743">
        <v>44</v>
      </c>
      <c r="AF2743">
        <v>27</v>
      </c>
      <c r="CH2743" t="str">
        <f t="shared" si="42"/>
        <v>D-0267</v>
      </c>
      <c r="CI2743" s="1" t="s">
        <v>102</v>
      </c>
    </row>
    <row r="2744" spans="1:87">
      <c r="A2744" t="s">
        <v>4396</v>
      </c>
      <c r="B2744">
        <v>399</v>
      </c>
      <c r="C2744" t="s">
        <v>2424</v>
      </c>
      <c r="D2744" t="s">
        <v>238</v>
      </c>
      <c r="E2744" t="s">
        <v>629</v>
      </c>
      <c r="F2744" t="s">
        <v>632</v>
      </c>
      <c r="G2744" t="s">
        <v>2283</v>
      </c>
      <c r="T2744">
        <v>30</v>
      </c>
      <c r="U2744">
        <v>36</v>
      </c>
      <c r="V2744">
        <v>42</v>
      </c>
      <c r="W2744">
        <v>36</v>
      </c>
      <c r="X2744">
        <v>39</v>
      </c>
      <c r="Y2744">
        <v>30</v>
      </c>
      <c r="Z2744">
        <v>36</v>
      </c>
      <c r="AA2744">
        <v>36</v>
      </c>
      <c r="AB2744">
        <v>30</v>
      </c>
      <c r="AC2744">
        <v>24</v>
      </c>
      <c r="AD2744">
        <v>30</v>
      </c>
      <c r="AF2744">
        <v>30</v>
      </c>
      <c r="CH2744" t="str">
        <f t="shared" si="42"/>
        <v>D-0267</v>
      </c>
      <c r="CI2744" s="1" t="s">
        <v>102</v>
      </c>
    </row>
    <row r="2745" spans="1:87">
      <c r="A2745" t="s">
        <v>4397</v>
      </c>
      <c r="B2745">
        <v>1184</v>
      </c>
      <c r="C2745" t="s">
        <v>2424</v>
      </c>
      <c r="D2745" t="s">
        <v>238</v>
      </c>
      <c r="E2745" t="s">
        <v>629</v>
      </c>
      <c r="F2745" t="s">
        <v>632</v>
      </c>
      <c r="G2745" t="s">
        <v>2283</v>
      </c>
      <c r="R2745">
        <v>10</v>
      </c>
      <c r="S2745">
        <v>8</v>
      </c>
      <c r="T2745">
        <v>31</v>
      </c>
      <c r="U2745">
        <v>36</v>
      </c>
      <c r="V2745">
        <v>70</v>
      </c>
      <c r="W2745">
        <v>75</v>
      </c>
      <c r="X2745">
        <v>111</v>
      </c>
      <c r="Y2745">
        <v>116</v>
      </c>
      <c r="Z2745">
        <v>137</v>
      </c>
      <c r="AA2745">
        <v>136</v>
      </c>
      <c r="AB2745">
        <v>134</v>
      </c>
      <c r="AC2745">
        <v>79</v>
      </c>
      <c r="AD2745">
        <v>107</v>
      </c>
      <c r="AE2745">
        <v>15</v>
      </c>
      <c r="AF2745">
        <v>77</v>
      </c>
      <c r="AH2745">
        <v>29</v>
      </c>
      <c r="AJ2745">
        <v>13</v>
      </c>
      <c r="CH2745" t="str">
        <f t="shared" si="42"/>
        <v>D-0267</v>
      </c>
      <c r="CI2745" s="1" t="s">
        <v>102</v>
      </c>
    </row>
    <row r="2746" spans="1:87">
      <c r="A2746" t="s">
        <v>4398</v>
      </c>
      <c r="B2746">
        <v>459</v>
      </c>
      <c r="C2746" t="s">
        <v>2424</v>
      </c>
      <c r="D2746" t="s">
        <v>238</v>
      </c>
      <c r="E2746" t="s">
        <v>629</v>
      </c>
      <c r="F2746" t="s">
        <v>632</v>
      </c>
      <c r="G2746" t="s">
        <v>2283</v>
      </c>
      <c r="T2746">
        <v>21</v>
      </c>
      <c r="U2746">
        <v>22</v>
      </c>
      <c r="V2746">
        <v>36</v>
      </c>
      <c r="W2746">
        <v>38</v>
      </c>
      <c r="X2746">
        <v>46</v>
      </c>
      <c r="Y2746">
        <v>46</v>
      </c>
      <c r="Z2746">
        <v>46</v>
      </c>
      <c r="AA2746">
        <v>60</v>
      </c>
      <c r="AB2746">
        <v>47</v>
      </c>
      <c r="AC2746">
        <v>26</v>
      </c>
      <c r="AD2746">
        <v>44</v>
      </c>
      <c r="AF2746">
        <v>27</v>
      </c>
      <c r="CH2746" t="str">
        <f t="shared" si="42"/>
        <v>D-0267</v>
      </c>
      <c r="CI2746" s="1" t="s">
        <v>102</v>
      </c>
    </row>
    <row r="2747" spans="1:87">
      <c r="A2747" t="s">
        <v>4399</v>
      </c>
      <c r="B2747">
        <v>422</v>
      </c>
      <c r="C2747" t="s">
        <v>2424</v>
      </c>
      <c r="D2747" t="s">
        <v>238</v>
      </c>
      <c r="E2747" t="s">
        <v>629</v>
      </c>
      <c r="F2747" t="s">
        <v>632</v>
      </c>
      <c r="G2747" t="s">
        <v>2283</v>
      </c>
      <c r="T2747">
        <v>19</v>
      </c>
      <c r="U2747">
        <v>22</v>
      </c>
      <c r="V2747">
        <v>25</v>
      </c>
      <c r="W2747">
        <v>27</v>
      </c>
      <c r="X2747">
        <v>42</v>
      </c>
      <c r="Y2747">
        <v>39</v>
      </c>
      <c r="Z2747">
        <v>44</v>
      </c>
      <c r="AA2747">
        <v>51</v>
      </c>
      <c r="AB2747">
        <v>45</v>
      </c>
      <c r="AC2747">
        <v>30</v>
      </c>
      <c r="AD2747">
        <v>44</v>
      </c>
      <c r="AF2747">
        <v>34</v>
      </c>
      <c r="CH2747" t="str">
        <f t="shared" si="42"/>
        <v>D-0267</v>
      </c>
      <c r="CI2747" s="1" t="s">
        <v>102</v>
      </c>
    </row>
    <row r="2748" spans="1:87">
      <c r="A2748" t="s">
        <v>4400</v>
      </c>
      <c r="B2748">
        <v>1425</v>
      </c>
      <c r="C2748" t="s">
        <v>2424</v>
      </c>
      <c r="D2748" t="s">
        <v>238</v>
      </c>
      <c r="E2748" t="s">
        <v>629</v>
      </c>
      <c r="F2748" t="s">
        <v>632</v>
      </c>
      <c r="G2748" t="s">
        <v>2283</v>
      </c>
      <c r="T2748">
        <v>60</v>
      </c>
      <c r="U2748">
        <v>86</v>
      </c>
      <c r="V2748">
        <v>107</v>
      </c>
      <c r="W2748">
        <v>111</v>
      </c>
      <c r="X2748">
        <v>152</v>
      </c>
      <c r="Y2748">
        <v>151</v>
      </c>
      <c r="Z2748">
        <v>171</v>
      </c>
      <c r="AA2748">
        <v>166</v>
      </c>
      <c r="AB2748">
        <v>136</v>
      </c>
      <c r="AC2748">
        <v>84</v>
      </c>
      <c r="AD2748">
        <v>113</v>
      </c>
      <c r="AF2748">
        <v>88</v>
      </c>
      <c r="CH2748" t="str">
        <f t="shared" si="42"/>
        <v>D-0267</v>
      </c>
      <c r="CI2748" s="1" t="s">
        <v>102</v>
      </c>
    </row>
    <row r="2749" spans="1:87">
      <c r="A2749" t="s">
        <v>4401</v>
      </c>
      <c r="B2749">
        <v>418</v>
      </c>
      <c r="C2749" t="s">
        <v>2426</v>
      </c>
      <c r="D2749" t="s">
        <v>238</v>
      </c>
      <c r="E2749" t="s">
        <v>629</v>
      </c>
      <c r="F2749" t="s">
        <v>632</v>
      </c>
      <c r="G2749" t="s">
        <v>2427</v>
      </c>
      <c r="U2749">
        <v>5</v>
      </c>
      <c r="V2749">
        <v>19</v>
      </c>
      <c r="W2749">
        <v>18</v>
      </c>
      <c r="X2749">
        <v>43</v>
      </c>
      <c r="Y2749">
        <v>48</v>
      </c>
      <c r="Z2749">
        <v>61</v>
      </c>
      <c r="AA2749">
        <v>73</v>
      </c>
      <c r="AB2749">
        <v>47</v>
      </c>
      <c r="AC2749">
        <v>22</v>
      </c>
      <c r="AD2749">
        <v>43</v>
      </c>
      <c r="AF2749">
        <v>26</v>
      </c>
      <c r="AH2749">
        <v>13</v>
      </c>
      <c r="CH2749" t="str">
        <f t="shared" si="42"/>
        <v>D-0267</v>
      </c>
      <c r="CI2749" s="1" t="s">
        <v>102</v>
      </c>
    </row>
    <row r="2750" spans="1:87">
      <c r="A2750" t="s">
        <v>4402</v>
      </c>
      <c r="B2750">
        <v>1115</v>
      </c>
      <c r="C2750" t="s">
        <v>2426</v>
      </c>
      <c r="D2750" t="s">
        <v>238</v>
      </c>
      <c r="E2750" t="s">
        <v>629</v>
      </c>
      <c r="F2750" t="s">
        <v>632</v>
      </c>
      <c r="G2750" t="s">
        <v>2427</v>
      </c>
      <c r="R2750">
        <v>10</v>
      </c>
      <c r="S2750">
        <v>9</v>
      </c>
      <c r="T2750">
        <v>30</v>
      </c>
      <c r="U2750">
        <v>35</v>
      </c>
      <c r="V2750">
        <v>66</v>
      </c>
      <c r="W2750">
        <v>71</v>
      </c>
      <c r="X2750">
        <v>104</v>
      </c>
      <c r="Y2750">
        <v>108</v>
      </c>
      <c r="Z2750">
        <v>128</v>
      </c>
      <c r="AA2750">
        <v>127</v>
      </c>
      <c r="AB2750">
        <v>125</v>
      </c>
      <c r="AC2750">
        <v>74</v>
      </c>
      <c r="AD2750">
        <v>100</v>
      </c>
      <c r="AE2750">
        <v>15</v>
      </c>
      <c r="AF2750">
        <v>72</v>
      </c>
      <c r="AH2750">
        <v>28</v>
      </c>
      <c r="AJ2750">
        <v>13</v>
      </c>
      <c r="CH2750" t="str">
        <f t="shared" si="42"/>
        <v>D-0267</v>
      </c>
      <c r="CI2750" s="1" t="s">
        <v>102</v>
      </c>
    </row>
    <row r="2751" spans="1:87">
      <c r="A2751" t="s">
        <v>4403</v>
      </c>
      <c r="B2751">
        <v>1184</v>
      </c>
      <c r="C2751" t="s">
        <v>2426</v>
      </c>
      <c r="D2751" t="s">
        <v>238</v>
      </c>
      <c r="E2751" t="s">
        <v>629</v>
      </c>
      <c r="F2751" t="s">
        <v>632</v>
      </c>
      <c r="G2751" t="s">
        <v>2427</v>
      </c>
      <c r="R2751">
        <v>10</v>
      </c>
      <c r="S2751">
        <v>8</v>
      </c>
      <c r="T2751">
        <v>31</v>
      </c>
      <c r="U2751">
        <v>36</v>
      </c>
      <c r="V2751">
        <v>70</v>
      </c>
      <c r="W2751">
        <v>75</v>
      </c>
      <c r="X2751">
        <v>111</v>
      </c>
      <c r="Y2751">
        <v>116</v>
      </c>
      <c r="Z2751">
        <v>137</v>
      </c>
      <c r="AA2751">
        <v>136</v>
      </c>
      <c r="AB2751">
        <v>134</v>
      </c>
      <c r="AC2751">
        <v>79</v>
      </c>
      <c r="AD2751">
        <v>107</v>
      </c>
      <c r="AE2751">
        <v>15</v>
      </c>
      <c r="AF2751">
        <v>77</v>
      </c>
      <c r="AH2751">
        <v>29</v>
      </c>
      <c r="AJ2751">
        <v>13</v>
      </c>
      <c r="CH2751" t="str">
        <f t="shared" si="42"/>
        <v>D-0267</v>
      </c>
      <c r="CI2751" s="1" t="s">
        <v>102</v>
      </c>
    </row>
    <row r="2752" spans="1:87">
      <c r="A2752" t="s">
        <v>4404</v>
      </c>
      <c r="B2752">
        <v>453</v>
      </c>
      <c r="C2752" t="s">
        <v>2426</v>
      </c>
      <c r="D2752" t="s">
        <v>238</v>
      </c>
      <c r="E2752" t="s">
        <v>629</v>
      </c>
      <c r="F2752" t="s">
        <v>632</v>
      </c>
      <c r="G2752" t="s">
        <v>2427</v>
      </c>
      <c r="V2752">
        <v>14</v>
      </c>
      <c r="W2752">
        <v>25</v>
      </c>
      <c r="X2752">
        <v>40</v>
      </c>
      <c r="Y2752">
        <v>59</v>
      </c>
      <c r="Z2752">
        <v>80</v>
      </c>
      <c r="AA2752">
        <v>98</v>
      </c>
      <c r="AB2752">
        <v>70</v>
      </c>
      <c r="AC2752">
        <v>14</v>
      </c>
      <c r="AD2752">
        <v>40</v>
      </c>
      <c r="AF2752">
        <v>12</v>
      </c>
      <c r="AH2752">
        <v>1</v>
      </c>
      <c r="CH2752" t="str">
        <f t="shared" si="42"/>
        <v>D-0267</v>
      </c>
      <c r="CI2752" s="1" t="s">
        <v>102</v>
      </c>
    </row>
    <row r="2753" spans="1:87">
      <c r="A2753" t="s">
        <v>4405</v>
      </c>
      <c r="B2753">
        <v>504</v>
      </c>
      <c r="C2753" t="s">
        <v>2426</v>
      </c>
      <c r="D2753" t="s">
        <v>238</v>
      </c>
      <c r="E2753" t="s">
        <v>629</v>
      </c>
      <c r="F2753" t="s">
        <v>632</v>
      </c>
      <c r="G2753" t="s">
        <v>2427</v>
      </c>
      <c r="V2753">
        <v>41</v>
      </c>
      <c r="W2753">
        <v>47</v>
      </c>
      <c r="X2753">
        <v>54</v>
      </c>
      <c r="Y2753">
        <v>50</v>
      </c>
      <c r="Z2753">
        <v>38</v>
      </c>
      <c r="AA2753">
        <v>41</v>
      </c>
      <c r="AB2753">
        <v>48</v>
      </c>
      <c r="AC2753">
        <v>49</v>
      </c>
      <c r="AD2753">
        <v>44</v>
      </c>
      <c r="AF2753">
        <v>48</v>
      </c>
      <c r="AH2753">
        <v>44</v>
      </c>
      <c r="CH2753" t="str">
        <f t="shared" si="42"/>
        <v>D-0267</v>
      </c>
      <c r="CI2753" s="1" t="s">
        <v>102</v>
      </c>
    </row>
    <row r="2754" spans="1:87">
      <c r="A2754" t="s">
        <v>4406</v>
      </c>
      <c r="B2754">
        <v>705</v>
      </c>
      <c r="C2754" t="s">
        <v>2426</v>
      </c>
      <c r="D2754" t="s">
        <v>238</v>
      </c>
      <c r="E2754" t="s">
        <v>629</v>
      </c>
      <c r="F2754" t="s">
        <v>632</v>
      </c>
      <c r="G2754" t="s">
        <v>2427</v>
      </c>
      <c r="V2754">
        <v>59</v>
      </c>
      <c r="W2754">
        <v>65</v>
      </c>
      <c r="X2754">
        <v>79</v>
      </c>
      <c r="Y2754">
        <v>69</v>
      </c>
      <c r="Z2754">
        <v>51</v>
      </c>
      <c r="AA2754">
        <v>46</v>
      </c>
      <c r="AB2754">
        <v>56</v>
      </c>
      <c r="AC2754">
        <v>76</v>
      </c>
      <c r="AD2754">
        <v>67</v>
      </c>
      <c r="AF2754">
        <v>74</v>
      </c>
      <c r="AH2754">
        <v>63</v>
      </c>
      <c r="CH2754" t="str">
        <f t="shared" ref="CH2754:CH2817" si="43">TRIM(IFERROR(IFERROR(MID($D2754,FIND("(D-",$D2754)+1,6),LEFT($D2754,FIND("(",$D2754)-1)),$D2754))</f>
        <v>D-0267</v>
      </c>
      <c r="CI2754" s="1" t="s">
        <v>102</v>
      </c>
    </row>
    <row r="2755" spans="1:87">
      <c r="A2755" t="s">
        <v>4407</v>
      </c>
      <c r="B2755">
        <v>239</v>
      </c>
      <c r="C2755" t="s">
        <v>2426</v>
      </c>
      <c r="D2755" t="s">
        <v>238</v>
      </c>
      <c r="E2755" t="s">
        <v>629</v>
      </c>
      <c r="F2755" t="s">
        <v>632</v>
      </c>
      <c r="G2755" t="s">
        <v>2427</v>
      </c>
      <c r="W2755">
        <v>3</v>
      </c>
      <c r="X2755">
        <v>10</v>
      </c>
      <c r="Y2755">
        <v>24</v>
      </c>
      <c r="Z2755">
        <v>46</v>
      </c>
      <c r="AA2755">
        <v>61</v>
      </c>
      <c r="AB2755">
        <v>50</v>
      </c>
      <c r="AC2755">
        <v>6</v>
      </c>
      <c r="AD2755">
        <v>28</v>
      </c>
      <c r="AF2755">
        <v>8</v>
      </c>
      <c r="AH2755">
        <v>3</v>
      </c>
      <c r="CH2755" t="str">
        <f t="shared" si="43"/>
        <v>D-0267</v>
      </c>
      <c r="CI2755" s="1" t="s">
        <v>102</v>
      </c>
    </row>
    <row r="2756" spans="1:87">
      <c r="A2756" t="s">
        <v>4408</v>
      </c>
      <c r="B2756">
        <v>249</v>
      </c>
      <c r="C2756" t="s">
        <v>2468</v>
      </c>
      <c r="D2756" t="s">
        <v>237</v>
      </c>
      <c r="E2756" t="s">
        <v>629</v>
      </c>
      <c r="F2756" t="s">
        <v>632</v>
      </c>
      <c r="G2756" t="s">
        <v>2469</v>
      </c>
      <c r="U2756">
        <v>12</v>
      </c>
      <c r="V2756">
        <v>16</v>
      </c>
      <c r="W2756">
        <v>32</v>
      </c>
      <c r="X2756">
        <v>27</v>
      </c>
      <c r="Y2756">
        <v>28</v>
      </c>
      <c r="Z2756">
        <v>35</v>
      </c>
      <c r="AA2756">
        <v>31</v>
      </c>
      <c r="AB2756">
        <v>28</v>
      </c>
      <c r="AC2756">
        <v>13</v>
      </c>
      <c r="AD2756">
        <v>19</v>
      </c>
      <c r="AF2756">
        <v>8</v>
      </c>
      <c r="CH2756" t="str">
        <f t="shared" si="43"/>
        <v>D-0267</v>
      </c>
      <c r="CI2756" s="1" t="s">
        <v>102</v>
      </c>
    </row>
    <row r="2757" spans="1:87">
      <c r="A2757" t="s">
        <v>4409</v>
      </c>
      <c r="B2757">
        <v>857</v>
      </c>
      <c r="C2757" t="s">
        <v>2468</v>
      </c>
      <c r="D2757" t="s">
        <v>237</v>
      </c>
      <c r="E2757" t="s">
        <v>629</v>
      </c>
      <c r="F2757" t="s">
        <v>632</v>
      </c>
      <c r="G2757" t="s">
        <v>2469</v>
      </c>
      <c r="S2757">
        <v>18</v>
      </c>
      <c r="T2757">
        <v>37</v>
      </c>
      <c r="U2757">
        <v>32</v>
      </c>
      <c r="V2757">
        <v>35</v>
      </c>
      <c r="W2757">
        <v>53</v>
      </c>
      <c r="X2757">
        <v>79</v>
      </c>
      <c r="Y2757">
        <v>17</v>
      </c>
      <c r="Z2757">
        <v>84</v>
      </c>
      <c r="AA2757">
        <v>123</v>
      </c>
      <c r="AB2757">
        <v>121</v>
      </c>
      <c r="AC2757">
        <v>58</v>
      </c>
      <c r="AD2757">
        <v>70</v>
      </c>
      <c r="AE2757">
        <v>41</v>
      </c>
      <c r="AF2757">
        <v>37</v>
      </c>
      <c r="AH2757">
        <v>29</v>
      </c>
      <c r="AJ2757">
        <v>23</v>
      </c>
      <c r="CH2757" t="str">
        <f t="shared" si="43"/>
        <v>D-0267</v>
      </c>
      <c r="CI2757" s="1" t="s">
        <v>102</v>
      </c>
    </row>
    <row r="2758" spans="1:87">
      <c r="A2758" t="s">
        <v>4410</v>
      </c>
      <c r="B2758">
        <v>1005</v>
      </c>
      <c r="C2758" t="s">
        <v>2468</v>
      </c>
      <c r="D2758" t="s">
        <v>237</v>
      </c>
      <c r="E2758" t="s">
        <v>629</v>
      </c>
      <c r="F2758" t="s">
        <v>632</v>
      </c>
      <c r="G2758" t="s">
        <v>2469</v>
      </c>
      <c r="U2758">
        <v>6</v>
      </c>
      <c r="V2758">
        <v>66</v>
      </c>
      <c r="W2758">
        <v>66</v>
      </c>
      <c r="X2758">
        <v>99</v>
      </c>
      <c r="Y2758">
        <v>108</v>
      </c>
      <c r="Z2758">
        <v>120</v>
      </c>
      <c r="AA2758">
        <v>144</v>
      </c>
      <c r="AB2758">
        <v>120</v>
      </c>
      <c r="AC2758">
        <v>84</v>
      </c>
      <c r="AD2758">
        <v>108</v>
      </c>
      <c r="AF2758">
        <v>84</v>
      </c>
      <c r="CH2758" t="str">
        <f t="shared" si="43"/>
        <v>D-0267</v>
      </c>
      <c r="CI2758" s="1" t="s">
        <v>102</v>
      </c>
    </row>
    <row r="2759" spans="1:87">
      <c r="A2759" t="s">
        <v>4411</v>
      </c>
      <c r="B2759">
        <v>903</v>
      </c>
      <c r="C2759" t="s">
        <v>2468</v>
      </c>
      <c r="D2759" t="s">
        <v>237</v>
      </c>
      <c r="E2759" t="s">
        <v>629</v>
      </c>
      <c r="F2759" t="s">
        <v>632</v>
      </c>
      <c r="G2759" t="s">
        <v>2469</v>
      </c>
      <c r="V2759">
        <v>114</v>
      </c>
      <c r="W2759">
        <v>138</v>
      </c>
      <c r="X2759">
        <v>159</v>
      </c>
      <c r="Y2759">
        <v>84</v>
      </c>
      <c r="Z2759">
        <v>180</v>
      </c>
      <c r="AA2759">
        <v>144</v>
      </c>
      <c r="AB2759">
        <v>84</v>
      </c>
      <c r="CH2759" t="str">
        <f t="shared" si="43"/>
        <v>D-0267</v>
      </c>
      <c r="CI2759" s="1" t="s">
        <v>102</v>
      </c>
    </row>
    <row r="2760" spans="1:87">
      <c r="A2760" t="s">
        <v>4412</v>
      </c>
      <c r="B2760">
        <v>903</v>
      </c>
      <c r="C2760" t="s">
        <v>2468</v>
      </c>
      <c r="D2760" t="s">
        <v>237</v>
      </c>
      <c r="E2760" t="s">
        <v>629</v>
      </c>
      <c r="F2760" t="s">
        <v>632</v>
      </c>
      <c r="G2760" t="s">
        <v>2469</v>
      </c>
      <c r="V2760">
        <v>126</v>
      </c>
      <c r="W2760">
        <v>174</v>
      </c>
      <c r="X2760">
        <v>189</v>
      </c>
      <c r="Y2760">
        <v>42</v>
      </c>
      <c r="Z2760">
        <v>222</v>
      </c>
      <c r="AA2760">
        <v>126</v>
      </c>
      <c r="AB2760">
        <v>24</v>
      </c>
      <c r="CH2760" t="str">
        <f t="shared" si="43"/>
        <v>D-0267</v>
      </c>
      <c r="CI2760" s="1" t="s">
        <v>102</v>
      </c>
    </row>
    <row r="2761" spans="1:87">
      <c r="A2761" t="s">
        <v>4413</v>
      </c>
      <c r="B2761">
        <v>309</v>
      </c>
      <c r="C2761" t="s">
        <v>2468</v>
      </c>
      <c r="D2761" t="s">
        <v>237</v>
      </c>
      <c r="E2761" t="s">
        <v>629</v>
      </c>
      <c r="F2761" t="s">
        <v>632</v>
      </c>
      <c r="G2761" t="s">
        <v>2469</v>
      </c>
      <c r="T2761">
        <v>12</v>
      </c>
      <c r="U2761">
        <v>12</v>
      </c>
      <c r="V2761">
        <v>24</v>
      </c>
      <c r="W2761">
        <v>24</v>
      </c>
      <c r="X2761">
        <v>27</v>
      </c>
      <c r="Y2761">
        <v>30</v>
      </c>
      <c r="Z2761">
        <v>30</v>
      </c>
      <c r="AA2761">
        <v>36</v>
      </c>
      <c r="AB2761">
        <v>30</v>
      </c>
      <c r="AC2761">
        <v>24</v>
      </c>
      <c r="AD2761">
        <v>30</v>
      </c>
      <c r="AF2761">
        <v>24</v>
      </c>
      <c r="AH2761">
        <v>6</v>
      </c>
      <c r="CH2761" t="str">
        <f t="shared" si="43"/>
        <v>D-0267</v>
      </c>
      <c r="CI2761" s="1" t="s">
        <v>102</v>
      </c>
    </row>
    <row r="2762" spans="1:87">
      <c r="A2762" t="s">
        <v>4414</v>
      </c>
      <c r="B2762">
        <v>706</v>
      </c>
      <c r="C2762" t="s">
        <v>2450</v>
      </c>
      <c r="D2762" t="s">
        <v>238</v>
      </c>
      <c r="E2762" t="s">
        <v>642</v>
      </c>
      <c r="F2762" t="s">
        <v>645</v>
      </c>
      <c r="G2762" t="s">
        <v>2593</v>
      </c>
      <c r="S2762">
        <v>51</v>
      </c>
      <c r="W2762">
        <v>243</v>
      </c>
      <c r="Y2762">
        <v>30</v>
      </c>
      <c r="Z2762">
        <v>208</v>
      </c>
      <c r="AA2762">
        <v>56</v>
      </c>
      <c r="AB2762">
        <v>105</v>
      </c>
      <c r="AC2762">
        <v>13</v>
      </c>
      <c r="CH2762" t="str">
        <f t="shared" si="43"/>
        <v>D-0267</v>
      </c>
      <c r="CI2762" s="1" t="s">
        <v>102</v>
      </c>
    </row>
    <row r="2763" spans="1:87">
      <c r="A2763" t="s">
        <v>4415</v>
      </c>
      <c r="B2763">
        <v>1203</v>
      </c>
      <c r="C2763" t="s">
        <v>2450</v>
      </c>
      <c r="D2763" t="s">
        <v>238</v>
      </c>
      <c r="E2763" t="s">
        <v>642</v>
      </c>
      <c r="F2763" t="s">
        <v>645</v>
      </c>
      <c r="G2763" t="s">
        <v>2593</v>
      </c>
      <c r="T2763">
        <v>120</v>
      </c>
      <c r="U2763">
        <v>120</v>
      </c>
      <c r="V2763">
        <v>420</v>
      </c>
      <c r="W2763">
        <v>420</v>
      </c>
      <c r="X2763">
        <v>123</v>
      </c>
      <c r="CH2763" t="str">
        <f t="shared" si="43"/>
        <v>D-0267</v>
      </c>
      <c r="CI2763" s="1" t="s">
        <v>102</v>
      </c>
    </row>
    <row r="2764" spans="1:87">
      <c r="A2764" t="s">
        <v>4416</v>
      </c>
      <c r="B2764">
        <v>1803</v>
      </c>
      <c r="C2764" t="s">
        <v>2450</v>
      </c>
      <c r="D2764" t="s">
        <v>238</v>
      </c>
      <c r="E2764" t="s">
        <v>642</v>
      </c>
      <c r="F2764" t="s">
        <v>645</v>
      </c>
      <c r="G2764" t="s">
        <v>2593</v>
      </c>
      <c r="T2764">
        <v>200</v>
      </c>
      <c r="U2764">
        <v>400</v>
      </c>
      <c r="V2764">
        <v>400</v>
      </c>
      <c r="W2764">
        <v>400</v>
      </c>
      <c r="X2764">
        <v>203</v>
      </c>
      <c r="Y2764">
        <v>200</v>
      </c>
      <c r="CH2764" t="str">
        <f t="shared" si="43"/>
        <v>D-0267</v>
      </c>
      <c r="CI2764" s="1" t="s">
        <v>102</v>
      </c>
    </row>
    <row r="2765" spans="1:87">
      <c r="A2765" t="s">
        <v>4417</v>
      </c>
      <c r="B2765">
        <v>277</v>
      </c>
      <c r="C2765" t="s">
        <v>2450</v>
      </c>
      <c r="D2765" t="s">
        <v>238</v>
      </c>
      <c r="E2765" t="s">
        <v>642</v>
      </c>
      <c r="F2765" t="s">
        <v>645</v>
      </c>
      <c r="G2765" t="s">
        <v>2593</v>
      </c>
      <c r="P2765">
        <v>2</v>
      </c>
      <c r="Q2765">
        <v>2</v>
      </c>
      <c r="R2765">
        <v>15</v>
      </c>
      <c r="S2765">
        <v>19</v>
      </c>
      <c r="T2765">
        <v>39</v>
      </c>
      <c r="U2765">
        <v>39</v>
      </c>
      <c r="V2765">
        <v>49</v>
      </c>
      <c r="W2765">
        <v>39</v>
      </c>
      <c r="X2765">
        <v>33</v>
      </c>
      <c r="Y2765">
        <v>19</v>
      </c>
      <c r="Z2765">
        <v>17</v>
      </c>
      <c r="AB2765">
        <v>4</v>
      </c>
      <c r="CH2765" t="str">
        <f t="shared" si="43"/>
        <v>D-0267</v>
      </c>
      <c r="CI2765" s="1" t="s">
        <v>102</v>
      </c>
    </row>
    <row r="2766" spans="1:87">
      <c r="A2766" t="s">
        <v>4418</v>
      </c>
      <c r="B2766">
        <v>464</v>
      </c>
      <c r="C2766" t="s">
        <v>2450</v>
      </c>
      <c r="D2766" t="s">
        <v>238</v>
      </c>
      <c r="E2766" t="s">
        <v>642</v>
      </c>
      <c r="F2766" t="s">
        <v>645</v>
      </c>
      <c r="G2766" t="s">
        <v>2593</v>
      </c>
      <c r="P2766">
        <v>3</v>
      </c>
      <c r="Q2766">
        <v>3</v>
      </c>
      <c r="R2766">
        <v>24</v>
      </c>
      <c r="S2766">
        <v>31</v>
      </c>
      <c r="T2766">
        <v>65</v>
      </c>
      <c r="U2766">
        <v>62</v>
      </c>
      <c r="V2766">
        <v>81</v>
      </c>
      <c r="W2766">
        <v>63</v>
      </c>
      <c r="X2766">
        <v>59</v>
      </c>
      <c r="Y2766">
        <v>34</v>
      </c>
      <c r="Z2766">
        <v>31</v>
      </c>
      <c r="AA2766">
        <v>1</v>
      </c>
      <c r="AB2766">
        <v>6</v>
      </c>
      <c r="AC2766">
        <v>1</v>
      </c>
      <c r="CH2766" t="str">
        <f t="shared" si="43"/>
        <v>D-0267</v>
      </c>
      <c r="CI2766" s="1" t="s">
        <v>102</v>
      </c>
    </row>
    <row r="2767" spans="1:87">
      <c r="A2767" t="s">
        <v>4419</v>
      </c>
      <c r="B2767">
        <v>415</v>
      </c>
      <c r="C2767" t="s">
        <v>2450</v>
      </c>
      <c r="D2767" t="s">
        <v>238</v>
      </c>
      <c r="E2767" t="s">
        <v>642</v>
      </c>
      <c r="F2767" t="s">
        <v>645</v>
      </c>
      <c r="G2767" t="s">
        <v>2593</v>
      </c>
      <c r="P2767">
        <v>2</v>
      </c>
      <c r="Q2767">
        <v>2</v>
      </c>
      <c r="R2767">
        <v>22</v>
      </c>
      <c r="S2767">
        <v>28</v>
      </c>
      <c r="T2767">
        <v>60</v>
      </c>
      <c r="U2767">
        <v>56</v>
      </c>
      <c r="V2767">
        <v>74</v>
      </c>
      <c r="W2767">
        <v>56</v>
      </c>
      <c r="X2767">
        <v>53</v>
      </c>
      <c r="Y2767">
        <v>30</v>
      </c>
      <c r="Z2767">
        <v>28</v>
      </c>
      <c r="AB2767">
        <v>4</v>
      </c>
      <c r="CH2767" t="str">
        <f t="shared" si="43"/>
        <v>D-0267</v>
      </c>
      <c r="CI2767" s="1" t="s">
        <v>102</v>
      </c>
    </row>
    <row r="2768" spans="1:87">
      <c r="A2768" t="s">
        <v>4420</v>
      </c>
      <c r="B2768">
        <v>1898</v>
      </c>
      <c r="C2768" t="s">
        <v>2450</v>
      </c>
      <c r="D2768" t="s">
        <v>238</v>
      </c>
      <c r="E2768" t="s">
        <v>642</v>
      </c>
      <c r="F2768" t="s">
        <v>645</v>
      </c>
      <c r="G2768" t="s">
        <v>2593</v>
      </c>
      <c r="P2768">
        <v>26</v>
      </c>
      <c r="Q2768">
        <v>34</v>
      </c>
      <c r="R2768">
        <v>83</v>
      </c>
      <c r="S2768">
        <v>114</v>
      </c>
      <c r="T2768">
        <v>222</v>
      </c>
      <c r="U2768">
        <v>218</v>
      </c>
      <c r="V2768">
        <v>298</v>
      </c>
      <c r="W2768">
        <v>239</v>
      </c>
      <c r="X2768">
        <v>240</v>
      </c>
      <c r="Y2768">
        <v>144</v>
      </c>
      <c r="Z2768">
        <v>132</v>
      </c>
      <c r="AA2768">
        <v>43</v>
      </c>
      <c r="AB2768">
        <v>64</v>
      </c>
      <c r="AC2768">
        <v>15</v>
      </c>
      <c r="AD2768">
        <v>26</v>
      </c>
      <c r="CH2768" t="str">
        <f t="shared" si="43"/>
        <v>D-0267</v>
      </c>
      <c r="CI2768" s="1" t="s">
        <v>102</v>
      </c>
    </row>
    <row r="2769" spans="1:87">
      <c r="A2769" t="s">
        <v>4421</v>
      </c>
      <c r="B2769">
        <v>407</v>
      </c>
      <c r="C2769" t="s">
        <v>4422</v>
      </c>
      <c r="D2769" t="s">
        <v>238</v>
      </c>
      <c r="E2769" t="s">
        <v>642</v>
      </c>
      <c r="F2769" t="s">
        <v>645</v>
      </c>
      <c r="G2769" t="s">
        <v>2469</v>
      </c>
      <c r="P2769">
        <v>3</v>
      </c>
      <c r="Q2769">
        <v>6</v>
      </c>
      <c r="R2769">
        <v>18</v>
      </c>
      <c r="S2769">
        <v>28</v>
      </c>
      <c r="T2769">
        <v>40</v>
      </c>
      <c r="U2769">
        <v>57</v>
      </c>
      <c r="V2769">
        <v>62</v>
      </c>
      <c r="W2769">
        <v>60</v>
      </c>
      <c r="X2769">
        <v>52</v>
      </c>
      <c r="Y2769">
        <v>33</v>
      </c>
      <c r="Z2769">
        <v>29</v>
      </c>
      <c r="AA2769">
        <v>4</v>
      </c>
      <c r="AB2769">
        <v>11</v>
      </c>
      <c r="AC2769">
        <v>2</v>
      </c>
      <c r="AD2769">
        <v>2</v>
      </c>
      <c r="CH2769" t="str">
        <f t="shared" si="43"/>
        <v>D-0267</v>
      </c>
      <c r="CI2769" s="1" t="s">
        <v>102</v>
      </c>
    </row>
    <row r="2770" spans="1:87">
      <c r="A2770" t="s">
        <v>4423</v>
      </c>
      <c r="B2770">
        <v>568</v>
      </c>
      <c r="C2770" t="s">
        <v>4422</v>
      </c>
      <c r="D2770" t="s">
        <v>238</v>
      </c>
      <c r="E2770" t="s">
        <v>642</v>
      </c>
      <c r="F2770" t="s">
        <v>645</v>
      </c>
      <c r="G2770" t="s">
        <v>2469</v>
      </c>
      <c r="P2770">
        <v>3</v>
      </c>
      <c r="Q2770">
        <v>4</v>
      </c>
      <c r="R2770">
        <v>26</v>
      </c>
      <c r="S2770">
        <v>36</v>
      </c>
      <c r="T2770">
        <v>59</v>
      </c>
      <c r="U2770">
        <v>71</v>
      </c>
      <c r="V2770">
        <v>92</v>
      </c>
      <c r="W2770">
        <v>81</v>
      </c>
      <c r="X2770">
        <v>77</v>
      </c>
      <c r="Y2770">
        <v>47</v>
      </c>
      <c r="Z2770">
        <v>43</v>
      </c>
      <c r="AA2770">
        <v>4</v>
      </c>
      <c r="AB2770">
        <v>19</v>
      </c>
      <c r="AC2770">
        <v>2</v>
      </c>
      <c r="AD2770">
        <v>4</v>
      </c>
      <c r="CH2770" t="str">
        <f t="shared" si="43"/>
        <v>D-0267</v>
      </c>
      <c r="CI2770" s="1" t="s">
        <v>102</v>
      </c>
    </row>
    <row r="2771" spans="1:87">
      <c r="A2771" t="s">
        <v>4424</v>
      </c>
      <c r="B2771">
        <v>469</v>
      </c>
      <c r="C2771" t="s">
        <v>4422</v>
      </c>
      <c r="D2771" t="s">
        <v>238</v>
      </c>
      <c r="E2771" t="s">
        <v>642</v>
      </c>
      <c r="F2771" t="s">
        <v>645</v>
      </c>
      <c r="G2771" t="s">
        <v>2469</v>
      </c>
      <c r="P2771">
        <v>2</v>
      </c>
      <c r="Q2771">
        <v>2</v>
      </c>
      <c r="R2771">
        <v>22</v>
      </c>
      <c r="S2771">
        <v>30</v>
      </c>
      <c r="T2771">
        <v>50</v>
      </c>
      <c r="U2771">
        <v>60</v>
      </c>
      <c r="V2771">
        <v>78</v>
      </c>
      <c r="W2771">
        <v>68</v>
      </c>
      <c r="X2771">
        <v>65</v>
      </c>
      <c r="Y2771">
        <v>38</v>
      </c>
      <c r="Z2771">
        <v>36</v>
      </c>
      <c r="AB2771">
        <v>16</v>
      </c>
      <c r="AD2771">
        <v>2</v>
      </c>
      <c r="CH2771" t="str">
        <f t="shared" si="43"/>
        <v>D-0267</v>
      </c>
      <c r="CI2771" s="1" t="s">
        <v>102</v>
      </c>
    </row>
    <row r="2772" spans="1:87">
      <c r="A2772" t="s">
        <v>4425</v>
      </c>
      <c r="B2772">
        <v>1626</v>
      </c>
      <c r="C2772" t="s">
        <v>4422</v>
      </c>
      <c r="D2772" t="s">
        <v>238</v>
      </c>
      <c r="E2772" t="s">
        <v>642</v>
      </c>
      <c r="F2772" t="s">
        <v>645</v>
      </c>
      <c r="G2772" t="s">
        <v>2469</v>
      </c>
      <c r="P2772">
        <v>24</v>
      </c>
      <c r="R2772">
        <v>67</v>
      </c>
      <c r="S2772">
        <v>200</v>
      </c>
      <c r="T2772">
        <v>244</v>
      </c>
      <c r="U2772">
        <v>91</v>
      </c>
      <c r="V2772">
        <v>111</v>
      </c>
      <c r="W2772">
        <v>403</v>
      </c>
      <c r="X2772">
        <v>141</v>
      </c>
      <c r="Y2772">
        <v>81</v>
      </c>
      <c r="Z2772">
        <v>143</v>
      </c>
      <c r="AB2772">
        <v>121</v>
      </c>
      <c r="CH2772" t="str">
        <f t="shared" si="43"/>
        <v>D-0267</v>
      </c>
      <c r="CI2772" s="1" t="s">
        <v>102</v>
      </c>
    </row>
    <row r="2773" spans="1:87">
      <c r="A2773" t="s">
        <v>4426</v>
      </c>
      <c r="B2773">
        <v>1323</v>
      </c>
      <c r="C2773" t="s">
        <v>2429</v>
      </c>
      <c r="D2773" t="s">
        <v>238</v>
      </c>
      <c r="E2773" t="s">
        <v>642</v>
      </c>
      <c r="F2773" t="s">
        <v>645</v>
      </c>
      <c r="G2773" t="s">
        <v>4427</v>
      </c>
      <c r="R2773">
        <v>90</v>
      </c>
      <c r="S2773">
        <v>114</v>
      </c>
      <c r="T2773">
        <v>156</v>
      </c>
      <c r="U2773">
        <v>162</v>
      </c>
      <c r="V2773">
        <v>192</v>
      </c>
      <c r="W2773">
        <v>162</v>
      </c>
      <c r="X2773">
        <v>153</v>
      </c>
      <c r="Y2773">
        <v>108</v>
      </c>
      <c r="Z2773">
        <v>108</v>
      </c>
      <c r="AB2773">
        <v>78</v>
      </c>
      <c r="CH2773" t="str">
        <f t="shared" si="43"/>
        <v>D-0267</v>
      </c>
      <c r="CI2773" s="1" t="s">
        <v>102</v>
      </c>
    </row>
    <row r="2774" spans="1:87">
      <c r="A2774" t="s">
        <v>4428</v>
      </c>
      <c r="B2774">
        <v>1898</v>
      </c>
      <c r="C2774" t="s">
        <v>2429</v>
      </c>
      <c r="D2774" t="s">
        <v>238</v>
      </c>
      <c r="E2774" t="s">
        <v>642</v>
      </c>
      <c r="F2774" t="s">
        <v>645</v>
      </c>
      <c r="G2774" t="s">
        <v>4427</v>
      </c>
      <c r="P2774">
        <v>26</v>
      </c>
      <c r="Q2774">
        <v>34</v>
      </c>
      <c r="R2774">
        <v>83</v>
      </c>
      <c r="S2774">
        <v>114</v>
      </c>
      <c r="T2774">
        <v>222</v>
      </c>
      <c r="U2774">
        <v>218</v>
      </c>
      <c r="V2774">
        <v>298</v>
      </c>
      <c r="W2774">
        <v>239</v>
      </c>
      <c r="X2774">
        <v>240</v>
      </c>
      <c r="Y2774">
        <v>144</v>
      </c>
      <c r="Z2774">
        <v>132</v>
      </c>
      <c r="AA2774">
        <v>43</v>
      </c>
      <c r="AB2774">
        <v>64</v>
      </c>
      <c r="AC2774">
        <v>15</v>
      </c>
      <c r="AD2774">
        <v>26</v>
      </c>
      <c r="CH2774" t="str">
        <f t="shared" si="43"/>
        <v>D-0267</v>
      </c>
      <c r="CI2774" s="1" t="s">
        <v>102</v>
      </c>
    </row>
    <row r="2775" spans="1:87">
      <c r="A2775" t="s">
        <v>4429</v>
      </c>
      <c r="B2775">
        <v>1</v>
      </c>
      <c r="C2775" t="s">
        <v>2429</v>
      </c>
      <c r="D2775" t="s">
        <v>238</v>
      </c>
      <c r="E2775" t="s">
        <v>642</v>
      </c>
      <c r="F2775" t="s">
        <v>645</v>
      </c>
      <c r="G2775" t="s">
        <v>4427</v>
      </c>
      <c r="V2775">
        <v>1</v>
      </c>
      <c r="CH2775" t="str">
        <f t="shared" si="43"/>
        <v>D-0267</v>
      </c>
      <c r="CI2775" s="1" t="s">
        <v>102</v>
      </c>
    </row>
    <row r="2776" spans="1:87">
      <c r="A2776" t="s">
        <v>4430</v>
      </c>
      <c r="B2776">
        <v>507</v>
      </c>
      <c r="C2776" t="s">
        <v>4431</v>
      </c>
      <c r="D2776" t="s">
        <v>238</v>
      </c>
      <c r="E2776" t="s">
        <v>642</v>
      </c>
      <c r="F2776" t="s">
        <v>645</v>
      </c>
      <c r="G2776" t="s">
        <v>4432</v>
      </c>
      <c r="Q2776">
        <v>12</v>
      </c>
      <c r="S2776">
        <v>90</v>
      </c>
      <c r="U2776">
        <v>156</v>
      </c>
      <c r="W2776">
        <v>159</v>
      </c>
      <c r="Y2776">
        <v>84</v>
      </c>
      <c r="AA2776">
        <v>6</v>
      </c>
      <c r="CH2776" t="str">
        <f t="shared" si="43"/>
        <v>D-0267</v>
      </c>
      <c r="CI2776" s="1" t="s">
        <v>102</v>
      </c>
    </row>
    <row r="2777" spans="1:87">
      <c r="A2777" t="s">
        <v>4433</v>
      </c>
      <c r="B2777">
        <v>126</v>
      </c>
      <c r="C2777" t="s">
        <v>4431</v>
      </c>
      <c r="D2777" t="s">
        <v>238</v>
      </c>
      <c r="E2777" t="s">
        <v>642</v>
      </c>
      <c r="F2777" t="s">
        <v>645</v>
      </c>
      <c r="G2777" t="s">
        <v>4432</v>
      </c>
      <c r="P2777">
        <v>6</v>
      </c>
      <c r="Q2777">
        <v>6</v>
      </c>
      <c r="R2777">
        <v>12</v>
      </c>
      <c r="S2777">
        <v>18</v>
      </c>
      <c r="T2777">
        <v>18</v>
      </c>
      <c r="U2777">
        <v>18</v>
      </c>
      <c r="V2777">
        <v>12</v>
      </c>
      <c r="W2777">
        <v>12</v>
      </c>
      <c r="X2777">
        <v>12</v>
      </c>
      <c r="Y2777">
        <v>6</v>
      </c>
      <c r="Z2777">
        <v>6</v>
      </c>
      <c r="CH2777" t="str">
        <f t="shared" si="43"/>
        <v>D-0267</v>
      </c>
      <c r="CI2777" s="1" t="s">
        <v>102</v>
      </c>
    </row>
    <row r="2778" spans="1:87">
      <c r="A2778" t="s">
        <v>4434</v>
      </c>
      <c r="B2778">
        <v>741</v>
      </c>
      <c r="C2778" t="s">
        <v>4431</v>
      </c>
      <c r="D2778" t="s">
        <v>238</v>
      </c>
      <c r="E2778" t="s">
        <v>642</v>
      </c>
      <c r="F2778" t="s">
        <v>645</v>
      </c>
      <c r="G2778" t="s">
        <v>4432</v>
      </c>
      <c r="Q2778">
        <v>48</v>
      </c>
      <c r="R2778">
        <v>90</v>
      </c>
      <c r="S2778">
        <v>108</v>
      </c>
      <c r="T2778">
        <v>162</v>
      </c>
      <c r="U2778">
        <v>120</v>
      </c>
      <c r="V2778">
        <v>90</v>
      </c>
      <c r="W2778">
        <v>78</v>
      </c>
      <c r="X2778">
        <v>27</v>
      </c>
      <c r="Y2778">
        <v>18</v>
      </c>
      <c r="CH2778" t="str">
        <f t="shared" si="43"/>
        <v>D-0267</v>
      </c>
      <c r="CI2778" s="1" t="s">
        <v>102</v>
      </c>
    </row>
    <row r="2779" spans="1:87">
      <c r="A2779" t="s">
        <v>4435</v>
      </c>
      <c r="B2779">
        <v>2</v>
      </c>
      <c r="C2779" t="s">
        <v>4431</v>
      </c>
      <c r="D2779" t="s">
        <v>238</v>
      </c>
      <c r="E2779" t="s">
        <v>642</v>
      </c>
      <c r="F2779" t="s">
        <v>645</v>
      </c>
      <c r="G2779" t="s">
        <v>4432</v>
      </c>
      <c r="Z2779">
        <v>2</v>
      </c>
      <c r="CH2779" t="str">
        <f t="shared" si="43"/>
        <v>D-0267</v>
      </c>
      <c r="CI2779" s="1" t="s">
        <v>102</v>
      </c>
    </row>
    <row r="2780" spans="1:87">
      <c r="A2780" t="s">
        <v>4436</v>
      </c>
      <c r="B2780">
        <v>2109</v>
      </c>
      <c r="C2780" t="s">
        <v>4431</v>
      </c>
      <c r="D2780" t="s">
        <v>238</v>
      </c>
      <c r="E2780" t="s">
        <v>642</v>
      </c>
      <c r="F2780" t="s">
        <v>645</v>
      </c>
      <c r="G2780" t="s">
        <v>4432</v>
      </c>
      <c r="S2780">
        <v>351</v>
      </c>
      <c r="T2780">
        <v>351</v>
      </c>
      <c r="U2780">
        <v>351</v>
      </c>
      <c r="V2780">
        <v>351</v>
      </c>
      <c r="W2780">
        <v>351</v>
      </c>
      <c r="X2780">
        <v>354</v>
      </c>
      <c r="CH2780" t="str">
        <f t="shared" si="43"/>
        <v>D-0267</v>
      </c>
      <c r="CI2780" s="1" t="s">
        <v>102</v>
      </c>
    </row>
    <row r="2781" spans="1:87">
      <c r="A2781" t="s">
        <v>4437</v>
      </c>
      <c r="B2781">
        <v>1491</v>
      </c>
      <c r="C2781" t="s">
        <v>4431</v>
      </c>
      <c r="D2781" t="s">
        <v>238</v>
      </c>
      <c r="E2781" t="s">
        <v>642</v>
      </c>
      <c r="F2781" t="s">
        <v>645</v>
      </c>
      <c r="G2781" t="s">
        <v>4432</v>
      </c>
      <c r="P2781">
        <v>18</v>
      </c>
      <c r="Q2781">
        <v>18</v>
      </c>
      <c r="R2781">
        <v>180</v>
      </c>
      <c r="S2781">
        <v>12</v>
      </c>
      <c r="T2781">
        <v>30</v>
      </c>
      <c r="U2781">
        <v>66</v>
      </c>
      <c r="V2781">
        <v>150</v>
      </c>
      <c r="W2781">
        <v>120</v>
      </c>
      <c r="X2781">
        <v>93</v>
      </c>
      <c r="Y2781">
        <v>270</v>
      </c>
      <c r="Z2781">
        <v>354</v>
      </c>
      <c r="AB2781">
        <v>168</v>
      </c>
      <c r="AD2781">
        <v>12</v>
      </c>
      <c r="CH2781" t="str">
        <f t="shared" si="43"/>
        <v>D-0267</v>
      </c>
      <c r="CI2781" s="1" t="s">
        <v>102</v>
      </c>
    </row>
    <row r="2782" spans="1:87">
      <c r="A2782" t="s">
        <v>4438</v>
      </c>
      <c r="B2782">
        <v>240</v>
      </c>
      <c r="C2782" t="s">
        <v>4439</v>
      </c>
      <c r="D2782" t="s">
        <v>238</v>
      </c>
      <c r="E2782" t="s">
        <v>642</v>
      </c>
      <c r="F2782" t="s">
        <v>645</v>
      </c>
      <c r="G2782" t="s">
        <v>3448</v>
      </c>
      <c r="R2782">
        <v>18</v>
      </c>
      <c r="S2782">
        <v>18</v>
      </c>
      <c r="T2782">
        <v>30</v>
      </c>
      <c r="U2782">
        <v>30</v>
      </c>
      <c r="V2782">
        <v>36</v>
      </c>
      <c r="W2782">
        <v>30</v>
      </c>
      <c r="X2782">
        <v>30</v>
      </c>
      <c r="Y2782">
        <v>18</v>
      </c>
      <c r="Z2782">
        <v>18</v>
      </c>
      <c r="AB2782">
        <v>12</v>
      </c>
      <c r="CH2782" t="str">
        <f t="shared" si="43"/>
        <v>D-0267</v>
      </c>
      <c r="CI2782" s="1" t="s">
        <v>102</v>
      </c>
    </row>
    <row r="2783" spans="1:87">
      <c r="A2783" t="s">
        <v>4440</v>
      </c>
      <c r="B2783">
        <v>1898</v>
      </c>
      <c r="C2783" t="s">
        <v>4439</v>
      </c>
      <c r="D2783" t="s">
        <v>238</v>
      </c>
      <c r="E2783" t="s">
        <v>642</v>
      </c>
      <c r="F2783" t="s">
        <v>645</v>
      </c>
      <c r="G2783" t="s">
        <v>3448</v>
      </c>
      <c r="R2783">
        <v>86</v>
      </c>
      <c r="S2783">
        <v>118</v>
      </c>
      <c r="T2783">
        <v>229</v>
      </c>
      <c r="U2783">
        <v>225</v>
      </c>
      <c r="V2783">
        <v>308</v>
      </c>
      <c r="W2783">
        <v>247</v>
      </c>
      <c r="X2783">
        <v>247</v>
      </c>
      <c r="Y2783">
        <v>149</v>
      </c>
      <c r="Z2783">
        <v>136</v>
      </c>
      <c r="AA2783">
        <v>44</v>
      </c>
      <c r="AB2783">
        <v>66</v>
      </c>
      <c r="AC2783">
        <v>16</v>
      </c>
      <c r="AD2783">
        <v>27</v>
      </c>
      <c r="CH2783" t="str">
        <f t="shared" si="43"/>
        <v>D-0267</v>
      </c>
      <c r="CI2783" s="1" t="s">
        <v>102</v>
      </c>
    </row>
    <row r="2784" spans="1:87">
      <c r="A2784" t="s">
        <v>4441</v>
      </c>
      <c r="B2784">
        <v>1</v>
      </c>
      <c r="C2784" t="s">
        <v>4439</v>
      </c>
      <c r="D2784" t="s">
        <v>238</v>
      </c>
      <c r="E2784" t="s">
        <v>642</v>
      </c>
      <c r="F2784" t="s">
        <v>645</v>
      </c>
      <c r="G2784" t="s">
        <v>3448</v>
      </c>
      <c r="V2784">
        <v>1</v>
      </c>
      <c r="CH2784" t="str">
        <f t="shared" si="43"/>
        <v>D-0267</v>
      </c>
      <c r="CI2784" s="1" t="s">
        <v>102</v>
      </c>
    </row>
    <row r="2785" spans="1:87">
      <c r="A2785" t="s">
        <v>4442</v>
      </c>
      <c r="B2785">
        <v>3063</v>
      </c>
      <c r="C2785" t="s">
        <v>4439</v>
      </c>
      <c r="D2785" t="s">
        <v>238</v>
      </c>
      <c r="E2785" t="s">
        <v>642</v>
      </c>
      <c r="F2785" t="s">
        <v>645</v>
      </c>
      <c r="G2785" t="s">
        <v>3448</v>
      </c>
      <c r="V2785">
        <v>510</v>
      </c>
      <c r="W2785">
        <v>510</v>
      </c>
      <c r="X2785">
        <v>513</v>
      </c>
      <c r="Y2785">
        <v>510</v>
      </c>
      <c r="Z2785">
        <v>510</v>
      </c>
      <c r="AB2785">
        <v>510</v>
      </c>
      <c r="CH2785" t="str">
        <f t="shared" si="43"/>
        <v>D-0267</v>
      </c>
      <c r="CI2785" s="1" t="s">
        <v>102</v>
      </c>
    </row>
    <row r="2786" spans="1:87">
      <c r="A2786" t="s">
        <v>4443</v>
      </c>
      <c r="B2786">
        <v>3063</v>
      </c>
      <c r="C2786" t="s">
        <v>4439</v>
      </c>
      <c r="D2786" t="s">
        <v>238</v>
      </c>
      <c r="E2786" t="s">
        <v>642</v>
      </c>
      <c r="F2786" t="s">
        <v>645</v>
      </c>
      <c r="G2786" t="s">
        <v>3448</v>
      </c>
      <c r="R2786">
        <v>510</v>
      </c>
      <c r="S2786">
        <v>510</v>
      </c>
      <c r="T2786">
        <v>510</v>
      </c>
      <c r="U2786">
        <v>510</v>
      </c>
      <c r="V2786">
        <v>510</v>
      </c>
      <c r="W2786">
        <v>513</v>
      </c>
      <c r="CH2786" t="str">
        <f t="shared" si="43"/>
        <v>D-0267</v>
      </c>
      <c r="CI2786" s="1" t="s">
        <v>102</v>
      </c>
    </row>
    <row r="2787" spans="1:87">
      <c r="A2787" t="s">
        <v>4444</v>
      </c>
      <c r="B2787">
        <v>1533</v>
      </c>
      <c r="C2787" t="s">
        <v>4439</v>
      </c>
      <c r="D2787" t="s">
        <v>238</v>
      </c>
      <c r="E2787" t="s">
        <v>642</v>
      </c>
      <c r="F2787" t="s">
        <v>645</v>
      </c>
      <c r="G2787" t="s">
        <v>3448</v>
      </c>
      <c r="R2787">
        <v>84</v>
      </c>
      <c r="S2787">
        <v>102</v>
      </c>
      <c r="T2787">
        <v>156</v>
      </c>
      <c r="U2787">
        <v>186</v>
      </c>
      <c r="V2787">
        <v>252</v>
      </c>
      <c r="W2787">
        <v>234</v>
      </c>
      <c r="X2787">
        <v>195</v>
      </c>
      <c r="Y2787">
        <v>132</v>
      </c>
      <c r="Z2787">
        <v>126</v>
      </c>
      <c r="AB2787">
        <v>66</v>
      </c>
      <c r="CH2787" t="str">
        <f t="shared" si="43"/>
        <v>D-0267</v>
      </c>
      <c r="CI2787" s="1" t="s">
        <v>102</v>
      </c>
    </row>
    <row r="2788" spans="1:87">
      <c r="A2788" t="s">
        <v>4445</v>
      </c>
      <c r="B2788">
        <v>903</v>
      </c>
      <c r="C2788" t="s">
        <v>4446</v>
      </c>
      <c r="D2788" t="s">
        <v>238</v>
      </c>
      <c r="E2788" t="s">
        <v>629</v>
      </c>
      <c r="F2788" t="s">
        <v>632</v>
      </c>
      <c r="G2788" t="s">
        <v>4447</v>
      </c>
      <c r="T2788">
        <v>24</v>
      </c>
      <c r="U2788">
        <v>24</v>
      </c>
      <c r="V2788">
        <v>66</v>
      </c>
      <c r="W2788">
        <v>60</v>
      </c>
      <c r="X2788">
        <v>123</v>
      </c>
      <c r="Y2788">
        <v>114</v>
      </c>
      <c r="Z2788">
        <v>144</v>
      </c>
      <c r="AA2788">
        <v>96</v>
      </c>
      <c r="AB2788">
        <v>114</v>
      </c>
      <c r="AC2788">
        <v>42</v>
      </c>
      <c r="AD2788">
        <v>48</v>
      </c>
      <c r="AE2788">
        <v>12</v>
      </c>
      <c r="AF2788">
        <v>30</v>
      </c>
      <c r="AH2788">
        <v>6</v>
      </c>
      <c r="CH2788" t="str">
        <f t="shared" si="43"/>
        <v>D-0267</v>
      </c>
      <c r="CI2788" s="1" t="s">
        <v>102</v>
      </c>
    </row>
    <row r="2789" spans="1:87">
      <c r="A2789" t="s">
        <v>4448</v>
      </c>
      <c r="B2789">
        <v>5201</v>
      </c>
      <c r="C2789" t="s">
        <v>4446</v>
      </c>
      <c r="D2789" t="s">
        <v>238</v>
      </c>
      <c r="E2789" t="s">
        <v>629</v>
      </c>
      <c r="F2789" t="s">
        <v>632</v>
      </c>
      <c r="G2789" t="s">
        <v>4447</v>
      </c>
      <c r="T2789">
        <v>124</v>
      </c>
      <c r="U2789">
        <v>155</v>
      </c>
      <c r="V2789">
        <v>339</v>
      </c>
      <c r="W2789">
        <v>396</v>
      </c>
      <c r="X2789">
        <v>541</v>
      </c>
      <c r="Y2789">
        <v>579</v>
      </c>
      <c r="Z2789">
        <v>653</v>
      </c>
      <c r="AA2789">
        <v>639</v>
      </c>
      <c r="AB2789">
        <v>609</v>
      </c>
      <c r="AC2789">
        <v>362</v>
      </c>
      <c r="AD2789">
        <v>467</v>
      </c>
      <c r="AE2789">
        <v>34</v>
      </c>
      <c r="AF2789">
        <v>303</v>
      </c>
      <c r="CH2789" t="str">
        <f t="shared" si="43"/>
        <v>D-0267</v>
      </c>
      <c r="CI2789" s="1" t="s">
        <v>102</v>
      </c>
    </row>
    <row r="2790" spans="1:87">
      <c r="A2790" t="s">
        <v>4449</v>
      </c>
      <c r="B2790">
        <v>2066</v>
      </c>
      <c r="C2790" t="s">
        <v>4446</v>
      </c>
      <c r="D2790" t="s">
        <v>238</v>
      </c>
      <c r="E2790" t="s">
        <v>629</v>
      </c>
      <c r="F2790" t="s">
        <v>632</v>
      </c>
      <c r="G2790" t="s">
        <v>4447</v>
      </c>
      <c r="T2790">
        <v>32</v>
      </c>
      <c r="U2790">
        <v>40</v>
      </c>
      <c r="V2790">
        <v>87</v>
      </c>
      <c r="W2790">
        <v>102</v>
      </c>
      <c r="X2790">
        <v>141</v>
      </c>
      <c r="Y2790">
        <v>148</v>
      </c>
      <c r="Z2790">
        <v>167</v>
      </c>
      <c r="AA2790">
        <v>856</v>
      </c>
      <c r="AB2790">
        <v>156</v>
      </c>
      <c r="AC2790">
        <v>93</v>
      </c>
      <c r="AD2790">
        <v>120</v>
      </c>
      <c r="AE2790">
        <v>46</v>
      </c>
      <c r="AF2790">
        <v>78</v>
      </c>
      <c r="CH2790" t="str">
        <f t="shared" si="43"/>
        <v>D-0267</v>
      </c>
      <c r="CI2790" s="1" t="s">
        <v>102</v>
      </c>
    </row>
    <row r="2791" spans="1:87">
      <c r="A2791" t="s">
        <v>4450</v>
      </c>
      <c r="B2791">
        <v>6242</v>
      </c>
      <c r="C2791" t="s">
        <v>4446</v>
      </c>
      <c r="D2791" t="s">
        <v>238</v>
      </c>
      <c r="E2791" t="s">
        <v>629</v>
      </c>
      <c r="F2791" t="s">
        <v>632</v>
      </c>
      <c r="G2791" t="s">
        <v>4447</v>
      </c>
      <c r="T2791">
        <v>165</v>
      </c>
      <c r="U2791">
        <v>207</v>
      </c>
      <c r="V2791">
        <v>454</v>
      </c>
      <c r="W2791">
        <v>530</v>
      </c>
      <c r="X2791">
        <v>727</v>
      </c>
      <c r="Y2791">
        <v>777</v>
      </c>
      <c r="Z2791">
        <v>876</v>
      </c>
      <c r="AA2791">
        <v>164</v>
      </c>
      <c r="AB2791">
        <v>816</v>
      </c>
      <c r="AC2791">
        <v>485</v>
      </c>
      <c r="AD2791">
        <v>627</v>
      </c>
      <c r="AE2791">
        <v>9</v>
      </c>
      <c r="AF2791">
        <v>405</v>
      </c>
      <c r="CH2791" t="str">
        <f t="shared" si="43"/>
        <v>D-0267</v>
      </c>
      <c r="CI2791" s="1" t="s">
        <v>102</v>
      </c>
    </row>
    <row r="2792" spans="1:87">
      <c r="A2792" t="s">
        <v>4451</v>
      </c>
      <c r="B2792">
        <v>855</v>
      </c>
      <c r="C2792" t="s">
        <v>4452</v>
      </c>
      <c r="D2792" t="s">
        <v>238</v>
      </c>
      <c r="E2792" t="s">
        <v>629</v>
      </c>
      <c r="F2792" t="s">
        <v>632</v>
      </c>
      <c r="G2792" t="s">
        <v>4453</v>
      </c>
      <c r="T2792">
        <v>48</v>
      </c>
      <c r="V2792">
        <v>120</v>
      </c>
      <c r="X2792">
        <v>243</v>
      </c>
      <c r="Z2792">
        <v>222</v>
      </c>
      <c r="AB2792">
        <v>150</v>
      </c>
      <c r="AD2792">
        <v>60</v>
      </c>
      <c r="AF2792">
        <v>12</v>
      </c>
      <c r="CH2792" t="str">
        <f t="shared" si="43"/>
        <v>D-0267</v>
      </c>
      <c r="CI2792" s="1" t="s">
        <v>102</v>
      </c>
    </row>
    <row r="2793" spans="1:87">
      <c r="A2793" t="s">
        <v>4454</v>
      </c>
      <c r="B2793">
        <v>405</v>
      </c>
      <c r="C2793" t="s">
        <v>4452</v>
      </c>
      <c r="D2793" t="s">
        <v>238</v>
      </c>
      <c r="E2793" t="s">
        <v>629</v>
      </c>
      <c r="F2793" t="s">
        <v>632</v>
      </c>
      <c r="G2793" t="s">
        <v>4453</v>
      </c>
      <c r="V2793">
        <v>42</v>
      </c>
      <c r="X2793">
        <v>123</v>
      </c>
      <c r="Z2793">
        <v>120</v>
      </c>
      <c r="AB2793">
        <v>78</v>
      </c>
      <c r="AD2793">
        <v>42</v>
      </c>
      <c r="CH2793" t="str">
        <f t="shared" si="43"/>
        <v>D-0267</v>
      </c>
      <c r="CI2793" s="1" t="s">
        <v>102</v>
      </c>
    </row>
    <row r="2794" spans="1:87">
      <c r="A2794" t="s">
        <v>4455</v>
      </c>
      <c r="B2794">
        <v>615</v>
      </c>
      <c r="C2794" t="s">
        <v>4452</v>
      </c>
      <c r="D2794" t="s">
        <v>238</v>
      </c>
      <c r="E2794" t="s">
        <v>629</v>
      </c>
      <c r="F2794" t="s">
        <v>632</v>
      </c>
      <c r="G2794" t="s">
        <v>4453</v>
      </c>
      <c r="T2794">
        <v>30</v>
      </c>
      <c r="V2794">
        <v>84</v>
      </c>
      <c r="X2794">
        <v>177</v>
      </c>
      <c r="Z2794">
        <v>162</v>
      </c>
      <c r="AB2794">
        <v>108</v>
      </c>
      <c r="AD2794">
        <v>42</v>
      </c>
      <c r="AF2794">
        <v>12</v>
      </c>
      <c r="CH2794" t="str">
        <f t="shared" si="43"/>
        <v>D-0267</v>
      </c>
      <c r="CI2794" s="1" t="s">
        <v>102</v>
      </c>
    </row>
    <row r="2795" spans="1:87">
      <c r="A2795" t="s">
        <v>4456</v>
      </c>
      <c r="B2795">
        <v>525</v>
      </c>
      <c r="C2795" t="s">
        <v>4452</v>
      </c>
      <c r="D2795" t="s">
        <v>238</v>
      </c>
      <c r="E2795" t="s">
        <v>629</v>
      </c>
      <c r="F2795" t="s">
        <v>632</v>
      </c>
      <c r="G2795" t="s">
        <v>4453</v>
      </c>
      <c r="V2795">
        <v>54</v>
      </c>
      <c r="X2795">
        <v>159</v>
      </c>
      <c r="Z2795">
        <v>156</v>
      </c>
      <c r="AB2795">
        <v>102</v>
      </c>
      <c r="AD2795">
        <v>54</v>
      </c>
      <c r="CH2795" t="str">
        <f t="shared" si="43"/>
        <v>D-0267</v>
      </c>
      <c r="CI2795" s="1" t="s">
        <v>102</v>
      </c>
    </row>
    <row r="2796" spans="1:87">
      <c r="A2796" t="s">
        <v>4457</v>
      </c>
      <c r="B2796">
        <v>180</v>
      </c>
      <c r="C2796" t="s">
        <v>4452</v>
      </c>
      <c r="D2796" t="s">
        <v>238</v>
      </c>
      <c r="E2796" t="s">
        <v>629</v>
      </c>
      <c r="F2796" t="s">
        <v>632</v>
      </c>
      <c r="G2796" t="s">
        <v>4453</v>
      </c>
      <c r="V2796">
        <v>18</v>
      </c>
      <c r="X2796">
        <v>54</v>
      </c>
      <c r="Z2796">
        <v>54</v>
      </c>
      <c r="AB2796">
        <v>36</v>
      </c>
      <c r="AD2796">
        <v>18</v>
      </c>
      <c r="CH2796" t="str">
        <f t="shared" si="43"/>
        <v>D-0267</v>
      </c>
      <c r="CI2796" s="1" t="s">
        <v>102</v>
      </c>
    </row>
    <row r="2797" spans="1:87">
      <c r="A2797" t="s">
        <v>4458</v>
      </c>
      <c r="B2797">
        <v>855</v>
      </c>
      <c r="C2797" t="s">
        <v>4452</v>
      </c>
      <c r="D2797" t="s">
        <v>238</v>
      </c>
      <c r="E2797" t="s">
        <v>629</v>
      </c>
      <c r="F2797" t="s">
        <v>632</v>
      </c>
      <c r="G2797" t="s">
        <v>4453</v>
      </c>
      <c r="T2797">
        <v>48</v>
      </c>
      <c r="V2797">
        <v>120</v>
      </c>
      <c r="X2797">
        <v>243</v>
      </c>
      <c r="Z2797">
        <v>222</v>
      </c>
      <c r="AB2797">
        <v>150</v>
      </c>
      <c r="AD2797">
        <v>60</v>
      </c>
      <c r="AF2797">
        <v>12</v>
      </c>
      <c r="CH2797" t="str">
        <f t="shared" si="43"/>
        <v>D-0267</v>
      </c>
      <c r="CI2797" s="1" t="s">
        <v>102</v>
      </c>
    </row>
    <row r="2798" spans="1:87">
      <c r="A2798" t="s">
        <v>4459</v>
      </c>
      <c r="B2798">
        <v>120</v>
      </c>
      <c r="C2798" t="s">
        <v>4452</v>
      </c>
      <c r="D2798" t="s">
        <v>238</v>
      </c>
      <c r="E2798" t="s">
        <v>629</v>
      </c>
      <c r="F2798" t="s">
        <v>632</v>
      </c>
      <c r="G2798" t="s">
        <v>4453</v>
      </c>
      <c r="V2798">
        <v>12</v>
      </c>
      <c r="X2798">
        <v>36</v>
      </c>
      <c r="Z2798">
        <v>36</v>
      </c>
      <c r="AB2798">
        <v>24</v>
      </c>
      <c r="AD2798">
        <v>12</v>
      </c>
      <c r="CH2798" t="str">
        <f t="shared" si="43"/>
        <v>D-0267</v>
      </c>
      <c r="CI2798" s="1" t="s">
        <v>102</v>
      </c>
    </row>
    <row r="2799" spans="1:87">
      <c r="A2799" t="s">
        <v>4460</v>
      </c>
      <c r="B2799">
        <v>657</v>
      </c>
      <c r="C2799" t="s">
        <v>4452</v>
      </c>
      <c r="D2799" t="s">
        <v>238</v>
      </c>
      <c r="E2799" t="s">
        <v>629</v>
      </c>
      <c r="F2799" t="s">
        <v>632</v>
      </c>
      <c r="G2799" t="s">
        <v>4453</v>
      </c>
      <c r="T2799">
        <v>30</v>
      </c>
      <c r="V2799">
        <v>90</v>
      </c>
      <c r="X2799">
        <v>189</v>
      </c>
      <c r="Z2799">
        <v>174</v>
      </c>
      <c r="AB2799">
        <v>114</v>
      </c>
      <c r="AD2799">
        <v>48</v>
      </c>
      <c r="AF2799">
        <v>12</v>
      </c>
      <c r="CH2799" t="str">
        <f t="shared" si="43"/>
        <v>D-0267</v>
      </c>
      <c r="CI2799" s="1" t="s">
        <v>102</v>
      </c>
    </row>
    <row r="2800" spans="1:87">
      <c r="A2800" t="s">
        <v>4461</v>
      </c>
      <c r="B2800">
        <v>903</v>
      </c>
      <c r="C2800" t="s">
        <v>4462</v>
      </c>
      <c r="D2800" t="s">
        <v>238</v>
      </c>
      <c r="E2800" t="s">
        <v>642</v>
      </c>
      <c r="F2800" t="s">
        <v>632</v>
      </c>
      <c r="G2800" t="s">
        <v>2593</v>
      </c>
      <c r="P2800">
        <v>6</v>
      </c>
      <c r="Q2800">
        <v>12</v>
      </c>
      <c r="R2800">
        <v>36</v>
      </c>
      <c r="S2800">
        <v>54</v>
      </c>
      <c r="T2800">
        <v>108</v>
      </c>
      <c r="U2800">
        <v>120</v>
      </c>
      <c r="V2800">
        <v>156</v>
      </c>
      <c r="W2800">
        <v>144</v>
      </c>
      <c r="X2800">
        <v>129</v>
      </c>
      <c r="Y2800">
        <v>66</v>
      </c>
      <c r="Z2800">
        <v>54</v>
      </c>
      <c r="AA2800">
        <v>12</v>
      </c>
      <c r="AB2800">
        <v>6</v>
      </c>
      <c r="CH2800" t="str">
        <f t="shared" si="43"/>
        <v>D-0267</v>
      </c>
      <c r="CI2800" s="1" t="s">
        <v>102</v>
      </c>
    </row>
    <row r="2801" spans="1:87">
      <c r="A2801" t="s">
        <v>4463</v>
      </c>
      <c r="B2801">
        <v>639</v>
      </c>
      <c r="C2801" t="s">
        <v>4462</v>
      </c>
      <c r="D2801" t="s">
        <v>238</v>
      </c>
      <c r="E2801" t="s">
        <v>642</v>
      </c>
      <c r="F2801" t="s">
        <v>632</v>
      </c>
      <c r="G2801" t="s">
        <v>2593</v>
      </c>
      <c r="Q2801">
        <v>6</v>
      </c>
      <c r="R2801">
        <v>24</v>
      </c>
      <c r="S2801">
        <v>36</v>
      </c>
      <c r="T2801">
        <v>78</v>
      </c>
      <c r="U2801">
        <v>84</v>
      </c>
      <c r="V2801">
        <v>114</v>
      </c>
      <c r="W2801">
        <v>102</v>
      </c>
      <c r="X2801">
        <v>93</v>
      </c>
      <c r="Y2801">
        <v>48</v>
      </c>
      <c r="Z2801">
        <v>36</v>
      </c>
      <c r="AA2801">
        <v>12</v>
      </c>
      <c r="AB2801">
        <v>6</v>
      </c>
      <c r="CH2801" t="str">
        <f t="shared" si="43"/>
        <v>D-0267</v>
      </c>
      <c r="CI2801" s="1" t="s">
        <v>102</v>
      </c>
    </row>
    <row r="2802" spans="1:87">
      <c r="A2802" t="s">
        <v>4464</v>
      </c>
      <c r="B2802">
        <v>5003</v>
      </c>
      <c r="C2802" t="s">
        <v>4462</v>
      </c>
      <c r="D2802" t="s">
        <v>238</v>
      </c>
      <c r="E2802" t="s">
        <v>642</v>
      </c>
      <c r="F2802" t="s">
        <v>632</v>
      </c>
      <c r="G2802" t="s">
        <v>2593</v>
      </c>
      <c r="P2802">
        <v>68</v>
      </c>
      <c r="Q2802">
        <v>82</v>
      </c>
      <c r="R2802">
        <v>304</v>
      </c>
      <c r="S2802">
        <v>359</v>
      </c>
      <c r="T2802">
        <v>631</v>
      </c>
      <c r="U2802">
        <v>608</v>
      </c>
      <c r="V2802">
        <v>784</v>
      </c>
      <c r="W2802">
        <v>603</v>
      </c>
      <c r="X2802">
        <v>582</v>
      </c>
      <c r="Y2802">
        <v>334</v>
      </c>
      <c r="Z2802">
        <v>337</v>
      </c>
      <c r="AA2802">
        <v>84</v>
      </c>
      <c r="AB2802">
        <v>128</v>
      </c>
      <c r="AC2802">
        <v>46</v>
      </c>
      <c r="AD2802">
        <v>53</v>
      </c>
      <c r="CH2802" t="str">
        <f t="shared" si="43"/>
        <v>D-0267</v>
      </c>
      <c r="CI2802" s="1" t="s">
        <v>102</v>
      </c>
    </row>
    <row r="2803" spans="1:87">
      <c r="A2803" t="s">
        <v>4465</v>
      </c>
      <c r="B2803">
        <v>345</v>
      </c>
      <c r="C2803" t="s">
        <v>978</v>
      </c>
      <c r="D2803" t="s">
        <v>238</v>
      </c>
      <c r="E2803" t="s">
        <v>642</v>
      </c>
      <c r="F2803" t="s">
        <v>632</v>
      </c>
      <c r="G2803" t="s">
        <v>2283</v>
      </c>
      <c r="S2803">
        <v>54</v>
      </c>
      <c r="U2803">
        <v>108</v>
      </c>
      <c r="W2803">
        <v>117</v>
      </c>
      <c r="Y2803">
        <v>66</v>
      </c>
      <c r="CH2803" t="str">
        <f t="shared" si="43"/>
        <v>D-0267</v>
      </c>
      <c r="CI2803" s="1" t="s">
        <v>102</v>
      </c>
    </row>
    <row r="2804" spans="1:87">
      <c r="A2804" t="s">
        <v>4466</v>
      </c>
      <c r="B2804">
        <v>465</v>
      </c>
      <c r="C2804" t="s">
        <v>978</v>
      </c>
      <c r="D2804" t="s">
        <v>238</v>
      </c>
      <c r="E2804" t="s">
        <v>642</v>
      </c>
      <c r="F2804" t="s">
        <v>632</v>
      </c>
      <c r="G2804" t="s">
        <v>2283</v>
      </c>
      <c r="R2804">
        <v>24</v>
      </c>
      <c r="S2804">
        <v>18</v>
      </c>
      <c r="T2804">
        <v>42</v>
      </c>
      <c r="U2804">
        <v>42</v>
      </c>
      <c r="V2804">
        <v>78</v>
      </c>
      <c r="W2804">
        <v>72</v>
      </c>
      <c r="X2804">
        <v>75</v>
      </c>
      <c r="Y2804">
        <v>48</v>
      </c>
      <c r="Z2804">
        <v>30</v>
      </c>
      <c r="AA2804">
        <v>6</v>
      </c>
      <c r="AB2804">
        <v>30</v>
      </c>
      <c r="CH2804" t="str">
        <f t="shared" si="43"/>
        <v>D-0267</v>
      </c>
      <c r="CI2804" s="1" t="s">
        <v>102</v>
      </c>
    </row>
    <row r="2805" spans="1:87">
      <c r="A2805" t="s">
        <v>4467</v>
      </c>
      <c r="B2805">
        <v>999</v>
      </c>
      <c r="C2805" t="s">
        <v>978</v>
      </c>
      <c r="D2805" t="s">
        <v>238</v>
      </c>
      <c r="E2805" t="s">
        <v>642</v>
      </c>
      <c r="F2805" t="s">
        <v>632</v>
      </c>
      <c r="G2805" t="s">
        <v>2283</v>
      </c>
      <c r="Q2805">
        <v>120</v>
      </c>
      <c r="R2805">
        <v>180</v>
      </c>
      <c r="S2805">
        <v>270</v>
      </c>
      <c r="T2805">
        <v>228</v>
      </c>
      <c r="U2805">
        <v>120</v>
      </c>
      <c r="V2805">
        <v>48</v>
      </c>
      <c r="W2805">
        <v>33</v>
      </c>
      <c r="CH2805" t="str">
        <f t="shared" si="43"/>
        <v>D-0267</v>
      </c>
      <c r="CI2805" s="1" t="s">
        <v>102</v>
      </c>
    </row>
    <row r="2806" spans="1:87">
      <c r="A2806" t="s">
        <v>4468</v>
      </c>
      <c r="B2806">
        <v>345</v>
      </c>
      <c r="C2806" t="s">
        <v>978</v>
      </c>
      <c r="D2806" t="s">
        <v>238</v>
      </c>
      <c r="E2806" t="s">
        <v>642</v>
      </c>
      <c r="F2806" t="s">
        <v>632</v>
      </c>
      <c r="G2806" t="s">
        <v>2283</v>
      </c>
      <c r="R2806">
        <v>18</v>
      </c>
      <c r="S2806">
        <v>30</v>
      </c>
      <c r="T2806">
        <v>54</v>
      </c>
      <c r="U2806">
        <v>60</v>
      </c>
      <c r="V2806">
        <v>72</v>
      </c>
      <c r="W2806">
        <v>60</v>
      </c>
      <c r="X2806">
        <v>33</v>
      </c>
      <c r="Y2806">
        <v>18</v>
      </c>
      <c r="CH2806" t="str">
        <f t="shared" si="43"/>
        <v>D-0267</v>
      </c>
      <c r="CI2806" s="1" t="s">
        <v>102</v>
      </c>
    </row>
    <row r="2807" spans="1:87">
      <c r="A2807" t="s">
        <v>4469</v>
      </c>
      <c r="B2807">
        <v>441</v>
      </c>
      <c r="C2807" t="s">
        <v>978</v>
      </c>
      <c r="D2807" t="s">
        <v>238</v>
      </c>
      <c r="E2807" t="s">
        <v>642</v>
      </c>
      <c r="F2807" t="s">
        <v>632</v>
      </c>
      <c r="G2807" t="s">
        <v>2283</v>
      </c>
      <c r="R2807">
        <v>18</v>
      </c>
      <c r="S2807">
        <v>36</v>
      </c>
      <c r="T2807">
        <v>72</v>
      </c>
      <c r="U2807">
        <v>84</v>
      </c>
      <c r="V2807">
        <v>90</v>
      </c>
      <c r="W2807">
        <v>78</v>
      </c>
      <c r="X2807">
        <v>39</v>
      </c>
      <c r="Y2807">
        <v>24</v>
      </c>
      <c r="CH2807" t="str">
        <f t="shared" si="43"/>
        <v>D-0267</v>
      </c>
      <c r="CI2807" s="1" t="s">
        <v>102</v>
      </c>
    </row>
    <row r="2808" spans="1:87">
      <c r="A2808" t="s">
        <v>4470</v>
      </c>
      <c r="B2808">
        <v>837</v>
      </c>
      <c r="C2808" t="s">
        <v>978</v>
      </c>
      <c r="D2808" t="s">
        <v>238</v>
      </c>
      <c r="E2808" t="s">
        <v>642</v>
      </c>
      <c r="F2808" t="s">
        <v>632</v>
      </c>
      <c r="G2808" t="s">
        <v>2283</v>
      </c>
      <c r="P2808">
        <v>84</v>
      </c>
      <c r="Q2808">
        <v>90</v>
      </c>
      <c r="R2808">
        <v>126</v>
      </c>
      <c r="S2808">
        <v>126</v>
      </c>
      <c r="T2808">
        <v>126</v>
      </c>
      <c r="U2808">
        <v>102</v>
      </c>
      <c r="V2808">
        <v>72</v>
      </c>
      <c r="W2808">
        <v>60</v>
      </c>
      <c r="X2808">
        <v>51</v>
      </c>
      <c r="CH2808" t="str">
        <f t="shared" si="43"/>
        <v>D-0267</v>
      </c>
      <c r="CI2808" s="1" t="s">
        <v>102</v>
      </c>
    </row>
    <row r="2809" spans="1:87">
      <c r="A2809" t="s">
        <v>4471</v>
      </c>
      <c r="B2809">
        <v>90</v>
      </c>
      <c r="C2809" t="s">
        <v>978</v>
      </c>
      <c r="D2809" t="s">
        <v>238</v>
      </c>
      <c r="E2809" t="s">
        <v>642</v>
      </c>
      <c r="F2809" t="s">
        <v>632</v>
      </c>
      <c r="G2809" t="s">
        <v>2283</v>
      </c>
      <c r="Q2809">
        <v>6</v>
      </c>
      <c r="R2809">
        <v>6</v>
      </c>
      <c r="S2809">
        <v>12</v>
      </c>
      <c r="T2809">
        <v>18</v>
      </c>
      <c r="U2809">
        <v>12</v>
      </c>
      <c r="V2809">
        <v>12</v>
      </c>
      <c r="W2809">
        <v>6</v>
      </c>
      <c r="X2809">
        <v>12</v>
      </c>
      <c r="Y2809">
        <v>6</v>
      </c>
      <c r="CH2809" t="str">
        <f t="shared" si="43"/>
        <v>D-0267</v>
      </c>
      <c r="CI2809" s="1" t="s">
        <v>102</v>
      </c>
    </row>
    <row r="2810" spans="1:87">
      <c r="A2810" t="s">
        <v>4472</v>
      </c>
      <c r="B2810">
        <v>125</v>
      </c>
      <c r="C2810" t="s">
        <v>978</v>
      </c>
      <c r="D2810" t="s">
        <v>238</v>
      </c>
      <c r="E2810" t="s">
        <v>642</v>
      </c>
      <c r="F2810" t="s">
        <v>632</v>
      </c>
      <c r="G2810" t="s">
        <v>2283</v>
      </c>
      <c r="P2810">
        <v>1</v>
      </c>
      <c r="Q2810">
        <v>3</v>
      </c>
      <c r="R2810">
        <v>9</v>
      </c>
      <c r="S2810">
        <v>14</v>
      </c>
      <c r="T2810">
        <v>20</v>
      </c>
      <c r="U2810">
        <v>20</v>
      </c>
      <c r="V2810">
        <v>21</v>
      </c>
      <c r="W2810">
        <v>16</v>
      </c>
      <c r="X2810">
        <v>11</v>
      </c>
      <c r="Y2810">
        <v>5</v>
      </c>
      <c r="Z2810">
        <v>3</v>
      </c>
      <c r="AA2810">
        <v>1</v>
      </c>
      <c r="AB2810">
        <v>1</v>
      </c>
      <c r="CH2810" t="str">
        <f t="shared" si="43"/>
        <v>D-0267</v>
      </c>
      <c r="CI2810" s="1" t="s">
        <v>102</v>
      </c>
    </row>
    <row r="2811" spans="1:87">
      <c r="A2811" t="s">
        <v>4473</v>
      </c>
      <c r="B2811">
        <v>72</v>
      </c>
      <c r="C2811" t="s">
        <v>978</v>
      </c>
      <c r="D2811" t="s">
        <v>238</v>
      </c>
      <c r="E2811" t="s">
        <v>642</v>
      </c>
      <c r="F2811" t="s">
        <v>632</v>
      </c>
      <c r="G2811" t="s">
        <v>2283</v>
      </c>
      <c r="P2811">
        <v>1</v>
      </c>
      <c r="Q2811">
        <v>1</v>
      </c>
      <c r="R2811">
        <v>5</v>
      </c>
      <c r="S2811">
        <v>8</v>
      </c>
      <c r="T2811">
        <v>12</v>
      </c>
      <c r="U2811">
        <v>12</v>
      </c>
      <c r="V2811">
        <v>12</v>
      </c>
      <c r="W2811">
        <v>9</v>
      </c>
      <c r="X2811">
        <v>6</v>
      </c>
      <c r="Y2811">
        <v>3</v>
      </c>
      <c r="Z2811">
        <v>1</v>
      </c>
      <c r="AA2811">
        <v>1</v>
      </c>
      <c r="AB2811">
        <v>1</v>
      </c>
      <c r="CH2811" t="str">
        <f t="shared" si="43"/>
        <v>D-0267</v>
      </c>
      <c r="CI2811" s="1" t="s">
        <v>102</v>
      </c>
    </row>
    <row r="2812" spans="1:87">
      <c r="A2812" t="s">
        <v>4474</v>
      </c>
      <c r="B2812">
        <v>321</v>
      </c>
      <c r="C2812" t="s">
        <v>978</v>
      </c>
      <c r="D2812" t="s">
        <v>238</v>
      </c>
      <c r="E2812" t="s">
        <v>642</v>
      </c>
      <c r="F2812" t="s">
        <v>632</v>
      </c>
      <c r="G2812" t="s">
        <v>2283</v>
      </c>
      <c r="R2812">
        <v>12</v>
      </c>
      <c r="S2812">
        <v>30</v>
      </c>
      <c r="T2812">
        <v>48</v>
      </c>
      <c r="U2812">
        <v>60</v>
      </c>
      <c r="V2812">
        <v>66</v>
      </c>
      <c r="W2812">
        <v>54</v>
      </c>
      <c r="X2812">
        <v>33</v>
      </c>
      <c r="Y2812">
        <v>18</v>
      </c>
      <c r="CH2812" t="str">
        <f t="shared" si="43"/>
        <v>D-0267</v>
      </c>
      <c r="CI2812" s="1" t="s">
        <v>102</v>
      </c>
    </row>
    <row r="2813" spans="1:87">
      <c r="A2813" t="s">
        <v>4475</v>
      </c>
      <c r="B2813">
        <v>802</v>
      </c>
      <c r="C2813" t="s">
        <v>978</v>
      </c>
      <c r="D2813" t="s">
        <v>238</v>
      </c>
      <c r="E2813" t="s">
        <v>642</v>
      </c>
      <c r="F2813" t="s">
        <v>632</v>
      </c>
      <c r="G2813" t="s">
        <v>2283</v>
      </c>
      <c r="Q2813">
        <v>38</v>
      </c>
      <c r="R2813">
        <v>107</v>
      </c>
      <c r="T2813">
        <v>183</v>
      </c>
      <c r="U2813">
        <v>197</v>
      </c>
      <c r="W2813">
        <v>145</v>
      </c>
      <c r="X2813">
        <v>75</v>
      </c>
      <c r="Z2813">
        <v>50</v>
      </c>
      <c r="AA2813">
        <v>7</v>
      </c>
      <c r="CH2813" t="str">
        <f t="shared" si="43"/>
        <v>D-0267</v>
      </c>
      <c r="CI2813" s="1" t="s">
        <v>102</v>
      </c>
    </row>
    <row r="2814" spans="1:87">
      <c r="A2814" t="s">
        <v>4476</v>
      </c>
      <c r="B2814">
        <v>482</v>
      </c>
      <c r="C2814" t="s">
        <v>2451</v>
      </c>
      <c r="D2814" t="s">
        <v>238</v>
      </c>
      <c r="E2814" t="s">
        <v>629</v>
      </c>
      <c r="F2814" t="s">
        <v>632</v>
      </c>
      <c r="G2814" t="s">
        <v>2593</v>
      </c>
      <c r="U2814">
        <v>10</v>
      </c>
      <c r="V2814">
        <v>16</v>
      </c>
      <c r="W2814">
        <v>26</v>
      </c>
      <c r="X2814">
        <v>30</v>
      </c>
      <c r="Y2814">
        <v>81</v>
      </c>
      <c r="Z2814">
        <v>89</v>
      </c>
      <c r="AA2814">
        <v>93</v>
      </c>
      <c r="AB2814">
        <v>66</v>
      </c>
      <c r="AC2814">
        <v>5</v>
      </c>
      <c r="AD2814">
        <v>56</v>
      </c>
      <c r="AF2814">
        <v>10</v>
      </c>
      <c r="CH2814" t="str">
        <f t="shared" si="43"/>
        <v>D-0267</v>
      </c>
      <c r="CI2814" s="1" t="s">
        <v>102</v>
      </c>
    </row>
    <row r="2815" spans="1:87">
      <c r="A2815" t="s">
        <v>4477</v>
      </c>
      <c r="B2815">
        <v>1209</v>
      </c>
      <c r="C2815" t="s">
        <v>2451</v>
      </c>
      <c r="D2815" t="s">
        <v>238</v>
      </c>
      <c r="E2815" t="s">
        <v>629</v>
      </c>
      <c r="F2815" t="s">
        <v>632</v>
      </c>
      <c r="G2815" t="s">
        <v>2593</v>
      </c>
      <c r="T2815">
        <v>12</v>
      </c>
      <c r="U2815">
        <v>30</v>
      </c>
      <c r="V2815">
        <v>96</v>
      </c>
      <c r="W2815">
        <v>90</v>
      </c>
      <c r="X2815">
        <v>129</v>
      </c>
      <c r="Y2815">
        <v>132</v>
      </c>
      <c r="Z2815">
        <v>132</v>
      </c>
      <c r="AA2815">
        <v>150</v>
      </c>
      <c r="AB2815">
        <v>132</v>
      </c>
      <c r="AC2815">
        <v>84</v>
      </c>
      <c r="AD2815">
        <v>120</v>
      </c>
      <c r="AF2815">
        <v>84</v>
      </c>
      <c r="AH2815">
        <v>18</v>
      </c>
      <c r="CH2815" t="str">
        <f t="shared" si="43"/>
        <v>D-0267</v>
      </c>
      <c r="CI2815" s="1" t="s">
        <v>102</v>
      </c>
    </row>
    <row r="2816" spans="1:87">
      <c r="A2816" t="s">
        <v>4478</v>
      </c>
      <c r="B2816">
        <v>801</v>
      </c>
      <c r="C2816" t="s">
        <v>2451</v>
      </c>
      <c r="D2816" t="s">
        <v>238</v>
      </c>
      <c r="E2816" t="s">
        <v>629</v>
      </c>
      <c r="F2816" t="s">
        <v>632</v>
      </c>
      <c r="G2816" t="s">
        <v>2593</v>
      </c>
      <c r="T2816">
        <v>6</v>
      </c>
      <c r="U2816">
        <v>24</v>
      </c>
      <c r="V2816">
        <v>60</v>
      </c>
      <c r="W2816">
        <v>60</v>
      </c>
      <c r="X2816">
        <v>87</v>
      </c>
      <c r="Y2816">
        <v>84</v>
      </c>
      <c r="Z2816">
        <v>90</v>
      </c>
      <c r="AA2816">
        <v>96</v>
      </c>
      <c r="AB2816">
        <v>90</v>
      </c>
      <c r="AC2816">
        <v>54</v>
      </c>
      <c r="AD2816">
        <v>78</v>
      </c>
      <c r="AF2816">
        <v>60</v>
      </c>
      <c r="AH2816">
        <v>12</v>
      </c>
      <c r="CH2816" t="str">
        <f t="shared" si="43"/>
        <v>D-0267</v>
      </c>
      <c r="CI2816" s="1" t="s">
        <v>102</v>
      </c>
    </row>
    <row r="2817" spans="1:87">
      <c r="A2817" t="s">
        <v>4479</v>
      </c>
      <c r="B2817">
        <v>223</v>
      </c>
      <c r="C2817" t="s">
        <v>2451</v>
      </c>
      <c r="D2817" t="s">
        <v>238</v>
      </c>
      <c r="E2817" t="s">
        <v>629</v>
      </c>
      <c r="F2817" t="s">
        <v>632</v>
      </c>
      <c r="G2817" t="s">
        <v>2593</v>
      </c>
      <c r="V2817">
        <v>1</v>
      </c>
      <c r="W2817">
        <v>1</v>
      </c>
      <c r="X2817">
        <v>22</v>
      </c>
      <c r="Y2817">
        <v>36</v>
      </c>
      <c r="Z2817">
        <v>80</v>
      </c>
      <c r="AA2817">
        <v>76</v>
      </c>
      <c r="AB2817">
        <v>7</v>
      </c>
      <c r="CH2817" t="str">
        <f t="shared" si="43"/>
        <v>D-0267</v>
      </c>
      <c r="CI2817" s="1" t="s">
        <v>102</v>
      </c>
    </row>
    <row r="2818" spans="1:87">
      <c r="A2818" t="s">
        <v>4480</v>
      </c>
      <c r="B2818">
        <v>330</v>
      </c>
      <c r="C2818" t="s">
        <v>2451</v>
      </c>
      <c r="D2818" t="s">
        <v>238</v>
      </c>
      <c r="E2818" t="s">
        <v>629</v>
      </c>
      <c r="F2818" t="s">
        <v>632</v>
      </c>
      <c r="G2818" t="s">
        <v>2593</v>
      </c>
      <c r="T2818">
        <v>1</v>
      </c>
      <c r="U2818">
        <v>5</v>
      </c>
      <c r="V2818">
        <v>15</v>
      </c>
      <c r="W2818">
        <v>35</v>
      </c>
      <c r="X2818">
        <v>33</v>
      </c>
      <c r="Y2818">
        <v>72</v>
      </c>
      <c r="Z2818">
        <v>31</v>
      </c>
      <c r="AA2818">
        <v>35</v>
      </c>
      <c r="AB2818">
        <v>69</v>
      </c>
      <c r="AC2818">
        <v>3</v>
      </c>
      <c r="AD2818">
        <v>29</v>
      </c>
      <c r="AF2818">
        <v>2</v>
      </c>
      <c r="CH2818" t="str">
        <f t="shared" ref="CH2818:CH2881" si="44">TRIM(IFERROR(IFERROR(MID($D2818,FIND("(D-",$D2818)+1,6),LEFT($D2818,FIND("(",$D2818)-1)),$D2818))</f>
        <v>D-0267</v>
      </c>
      <c r="CI2818" s="1" t="s">
        <v>102</v>
      </c>
    </row>
    <row r="2819" spans="1:87">
      <c r="A2819" t="s">
        <v>4481</v>
      </c>
      <c r="B2819">
        <v>792</v>
      </c>
      <c r="C2819" t="s">
        <v>2451</v>
      </c>
      <c r="D2819" t="s">
        <v>238</v>
      </c>
      <c r="E2819" t="s">
        <v>629</v>
      </c>
      <c r="F2819" t="s">
        <v>632</v>
      </c>
      <c r="G2819" t="s">
        <v>2593</v>
      </c>
      <c r="T2819">
        <v>51</v>
      </c>
      <c r="U2819">
        <v>88</v>
      </c>
      <c r="V2819">
        <v>93</v>
      </c>
      <c r="W2819">
        <v>79</v>
      </c>
      <c r="X2819">
        <v>92</v>
      </c>
      <c r="Y2819">
        <v>34</v>
      </c>
      <c r="Z2819">
        <v>23</v>
      </c>
      <c r="AA2819">
        <v>35</v>
      </c>
      <c r="AB2819">
        <v>54</v>
      </c>
      <c r="AC2819">
        <v>93</v>
      </c>
      <c r="AD2819">
        <v>82</v>
      </c>
      <c r="AF2819">
        <v>68</v>
      </c>
      <c r="CH2819" t="str">
        <f t="shared" si="44"/>
        <v>D-0267</v>
      </c>
      <c r="CI2819" s="1" t="s">
        <v>102</v>
      </c>
    </row>
    <row r="2820" spans="1:87">
      <c r="A2820" t="s">
        <v>4482</v>
      </c>
      <c r="B2820">
        <v>264</v>
      </c>
      <c r="C2820" t="s">
        <v>2451</v>
      </c>
      <c r="D2820" t="s">
        <v>238</v>
      </c>
      <c r="E2820" t="s">
        <v>629</v>
      </c>
      <c r="F2820" t="s">
        <v>632</v>
      </c>
      <c r="G2820" t="s">
        <v>2593</v>
      </c>
      <c r="T2820">
        <v>10</v>
      </c>
      <c r="U2820">
        <v>23</v>
      </c>
      <c r="V2820">
        <v>33</v>
      </c>
      <c r="W2820">
        <v>37</v>
      </c>
      <c r="X2820">
        <v>26</v>
      </c>
      <c r="Y2820">
        <v>9</v>
      </c>
      <c r="Z2820">
        <v>7</v>
      </c>
      <c r="AA2820">
        <v>9</v>
      </c>
      <c r="AB2820">
        <v>17</v>
      </c>
      <c r="AC2820">
        <v>37</v>
      </c>
      <c r="AD2820">
        <v>21</v>
      </c>
      <c r="AF2820">
        <v>35</v>
      </c>
      <c r="CH2820" t="str">
        <f t="shared" si="44"/>
        <v>D-0267</v>
      </c>
      <c r="CI2820" s="1" t="s">
        <v>102</v>
      </c>
    </row>
    <row r="2821" spans="1:87">
      <c r="A2821" t="s">
        <v>4483</v>
      </c>
      <c r="B2821">
        <v>212</v>
      </c>
      <c r="C2821" t="s">
        <v>2451</v>
      </c>
      <c r="D2821" t="s">
        <v>238</v>
      </c>
      <c r="E2821" t="s">
        <v>629</v>
      </c>
      <c r="F2821" t="s">
        <v>632</v>
      </c>
      <c r="G2821" t="s">
        <v>2593</v>
      </c>
      <c r="T2821">
        <v>5</v>
      </c>
      <c r="U2821">
        <v>12</v>
      </c>
      <c r="V2821">
        <v>30</v>
      </c>
      <c r="W2821">
        <v>27</v>
      </c>
      <c r="X2821">
        <v>33</v>
      </c>
      <c r="Y2821">
        <v>5</v>
      </c>
      <c r="Z2821">
        <v>1</v>
      </c>
      <c r="AA2821">
        <v>5</v>
      </c>
      <c r="AB2821">
        <v>12</v>
      </c>
      <c r="AC2821">
        <v>37</v>
      </c>
      <c r="AD2821">
        <v>15</v>
      </c>
      <c r="AF2821">
        <v>30</v>
      </c>
      <c r="CH2821" t="str">
        <f t="shared" si="44"/>
        <v>D-0267</v>
      </c>
      <c r="CI2821" s="1" t="s">
        <v>102</v>
      </c>
    </row>
    <row r="2822" spans="1:87">
      <c r="A2822" t="s">
        <v>4484</v>
      </c>
      <c r="B2822">
        <v>1005</v>
      </c>
      <c r="C2822" t="s">
        <v>4485</v>
      </c>
      <c r="D2822" t="s">
        <v>238</v>
      </c>
      <c r="E2822" t="s">
        <v>642</v>
      </c>
      <c r="F2822" t="s">
        <v>645</v>
      </c>
      <c r="G2822" t="s">
        <v>4486</v>
      </c>
      <c r="P2822">
        <v>18</v>
      </c>
      <c r="Q2822">
        <v>24</v>
      </c>
      <c r="R2822">
        <v>36</v>
      </c>
      <c r="S2822">
        <v>48</v>
      </c>
      <c r="T2822">
        <v>102</v>
      </c>
      <c r="U2822">
        <v>114</v>
      </c>
      <c r="V2822">
        <v>156</v>
      </c>
      <c r="W2822">
        <v>144</v>
      </c>
      <c r="X2822">
        <v>135</v>
      </c>
      <c r="Y2822">
        <v>96</v>
      </c>
      <c r="Z2822">
        <v>84</v>
      </c>
      <c r="AB2822">
        <v>36</v>
      </c>
      <c r="AD2822">
        <v>12</v>
      </c>
      <c r="CH2822" t="str">
        <f t="shared" si="44"/>
        <v>D-0267</v>
      </c>
      <c r="CI2822" s="1" t="s">
        <v>102</v>
      </c>
    </row>
    <row r="2823" spans="1:87">
      <c r="A2823" t="s">
        <v>4487</v>
      </c>
      <c r="B2823">
        <v>4512</v>
      </c>
      <c r="C2823" t="s">
        <v>4485</v>
      </c>
      <c r="D2823" t="s">
        <v>238</v>
      </c>
      <c r="E2823" t="s">
        <v>642</v>
      </c>
      <c r="F2823" t="s">
        <v>645</v>
      </c>
      <c r="G2823" t="s">
        <v>4486</v>
      </c>
      <c r="R2823">
        <v>501</v>
      </c>
      <c r="S2823">
        <v>501</v>
      </c>
      <c r="T2823">
        <v>501</v>
      </c>
      <c r="U2823">
        <v>501</v>
      </c>
      <c r="V2823">
        <v>1002</v>
      </c>
      <c r="W2823">
        <v>501</v>
      </c>
      <c r="X2823">
        <v>504</v>
      </c>
      <c r="Y2823">
        <v>501</v>
      </c>
      <c r="CH2823" t="str">
        <f t="shared" si="44"/>
        <v>D-0267</v>
      </c>
      <c r="CI2823" s="1" t="s">
        <v>102</v>
      </c>
    </row>
    <row r="2824" spans="1:87">
      <c r="A2824" t="s">
        <v>4488</v>
      </c>
      <c r="B2824">
        <v>459</v>
      </c>
      <c r="C2824" t="s">
        <v>4485</v>
      </c>
      <c r="D2824" t="s">
        <v>238</v>
      </c>
      <c r="E2824" t="s">
        <v>642</v>
      </c>
      <c r="F2824" t="s">
        <v>645</v>
      </c>
      <c r="G2824" t="s">
        <v>4486</v>
      </c>
      <c r="R2824">
        <v>76</v>
      </c>
      <c r="T2824">
        <v>76</v>
      </c>
      <c r="V2824">
        <v>152</v>
      </c>
      <c r="X2824">
        <v>155</v>
      </c>
      <c r="CH2824" t="str">
        <f t="shared" si="44"/>
        <v>D-0267</v>
      </c>
      <c r="CI2824" s="1" t="s">
        <v>102</v>
      </c>
    </row>
    <row r="2825" spans="1:87">
      <c r="A2825" t="s">
        <v>4489</v>
      </c>
      <c r="B2825">
        <v>459</v>
      </c>
      <c r="C2825" t="s">
        <v>4485</v>
      </c>
      <c r="D2825" t="s">
        <v>238</v>
      </c>
      <c r="E2825" t="s">
        <v>642</v>
      </c>
      <c r="F2825" t="s">
        <v>645</v>
      </c>
      <c r="G2825" t="s">
        <v>4486</v>
      </c>
      <c r="S2825">
        <v>76</v>
      </c>
      <c r="U2825">
        <v>76</v>
      </c>
      <c r="W2825">
        <v>79</v>
      </c>
      <c r="Y2825">
        <v>76</v>
      </c>
      <c r="Z2825">
        <v>76</v>
      </c>
      <c r="AB2825">
        <v>76</v>
      </c>
      <c r="CH2825" t="str">
        <f t="shared" si="44"/>
        <v>D-0267</v>
      </c>
      <c r="CI2825" s="1" t="s">
        <v>102</v>
      </c>
    </row>
    <row r="2826" spans="1:87">
      <c r="A2826" t="s">
        <v>4490</v>
      </c>
      <c r="B2826">
        <v>1203</v>
      </c>
      <c r="C2826" t="s">
        <v>4485</v>
      </c>
      <c r="D2826" t="s">
        <v>238</v>
      </c>
      <c r="E2826" t="s">
        <v>642</v>
      </c>
      <c r="F2826" t="s">
        <v>645</v>
      </c>
      <c r="G2826" t="s">
        <v>4486</v>
      </c>
      <c r="P2826">
        <v>12</v>
      </c>
      <c r="Q2826">
        <v>24</v>
      </c>
      <c r="R2826">
        <v>36</v>
      </c>
      <c r="S2826">
        <v>84</v>
      </c>
      <c r="T2826">
        <v>132</v>
      </c>
      <c r="U2826">
        <v>156</v>
      </c>
      <c r="V2826">
        <v>168</v>
      </c>
      <c r="W2826">
        <v>168</v>
      </c>
      <c r="X2826">
        <v>135</v>
      </c>
      <c r="Y2826">
        <v>108</v>
      </c>
      <c r="Z2826">
        <v>84</v>
      </c>
      <c r="AB2826">
        <v>72</v>
      </c>
      <c r="AD2826">
        <v>24</v>
      </c>
      <c r="CH2826" t="str">
        <f t="shared" si="44"/>
        <v>D-0267</v>
      </c>
      <c r="CI2826" s="1" t="s">
        <v>102</v>
      </c>
    </row>
    <row r="2827" spans="1:87">
      <c r="A2827" t="s">
        <v>4491</v>
      </c>
      <c r="B2827">
        <v>1</v>
      </c>
      <c r="C2827" t="s">
        <v>2453</v>
      </c>
      <c r="D2827" t="s">
        <v>238</v>
      </c>
      <c r="E2827" t="s">
        <v>642</v>
      </c>
      <c r="F2827" t="s">
        <v>645</v>
      </c>
      <c r="G2827" t="s">
        <v>4492</v>
      </c>
      <c r="V2827">
        <v>1</v>
      </c>
      <c r="CH2827" t="str">
        <f t="shared" si="44"/>
        <v>D-0267</v>
      </c>
      <c r="CI2827" s="1" t="s">
        <v>102</v>
      </c>
    </row>
    <row r="2828" spans="1:87">
      <c r="A2828" t="s">
        <v>4493</v>
      </c>
      <c r="B2828">
        <v>3303</v>
      </c>
      <c r="C2828" t="s">
        <v>2453</v>
      </c>
      <c r="D2828" t="s">
        <v>238</v>
      </c>
      <c r="E2828" t="s">
        <v>642</v>
      </c>
      <c r="F2828" t="s">
        <v>645</v>
      </c>
      <c r="G2828" t="s">
        <v>4492</v>
      </c>
      <c r="P2828">
        <v>24</v>
      </c>
      <c r="Q2828">
        <v>36</v>
      </c>
      <c r="R2828">
        <v>72</v>
      </c>
      <c r="S2828">
        <v>72</v>
      </c>
      <c r="T2828">
        <v>264</v>
      </c>
      <c r="U2828">
        <v>360</v>
      </c>
      <c r="V2828">
        <v>564</v>
      </c>
      <c r="W2828">
        <v>660</v>
      </c>
      <c r="X2828">
        <v>591</v>
      </c>
      <c r="Y2828">
        <v>300</v>
      </c>
      <c r="Z2828">
        <v>336</v>
      </c>
      <c r="AB2828">
        <v>24</v>
      </c>
      <c r="CH2828" t="str">
        <f t="shared" si="44"/>
        <v>D-0267</v>
      </c>
      <c r="CI2828" s="1" t="s">
        <v>102</v>
      </c>
    </row>
    <row r="2829" spans="1:87">
      <c r="A2829" t="s">
        <v>4494</v>
      </c>
      <c r="B2829">
        <v>2703</v>
      </c>
      <c r="C2829" t="s">
        <v>2453</v>
      </c>
      <c r="D2829" t="s">
        <v>238</v>
      </c>
      <c r="E2829" t="s">
        <v>642</v>
      </c>
      <c r="F2829" t="s">
        <v>645</v>
      </c>
      <c r="G2829" t="s">
        <v>4492</v>
      </c>
      <c r="S2829">
        <v>300</v>
      </c>
      <c r="T2829">
        <v>300</v>
      </c>
      <c r="U2829">
        <v>300</v>
      </c>
      <c r="V2829">
        <v>300</v>
      </c>
      <c r="W2829">
        <v>300</v>
      </c>
      <c r="X2829">
        <v>303</v>
      </c>
      <c r="Y2829">
        <v>300</v>
      </c>
      <c r="Z2829">
        <v>300</v>
      </c>
      <c r="AB2829">
        <v>300</v>
      </c>
      <c r="CH2829" t="str">
        <f t="shared" si="44"/>
        <v>D-0267</v>
      </c>
      <c r="CI2829" s="1" t="s">
        <v>102</v>
      </c>
    </row>
    <row r="2830" spans="1:87">
      <c r="A2830" t="s">
        <v>4495</v>
      </c>
      <c r="B2830">
        <v>1035</v>
      </c>
      <c r="C2830" t="s">
        <v>2453</v>
      </c>
      <c r="D2830" t="s">
        <v>238</v>
      </c>
      <c r="E2830" t="s">
        <v>642</v>
      </c>
      <c r="F2830" t="s">
        <v>645</v>
      </c>
      <c r="G2830" t="s">
        <v>4492</v>
      </c>
      <c r="R2830">
        <v>48</v>
      </c>
      <c r="S2830">
        <v>78</v>
      </c>
      <c r="T2830">
        <v>120</v>
      </c>
      <c r="U2830">
        <v>120</v>
      </c>
      <c r="V2830">
        <v>162</v>
      </c>
      <c r="W2830">
        <v>150</v>
      </c>
      <c r="X2830">
        <v>135</v>
      </c>
      <c r="Y2830">
        <v>96</v>
      </c>
      <c r="Z2830">
        <v>90</v>
      </c>
      <c r="AB2830">
        <v>36</v>
      </c>
      <c r="CH2830" t="str">
        <f t="shared" si="44"/>
        <v>D-0267</v>
      </c>
      <c r="CI2830" s="1" t="s">
        <v>102</v>
      </c>
    </row>
    <row r="2831" spans="1:87">
      <c r="A2831" t="s">
        <v>4496</v>
      </c>
      <c r="B2831">
        <v>1683</v>
      </c>
      <c r="C2831" t="s">
        <v>2453</v>
      </c>
      <c r="D2831" t="s">
        <v>238</v>
      </c>
      <c r="E2831" t="s">
        <v>642</v>
      </c>
      <c r="F2831" t="s">
        <v>645</v>
      </c>
      <c r="G2831" t="s">
        <v>4492</v>
      </c>
      <c r="R2831">
        <v>108</v>
      </c>
      <c r="S2831">
        <v>138</v>
      </c>
      <c r="T2831">
        <v>204</v>
      </c>
      <c r="U2831">
        <v>210</v>
      </c>
      <c r="V2831">
        <v>258</v>
      </c>
      <c r="W2831">
        <v>234</v>
      </c>
      <c r="X2831">
        <v>201</v>
      </c>
      <c r="Y2831">
        <v>132</v>
      </c>
      <c r="Z2831">
        <v>132</v>
      </c>
      <c r="AB2831">
        <v>66</v>
      </c>
      <c r="CH2831" t="str">
        <f t="shared" si="44"/>
        <v>D-0267</v>
      </c>
      <c r="CI2831" s="1" t="s">
        <v>102</v>
      </c>
    </row>
    <row r="2832" spans="1:87">
      <c r="A2832" t="s">
        <v>4497</v>
      </c>
      <c r="B2832">
        <v>1889</v>
      </c>
      <c r="C2832" t="s">
        <v>3739</v>
      </c>
      <c r="D2832" t="s">
        <v>251</v>
      </c>
      <c r="E2832" t="s">
        <v>629</v>
      </c>
      <c r="F2832" t="s">
        <v>657</v>
      </c>
      <c r="G2832" t="s">
        <v>3740</v>
      </c>
      <c r="T2832">
        <v>60</v>
      </c>
      <c r="U2832">
        <v>60</v>
      </c>
      <c r="V2832">
        <v>141</v>
      </c>
      <c r="W2832">
        <v>218</v>
      </c>
      <c r="X2832">
        <v>234</v>
      </c>
      <c r="Y2832">
        <v>249</v>
      </c>
      <c r="Z2832">
        <v>288</v>
      </c>
      <c r="AA2832">
        <v>165</v>
      </c>
      <c r="AB2832">
        <v>288</v>
      </c>
      <c r="AC2832">
        <v>45</v>
      </c>
      <c r="AD2832">
        <v>141</v>
      </c>
      <c r="CH2832" t="str">
        <f t="shared" si="44"/>
        <v>D-0272</v>
      </c>
      <c r="CI2832" s="1" t="s">
        <v>102</v>
      </c>
    </row>
    <row r="2833" spans="1:87">
      <c r="A2833" t="s">
        <v>4498</v>
      </c>
      <c r="B2833">
        <v>2400</v>
      </c>
      <c r="C2833" t="s">
        <v>3739</v>
      </c>
      <c r="D2833" t="s">
        <v>251</v>
      </c>
      <c r="E2833" t="s">
        <v>629</v>
      </c>
      <c r="F2833" t="s">
        <v>657</v>
      </c>
      <c r="G2833" t="s">
        <v>3740</v>
      </c>
      <c r="T2833">
        <v>24</v>
      </c>
      <c r="V2833">
        <v>215</v>
      </c>
      <c r="W2833">
        <v>283</v>
      </c>
      <c r="X2833">
        <v>222</v>
      </c>
      <c r="Y2833">
        <v>527</v>
      </c>
      <c r="Z2833">
        <v>444</v>
      </c>
      <c r="AA2833">
        <v>53</v>
      </c>
      <c r="AB2833">
        <v>379</v>
      </c>
      <c r="AC2833">
        <v>24</v>
      </c>
      <c r="AD2833">
        <v>217</v>
      </c>
      <c r="AF2833">
        <v>12</v>
      </c>
      <c r="CH2833" t="str">
        <f t="shared" si="44"/>
        <v>D-0272</v>
      </c>
      <c r="CI2833" s="1" t="s">
        <v>102</v>
      </c>
    </row>
    <row r="2834" spans="1:87">
      <c r="A2834" t="s">
        <v>4499</v>
      </c>
      <c r="B2834">
        <v>2400</v>
      </c>
      <c r="C2834" t="s">
        <v>3739</v>
      </c>
      <c r="D2834" t="s">
        <v>251</v>
      </c>
      <c r="E2834" t="s">
        <v>629</v>
      </c>
      <c r="F2834" t="s">
        <v>657</v>
      </c>
      <c r="G2834" t="s">
        <v>3740</v>
      </c>
      <c r="V2834">
        <v>108</v>
      </c>
      <c r="X2834">
        <v>396</v>
      </c>
      <c r="Y2834">
        <v>108</v>
      </c>
      <c r="Z2834">
        <v>576</v>
      </c>
      <c r="AA2834">
        <v>108</v>
      </c>
      <c r="AB2834">
        <v>576</v>
      </c>
      <c r="AC2834">
        <v>108</v>
      </c>
      <c r="AD2834">
        <v>312</v>
      </c>
      <c r="AF2834">
        <v>108</v>
      </c>
      <c r="CH2834" t="str">
        <f t="shared" si="44"/>
        <v>D-0272</v>
      </c>
      <c r="CI2834" s="1" t="s">
        <v>102</v>
      </c>
    </row>
    <row r="2835" spans="1:87">
      <c r="A2835" t="s">
        <v>4500</v>
      </c>
      <c r="B2835">
        <v>2400</v>
      </c>
      <c r="C2835" t="s">
        <v>3739</v>
      </c>
      <c r="D2835" t="s">
        <v>251</v>
      </c>
      <c r="E2835" t="s">
        <v>629</v>
      </c>
      <c r="F2835" t="s">
        <v>657</v>
      </c>
      <c r="G2835" t="s">
        <v>3740</v>
      </c>
      <c r="V2835">
        <v>108</v>
      </c>
      <c r="X2835">
        <v>396</v>
      </c>
      <c r="Y2835">
        <v>108</v>
      </c>
      <c r="Z2835">
        <v>576</v>
      </c>
      <c r="AA2835">
        <v>108</v>
      </c>
      <c r="AB2835">
        <v>576</v>
      </c>
      <c r="AC2835">
        <v>108</v>
      </c>
      <c r="AD2835">
        <v>312</v>
      </c>
      <c r="AF2835">
        <v>108</v>
      </c>
      <c r="CH2835" t="str">
        <f t="shared" si="44"/>
        <v>D-0272</v>
      </c>
      <c r="CI2835" s="1" t="s">
        <v>102</v>
      </c>
    </row>
    <row r="2836" spans="1:87">
      <c r="A2836" t="s">
        <v>4501</v>
      </c>
      <c r="B2836">
        <v>1789</v>
      </c>
      <c r="C2836" t="s">
        <v>3739</v>
      </c>
      <c r="D2836" t="s">
        <v>251</v>
      </c>
      <c r="E2836" t="s">
        <v>629</v>
      </c>
      <c r="F2836" t="s">
        <v>657</v>
      </c>
      <c r="G2836" t="s">
        <v>3740</v>
      </c>
      <c r="V2836">
        <v>295</v>
      </c>
      <c r="X2836">
        <v>78</v>
      </c>
      <c r="Y2836">
        <v>157</v>
      </c>
      <c r="Z2836">
        <v>114</v>
      </c>
      <c r="AA2836">
        <v>481</v>
      </c>
      <c r="AB2836">
        <v>149</v>
      </c>
      <c r="AC2836">
        <v>132</v>
      </c>
      <c r="AD2836">
        <v>251</v>
      </c>
      <c r="AF2836">
        <v>132</v>
      </c>
      <c r="CH2836" t="str">
        <f t="shared" si="44"/>
        <v>D-0272</v>
      </c>
      <c r="CI2836" s="1" t="s">
        <v>102</v>
      </c>
    </row>
    <row r="2837" spans="1:87">
      <c r="A2837" t="s">
        <v>4502</v>
      </c>
      <c r="B2837">
        <v>4398</v>
      </c>
      <c r="C2837" t="s">
        <v>4503</v>
      </c>
      <c r="D2837" t="s">
        <v>213</v>
      </c>
      <c r="E2837" t="s">
        <v>629</v>
      </c>
      <c r="F2837" t="s">
        <v>643</v>
      </c>
      <c r="G2837" t="s">
        <v>2593</v>
      </c>
      <c r="T2837">
        <v>74</v>
      </c>
      <c r="U2837">
        <v>193</v>
      </c>
      <c r="V2837">
        <v>203</v>
      </c>
      <c r="W2837">
        <v>212</v>
      </c>
      <c r="X2837">
        <v>331</v>
      </c>
      <c r="Y2837">
        <v>296</v>
      </c>
      <c r="Z2837">
        <v>885</v>
      </c>
      <c r="AA2837">
        <v>754</v>
      </c>
      <c r="AB2837">
        <v>768</v>
      </c>
      <c r="AC2837">
        <v>179</v>
      </c>
      <c r="AD2837">
        <v>257</v>
      </c>
      <c r="AF2837">
        <v>163</v>
      </c>
      <c r="AH2837">
        <v>54</v>
      </c>
      <c r="AJ2837">
        <v>29</v>
      </c>
      <c r="CH2837" t="str">
        <f t="shared" si="44"/>
        <v>D-0257</v>
      </c>
      <c r="CI2837" s="1" t="s">
        <v>102</v>
      </c>
    </row>
    <row r="2838" spans="1:87">
      <c r="A2838" t="s">
        <v>4504</v>
      </c>
      <c r="B2838">
        <v>5438</v>
      </c>
      <c r="C2838" t="s">
        <v>4503</v>
      </c>
      <c r="D2838" t="s">
        <v>213</v>
      </c>
      <c r="E2838" t="s">
        <v>629</v>
      </c>
      <c r="F2838" t="s">
        <v>643</v>
      </c>
      <c r="G2838" t="s">
        <v>2593</v>
      </c>
      <c r="T2838">
        <v>169</v>
      </c>
      <c r="U2838">
        <v>80</v>
      </c>
      <c r="V2838">
        <v>494</v>
      </c>
      <c r="W2838">
        <v>518</v>
      </c>
      <c r="X2838">
        <v>809</v>
      </c>
      <c r="Y2838">
        <v>722</v>
      </c>
      <c r="Z2838">
        <v>362</v>
      </c>
      <c r="AA2838">
        <v>308</v>
      </c>
      <c r="AB2838">
        <v>314</v>
      </c>
      <c r="AC2838">
        <v>438</v>
      </c>
      <c r="AD2838">
        <v>626</v>
      </c>
      <c r="AF2838">
        <v>399</v>
      </c>
      <c r="AH2838">
        <v>129</v>
      </c>
      <c r="AJ2838">
        <v>70</v>
      </c>
      <c r="CH2838" t="str">
        <f t="shared" si="44"/>
        <v>D-0257</v>
      </c>
      <c r="CI2838" s="1" t="s">
        <v>102</v>
      </c>
    </row>
    <row r="2839" spans="1:87">
      <c r="A2839" t="s">
        <v>4505</v>
      </c>
      <c r="B2839">
        <v>3773</v>
      </c>
      <c r="C2839" t="s">
        <v>4503</v>
      </c>
      <c r="D2839" t="s">
        <v>213</v>
      </c>
      <c r="E2839" t="s">
        <v>629</v>
      </c>
      <c r="F2839" t="s">
        <v>643</v>
      </c>
      <c r="G2839" t="s">
        <v>2593</v>
      </c>
      <c r="T2839">
        <v>91</v>
      </c>
      <c r="U2839">
        <v>105</v>
      </c>
      <c r="V2839">
        <v>268</v>
      </c>
      <c r="W2839">
        <v>280</v>
      </c>
      <c r="X2839">
        <v>437</v>
      </c>
      <c r="Y2839">
        <v>391</v>
      </c>
      <c r="Z2839">
        <v>479</v>
      </c>
      <c r="AA2839">
        <v>407</v>
      </c>
      <c r="AB2839">
        <v>415</v>
      </c>
      <c r="AC2839">
        <v>237</v>
      </c>
      <c r="AD2839">
        <v>339</v>
      </c>
      <c r="AF2839">
        <v>216</v>
      </c>
      <c r="AH2839">
        <v>70</v>
      </c>
      <c r="AJ2839">
        <v>38</v>
      </c>
      <c r="CH2839" t="str">
        <f t="shared" si="44"/>
        <v>D-0257</v>
      </c>
      <c r="CI2839" s="1" t="s">
        <v>102</v>
      </c>
    </row>
    <row r="2840" spans="1:87">
      <c r="A2840" t="s">
        <v>4506</v>
      </c>
      <c r="B2840">
        <v>510</v>
      </c>
      <c r="C2840" t="s">
        <v>4503</v>
      </c>
      <c r="D2840" t="s">
        <v>213</v>
      </c>
      <c r="E2840" t="s">
        <v>629</v>
      </c>
      <c r="F2840" t="s">
        <v>643</v>
      </c>
      <c r="G2840" t="s">
        <v>2593</v>
      </c>
      <c r="T2840">
        <v>6</v>
      </c>
      <c r="V2840">
        <v>60</v>
      </c>
      <c r="X2840">
        <v>150</v>
      </c>
      <c r="Z2840">
        <v>150</v>
      </c>
      <c r="AB2840">
        <v>96</v>
      </c>
      <c r="AD2840">
        <v>48</v>
      </c>
      <c r="CH2840" t="str">
        <f t="shared" si="44"/>
        <v>D-0257</v>
      </c>
      <c r="CI2840" s="1" t="s">
        <v>102</v>
      </c>
    </row>
    <row r="2841" spans="1:87">
      <c r="A2841" t="s">
        <v>4507</v>
      </c>
      <c r="B2841">
        <v>928</v>
      </c>
      <c r="C2841" t="s">
        <v>2600</v>
      </c>
      <c r="D2841" t="s">
        <v>213</v>
      </c>
      <c r="E2841" t="s">
        <v>629</v>
      </c>
      <c r="F2841" t="s">
        <v>643</v>
      </c>
      <c r="G2841" t="s">
        <v>2283</v>
      </c>
      <c r="R2841">
        <v>12</v>
      </c>
      <c r="S2841">
        <v>12</v>
      </c>
      <c r="T2841">
        <v>52</v>
      </c>
      <c r="U2841">
        <v>48</v>
      </c>
      <c r="V2841">
        <v>144</v>
      </c>
      <c r="W2841">
        <v>114</v>
      </c>
      <c r="X2841">
        <v>222</v>
      </c>
      <c r="Y2841">
        <v>126</v>
      </c>
      <c r="Z2841">
        <v>90</v>
      </c>
      <c r="AA2841">
        <v>48</v>
      </c>
      <c r="AB2841">
        <v>60</v>
      </c>
      <c r="CH2841" t="str">
        <f t="shared" si="44"/>
        <v>D-0257</v>
      </c>
      <c r="CI2841" s="1" t="s">
        <v>102</v>
      </c>
    </row>
    <row r="2842" spans="1:87">
      <c r="A2842" t="s">
        <v>4508</v>
      </c>
      <c r="B2842">
        <v>1524</v>
      </c>
      <c r="C2842" t="s">
        <v>2600</v>
      </c>
      <c r="D2842" t="s">
        <v>213</v>
      </c>
      <c r="E2842" t="s">
        <v>629</v>
      </c>
      <c r="F2842" t="s">
        <v>643</v>
      </c>
      <c r="G2842" t="s">
        <v>2283</v>
      </c>
      <c r="R2842">
        <v>12</v>
      </c>
      <c r="T2842">
        <v>90</v>
      </c>
      <c r="V2842">
        <v>246</v>
      </c>
      <c r="X2842">
        <v>426</v>
      </c>
      <c r="Z2842">
        <v>378</v>
      </c>
      <c r="AB2842">
        <v>240</v>
      </c>
      <c r="AD2842">
        <v>114</v>
      </c>
      <c r="AF2842">
        <v>18</v>
      </c>
      <c r="CH2842" t="str">
        <f t="shared" si="44"/>
        <v>D-0257</v>
      </c>
      <c r="CI2842" s="1" t="s">
        <v>102</v>
      </c>
    </row>
    <row r="2843" spans="1:87">
      <c r="A2843" t="s">
        <v>4509</v>
      </c>
      <c r="B2843">
        <v>3042</v>
      </c>
      <c r="C2843" t="s">
        <v>2600</v>
      </c>
      <c r="D2843" t="s">
        <v>213</v>
      </c>
      <c r="E2843" t="s">
        <v>629</v>
      </c>
      <c r="F2843" t="s">
        <v>643</v>
      </c>
      <c r="G2843" t="s">
        <v>2283</v>
      </c>
      <c r="T2843">
        <v>84</v>
      </c>
      <c r="U2843">
        <v>101</v>
      </c>
      <c r="V2843">
        <v>257</v>
      </c>
      <c r="W2843">
        <v>237</v>
      </c>
      <c r="X2843">
        <v>340</v>
      </c>
      <c r="Y2843">
        <v>305</v>
      </c>
      <c r="Z2843">
        <v>381</v>
      </c>
      <c r="AA2843">
        <v>326</v>
      </c>
      <c r="AB2843">
        <v>300</v>
      </c>
      <c r="AC2843">
        <v>195</v>
      </c>
      <c r="AD2843">
        <v>263</v>
      </c>
      <c r="AF2843">
        <v>167</v>
      </c>
      <c r="AH2843">
        <v>60</v>
      </c>
      <c r="AJ2843">
        <v>26</v>
      </c>
      <c r="CH2843" t="str">
        <f t="shared" si="44"/>
        <v>D-0257</v>
      </c>
      <c r="CI2843" s="1" t="s">
        <v>102</v>
      </c>
    </row>
    <row r="2844" spans="1:87">
      <c r="A2844" t="s">
        <v>4512</v>
      </c>
      <c r="B2844">
        <v>132</v>
      </c>
      <c r="C2844" t="s">
        <v>2559</v>
      </c>
      <c r="D2844" t="s">
        <v>213</v>
      </c>
      <c r="E2844" t="s">
        <v>629</v>
      </c>
      <c r="F2844" t="s">
        <v>643</v>
      </c>
      <c r="G2844" t="s">
        <v>4511</v>
      </c>
      <c r="T2844">
        <v>6</v>
      </c>
      <c r="U2844">
        <v>6</v>
      </c>
      <c r="V2844">
        <v>18</v>
      </c>
      <c r="W2844">
        <v>18</v>
      </c>
      <c r="X2844">
        <v>30</v>
      </c>
      <c r="Y2844">
        <v>30</v>
      </c>
      <c r="AB2844">
        <v>18</v>
      </c>
      <c r="AC2844">
        <v>6</v>
      </c>
      <c r="CH2844" t="str">
        <f t="shared" si="44"/>
        <v>D-0257</v>
      </c>
      <c r="CI2844" s="1" t="s">
        <v>102</v>
      </c>
    </row>
    <row r="2845" spans="1:87">
      <c r="A2845" t="s">
        <v>4513</v>
      </c>
      <c r="B2845">
        <v>750</v>
      </c>
      <c r="C2845" t="s">
        <v>2559</v>
      </c>
      <c r="D2845" t="s">
        <v>213</v>
      </c>
      <c r="E2845" t="s">
        <v>629</v>
      </c>
      <c r="F2845" t="s">
        <v>643</v>
      </c>
      <c r="G2845" t="s">
        <v>4511</v>
      </c>
      <c r="R2845">
        <v>6</v>
      </c>
      <c r="T2845">
        <v>60</v>
      </c>
      <c r="V2845">
        <v>126</v>
      </c>
      <c r="X2845">
        <v>204</v>
      </c>
      <c r="Z2845">
        <v>186</v>
      </c>
      <c r="AB2845">
        <v>114</v>
      </c>
      <c r="AD2845">
        <v>48</v>
      </c>
      <c r="AF2845">
        <v>6</v>
      </c>
      <c r="CH2845" t="str">
        <f t="shared" si="44"/>
        <v>D-0257</v>
      </c>
      <c r="CI2845" s="1" t="s">
        <v>102</v>
      </c>
    </row>
    <row r="2846" spans="1:87">
      <c r="A2846" t="s">
        <v>4514</v>
      </c>
      <c r="B2846">
        <v>1098</v>
      </c>
      <c r="C2846" t="s">
        <v>2559</v>
      </c>
      <c r="D2846" t="s">
        <v>213</v>
      </c>
      <c r="E2846" t="s">
        <v>629</v>
      </c>
      <c r="F2846" t="s">
        <v>643</v>
      </c>
      <c r="G2846" t="s">
        <v>4511</v>
      </c>
      <c r="T2846">
        <v>66</v>
      </c>
      <c r="U2846">
        <v>90</v>
      </c>
      <c r="V2846">
        <v>120</v>
      </c>
      <c r="W2846">
        <v>222</v>
      </c>
      <c r="X2846">
        <v>204</v>
      </c>
      <c r="Y2846">
        <v>180</v>
      </c>
      <c r="Z2846">
        <v>108</v>
      </c>
      <c r="AA2846">
        <v>78</v>
      </c>
      <c r="AB2846">
        <v>30</v>
      </c>
      <c r="CH2846" t="str">
        <f t="shared" si="44"/>
        <v>D-0257</v>
      </c>
      <c r="CI2846" s="1" t="s">
        <v>102</v>
      </c>
    </row>
    <row r="2847" spans="1:87">
      <c r="A2847" t="s">
        <v>4515</v>
      </c>
      <c r="B2847">
        <v>126</v>
      </c>
      <c r="C2847" t="s">
        <v>2559</v>
      </c>
      <c r="D2847" t="s">
        <v>213</v>
      </c>
      <c r="E2847" t="s">
        <v>629</v>
      </c>
      <c r="F2847" t="s">
        <v>643</v>
      </c>
      <c r="G2847" t="s">
        <v>4511</v>
      </c>
      <c r="T2847">
        <v>12</v>
      </c>
      <c r="V2847">
        <v>18</v>
      </c>
      <c r="W2847">
        <v>18</v>
      </c>
      <c r="X2847">
        <v>24</v>
      </c>
      <c r="Y2847">
        <v>18</v>
      </c>
      <c r="Z2847">
        <v>18</v>
      </c>
      <c r="AA2847">
        <v>6</v>
      </c>
      <c r="AB2847">
        <v>6</v>
      </c>
      <c r="AC2847">
        <v>6</v>
      </c>
      <c r="CH2847" t="str">
        <f t="shared" si="44"/>
        <v>D-0257</v>
      </c>
      <c r="CI2847" s="1" t="s">
        <v>102</v>
      </c>
    </row>
    <row r="2848" spans="1:87">
      <c r="A2848" t="s">
        <v>4516</v>
      </c>
      <c r="B2848">
        <v>324</v>
      </c>
      <c r="C2848" t="s">
        <v>2559</v>
      </c>
      <c r="D2848" t="s">
        <v>213</v>
      </c>
      <c r="E2848" t="s">
        <v>629</v>
      </c>
      <c r="F2848" t="s">
        <v>643</v>
      </c>
      <c r="G2848" t="s">
        <v>4511</v>
      </c>
      <c r="U2848">
        <v>6</v>
      </c>
      <c r="V2848">
        <v>42</v>
      </c>
      <c r="W2848">
        <v>42</v>
      </c>
      <c r="X2848">
        <v>72</v>
      </c>
      <c r="Y2848">
        <v>60</v>
      </c>
      <c r="Z2848">
        <v>66</v>
      </c>
      <c r="AA2848">
        <v>18</v>
      </c>
      <c r="AB2848">
        <v>18</v>
      </c>
      <c r="CH2848" t="str">
        <f t="shared" si="44"/>
        <v>D-0257</v>
      </c>
      <c r="CI2848" s="1" t="s">
        <v>102</v>
      </c>
    </row>
    <row r="2849" spans="1:87">
      <c r="A2849" t="s">
        <v>4517</v>
      </c>
      <c r="B2849">
        <v>240</v>
      </c>
      <c r="C2849" t="s">
        <v>2559</v>
      </c>
      <c r="D2849" t="s">
        <v>213</v>
      </c>
      <c r="E2849" t="s">
        <v>629</v>
      </c>
      <c r="F2849" t="s">
        <v>643</v>
      </c>
      <c r="G2849" t="s">
        <v>4511</v>
      </c>
      <c r="T2849">
        <v>24</v>
      </c>
      <c r="U2849">
        <v>42</v>
      </c>
      <c r="V2849">
        <v>42</v>
      </c>
      <c r="W2849">
        <v>42</v>
      </c>
      <c r="X2849">
        <v>36</v>
      </c>
      <c r="Y2849">
        <v>36</v>
      </c>
      <c r="Z2849">
        <v>18</v>
      </c>
      <c r="CH2849" t="str">
        <f t="shared" si="44"/>
        <v>D-0257</v>
      </c>
      <c r="CI2849" s="1" t="s">
        <v>102</v>
      </c>
    </row>
    <row r="2850" spans="1:87">
      <c r="A2850" t="s">
        <v>4518</v>
      </c>
      <c r="B2850">
        <v>6949</v>
      </c>
      <c r="C2850" t="s">
        <v>2287</v>
      </c>
      <c r="D2850" t="s">
        <v>213</v>
      </c>
      <c r="E2850" t="s">
        <v>642</v>
      </c>
      <c r="F2850" t="s">
        <v>643</v>
      </c>
      <c r="G2850" t="s">
        <v>2593</v>
      </c>
      <c r="P2850">
        <v>60</v>
      </c>
      <c r="Q2850">
        <v>30</v>
      </c>
      <c r="R2850">
        <v>475</v>
      </c>
      <c r="S2850">
        <v>567</v>
      </c>
      <c r="T2850">
        <v>733</v>
      </c>
      <c r="U2850">
        <v>981</v>
      </c>
      <c r="V2850">
        <v>1017</v>
      </c>
      <c r="W2850">
        <v>795</v>
      </c>
      <c r="X2850">
        <v>918</v>
      </c>
      <c r="Y2850">
        <v>542</v>
      </c>
      <c r="Z2850">
        <v>531</v>
      </c>
      <c r="AA2850">
        <v>50</v>
      </c>
      <c r="AB2850">
        <v>199</v>
      </c>
      <c r="AC2850">
        <v>8</v>
      </c>
      <c r="AD2850">
        <v>43</v>
      </c>
      <c r="CH2850" t="str">
        <f t="shared" si="44"/>
        <v>D-0257</v>
      </c>
      <c r="CI2850" s="1" t="s">
        <v>102</v>
      </c>
    </row>
    <row r="2851" spans="1:87">
      <c r="A2851" t="s">
        <v>4519</v>
      </c>
      <c r="B2851">
        <v>613</v>
      </c>
      <c r="C2851" t="s">
        <v>2287</v>
      </c>
      <c r="D2851" t="s">
        <v>213</v>
      </c>
      <c r="E2851" t="s">
        <v>642</v>
      </c>
      <c r="F2851" t="s">
        <v>643</v>
      </c>
      <c r="G2851" t="s">
        <v>2593</v>
      </c>
      <c r="P2851">
        <v>6</v>
      </c>
      <c r="Q2851">
        <v>3</v>
      </c>
      <c r="R2851">
        <v>42</v>
      </c>
      <c r="S2851">
        <v>50</v>
      </c>
      <c r="T2851">
        <v>64</v>
      </c>
      <c r="U2851">
        <v>86</v>
      </c>
      <c r="V2851">
        <v>89</v>
      </c>
      <c r="W2851">
        <v>70</v>
      </c>
      <c r="X2851">
        <v>80</v>
      </c>
      <c r="Y2851">
        <v>48</v>
      </c>
      <c r="Z2851">
        <v>47</v>
      </c>
      <c r="AA2851">
        <v>5</v>
      </c>
      <c r="AB2851">
        <v>18</v>
      </c>
      <c r="AC2851">
        <v>1</v>
      </c>
      <c r="AD2851">
        <v>4</v>
      </c>
      <c r="CH2851" t="str">
        <f t="shared" si="44"/>
        <v>D-0257</v>
      </c>
      <c r="CI2851" s="1" t="s">
        <v>102</v>
      </c>
    </row>
    <row r="2852" spans="1:87">
      <c r="A2852" t="s">
        <v>4520</v>
      </c>
      <c r="B2852">
        <v>618</v>
      </c>
      <c r="C2852" t="s">
        <v>2287</v>
      </c>
      <c r="D2852" t="s">
        <v>213</v>
      </c>
      <c r="E2852" t="s">
        <v>642</v>
      </c>
      <c r="F2852" t="s">
        <v>643</v>
      </c>
      <c r="G2852" t="s">
        <v>2593</v>
      </c>
      <c r="Q2852">
        <v>30</v>
      </c>
      <c r="S2852">
        <v>108</v>
      </c>
      <c r="U2852">
        <v>186</v>
      </c>
      <c r="W2852">
        <v>156</v>
      </c>
      <c r="Y2852">
        <v>96</v>
      </c>
      <c r="AA2852">
        <v>36</v>
      </c>
      <c r="AC2852">
        <v>6</v>
      </c>
      <c r="CH2852" t="str">
        <f t="shared" si="44"/>
        <v>D-0257</v>
      </c>
      <c r="CI2852" s="1" t="s">
        <v>102</v>
      </c>
    </row>
    <row r="2853" spans="1:87">
      <c r="A2853" t="s">
        <v>4521</v>
      </c>
      <c r="B2853">
        <v>760</v>
      </c>
      <c r="C2853" t="s">
        <v>2571</v>
      </c>
      <c r="D2853" t="s">
        <v>213</v>
      </c>
      <c r="E2853" t="s">
        <v>642</v>
      </c>
      <c r="F2853" t="s">
        <v>643</v>
      </c>
      <c r="G2853" t="s">
        <v>4522</v>
      </c>
      <c r="P2853">
        <v>18</v>
      </c>
      <c r="Q2853">
        <v>30</v>
      </c>
      <c r="R2853">
        <v>84</v>
      </c>
      <c r="S2853">
        <v>78</v>
      </c>
      <c r="T2853">
        <v>160</v>
      </c>
      <c r="U2853">
        <v>114</v>
      </c>
      <c r="V2853">
        <v>120</v>
      </c>
      <c r="W2853">
        <v>66</v>
      </c>
      <c r="X2853">
        <v>54</v>
      </c>
      <c r="Y2853">
        <v>18</v>
      </c>
      <c r="Z2853">
        <v>18</v>
      </c>
      <c r="CH2853" t="str">
        <f t="shared" si="44"/>
        <v>D-0257</v>
      </c>
      <c r="CI2853" s="1" t="s">
        <v>102</v>
      </c>
    </row>
    <row r="2854" spans="1:87">
      <c r="A2854" t="s">
        <v>4523</v>
      </c>
      <c r="B2854">
        <v>4495</v>
      </c>
      <c r="C2854" t="s">
        <v>2571</v>
      </c>
      <c r="D2854" t="s">
        <v>213</v>
      </c>
      <c r="E2854" t="s">
        <v>642</v>
      </c>
      <c r="F2854" t="s">
        <v>643</v>
      </c>
      <c r="G2854" t="s">
        <v>4522</v>
      </c>
      <c r="P2854">
        <v>54</v>
      </c>
      <c r="Q2854">
        <v>74</v>
      </c>
      <c r="R2854">
        <v>272</v>
      </c>
      <c r="S2854">
        <v>325</v>
      </c>
      <c r="T2854">
        <v>555</v>
      </c>
      <c r="U2854">
        <v>560</v>
      </c>
      <c r="V2854">
        <v>697</v>
      </c>
      <c r="W2854">
        <v>558</v>
      </c>
      <c r="X2854">
        <v>525</v>
      </c>
      <c r="Y2854">
        <v>308</v>
      </c>
      <c r="Z2854">
        <v>307</v>
      </c>
      <c r="AA2854">
        <v>72</v>
      </c>
      <c r="AB2854">
        <v>110</v>
      </c>
      <c r="AC2854">
        <v>37</v>
      </c>
      <c r="AD2854">
        <v>41</v>
      </c>
      <c r="CH2854" t="str">
        <f t="shared" si="44"/>
        <v>D-0257</v>
      </c>
      <c r="CI2854" s="1" t="s">
        <v>102</v>
      </c>
    </row>
    <row r="2855" spans="1:87">
      <c r="A2855" t="s">
        <v>4524</v>
      </c>
      <c r="B2855">
        <v>774</v>
      </c>
      <c r="C2855" t="s">
        <v>2571</v>
      </c>
      <c r="D2855" t="s">
        <v>213</v>
      </c>
      <c r="E2855" t="s">
        <v>642</v>
      </c>
      <c r="F2855" t="s">
        <v>643</v>
      </c>
      <c r="G2855" t="s">
        <v>4522</v>
      </c>
      <c r="P2855">
        <v>18</v>
      </c>
      <c r="Q2855">
        <v>30</v>
      </c>
      <c r="R2855">
        <v>90</v>
      </c>
      <c r="S2855">
        <v>78</v>
      </c>
      <c r="T2855">
        <v>156</v>
      </c>
      <c r="U2855">
        <v>114</v>
      </c>
      <c r="V2855">
        <v>126</v>
      </c>
      <c r="W2855">
        <v>66</v>
      </c>
      <c r="X2855">
        <v>60</v>
      </c>
      <c r="Y2855">
        <v>18</v>
      </c>
      <c r="Z2855">
        <v>18</v>
      </c>
      <c r="CH2855" t="str">
        <f t="shared" si="44"/>
        <v>D-0257</v>
      </c>
      <c r="CI2855" s="1" t="s">
        <v>102</v>
      </c>
    </row>
    <row r="2856" spans="1:87">
      <c r="A2856" t="s">
        <v>4525</v>
      </c>
      <c r="B2856">
        <v>255</v>
      </c>
      <c r="C2856" t="s">
        <v>2576</v>
      </c>
      <c r="D2856" t="s">
        <v>213</v>
      </c>
      <c r="E2856" t="s">
        <v>642</v>
      </c>
      <c r="F2856" t="s">
        <v>643</v>
      </c>
      <c r="G2856" t="s">
        <v>4526</v>
      </c>
      <c r="Q2856">
        <v>20</v>
      </c>
      <c r="V2856">
        <v>31</v>
      </c>
      <c r="W2856">
        <v>24</v>
      </c>
      <c r="X2856">
        <v>113</v>
      </c>
      <c r="Z2856">
        <v>31</v>
      </c>
      <c r="AA2856">
        <v>15</v>
      </c>
      <c r="AD2856">
        <v>21</v>
      </c>
      <c r="CH2856" t="str">
        <f t="shared" si="44"/>
        <v>D-0257</v>
      </c>
      <c r="CI2856" s="1" t="s">
        <v>102</v>
      </c>
    </row>
    <row r="2857" spans="1:87">
      <c r="A2857" t="s">
        <v>4527</v>
      </c>
      <c r="B2857">
        <v>814</v>
      </c>
      <c r="C2857" t="s">
        <v>2576</v>
      </c>
      <c r="D2857" t="s">
        <v>213</v>
      </c>
      <c r="E2857" t="s">
        <v>642</v>
      </c>
      <c r="F2857" t="s">
        <v>643</v>
      </c>
      <c r="G2857" t="s">
        <v>4526</v>
      </c>
      <c r="R2857">
        <v>135</v>
      </c>
      <c r="T2857">
        <v>139</v>
      </c>
      <c r="V2857">
        <v>270</v>
      </c>
      <c r="X2857">
        <v>270</v>
      </c>
      <c r="CH2857" t="str">
        <f t="shared" si="44"/>
        <v>D-0257</v>
      </c>
      <c r="CI2857" s="1" t="s">
        <v>102</v>
      </c>
    </row>
    <row r="2858" spans="1:87">
      <c r="A2858" t="s">
        <v>4528</v>
      </c>
      <c r="B2858">
        <v>810</v>
      </c>
      <c r="C2858" t="s">
        <v>2576</v>
      </c>
      <c r="D2858" t="s">
        <v>213</v>
      </c>
      <c r="E2858" t="s">
        <v>642</v>
      </c>
      <c r="F2858" t="s">
        <v>643</v>
      </c>
      <c r="G2858" t="s">
        <v>4526</v>
      </c>
      <c r="S2858">
        <v>135</v>
      </c>
      <c r="U2858">
        <v>135</v>
      </c>
      <c r="W2858">
        <v>135</v>
      </c>
      <c r="Y2858">
        <v>135</v>
      </c>
      <c r="Z2858">
        <v>135</v>
      </c>
      <c r="AB2858">
        <v>135</v>
      </c>
      <c r="CH2858" t="str">
        <f t="shared" si="44"/>
        <v>D-0257</v>
      </c>
      <c r="CI2858" s="1" t="s">
        <v>102</v>
      </c>
    </row>
    <row r="2859" spans="1:87">
      <c r="A2859" t="s">
        <v>4529</v>
      </c>
      <c r="B2859">
        <v>3600</v>
      </c>
      <c r="C2859" t="s">
        <v>2576</v>
      </c>
      <c r="D2859" t="s">
        <v>213</v>
      </c>
      <c r="E2859" t="s">
        <v>642</v>
      </c>
      <c r="F2859" t="s">
        <v>643</v>
      </c>
      <c r="G2859" t="s">
        <v>4526</v>
      </c>
      <c r="R2859">
        <v>400</v>
      </c>
      <c r="S2859">
        <v>400</v>
      </c>
      <c r="T2859">
        <v>400</v>
      </c>
      <c r="U2859">
        <v>400</v>
      </c>
      <c r="V2859">
        <v>400</v>
      </c>
      <c r="W2859">
        <v>400</v>
      </c>
      <c r="X2859">
        <v>400</v>
      </c>
      <c r="Y2859">
        <v>400</v>
      </c>
      <c r="Z2859">
        <v>400</v>
      </c>
      <c r="CH2859" t="str">
        <f t="shared" si="44"/>
        <v>D-0257</v>
      </c>
      <c r="CI2859" s="1" t="s">
        <v>102</v>
      </c>
    </row>
    <row r="2860" spans="1:87">
      <c r="A2860" t="s">
        <v>4530</v>
      </c>
      <c r="B2860">
        <v>3600</v>
      </c>
      <c r="C2860" t="s">
        <v>2576</v>
      </c>
      <c r="D2860" t="s">
        <v>213</v>
      </c>
      <c r="E2860" t="s">
        <v>642</v>
      </c>
      <c r="F2860" t="s">
        <v>643</v>
      </c>
      <c r="G2860" t="s">
        <v>4526</v>
      </c>
      <c r="R2860">
        <v>400</v>
      </c>
      <c r="S2860">
        <v>400</v>
      </c>
      <c r="T2860">
        <v>400</v>
      </c>
      <c r="U2860">
        <v>400</v>
      </c>
      <c r="V2860">
        <v>400</v>
      </c>
      <c r="W2860">
        <v>400</v>
      </c>
      <c r="X2860">
        <v>400</v>
      </c>
      <c r="Y2860">
        <v>400</v>
      </c>
      <c r="Z2860">
        <v>400</v>
      </c>
      <c r="CH2860" t="str">
        <f t="shared" si="44"/>
        <v>D-0257</v>
      </c>
      <c r="CI2860" s="1" t="s">
        <v>102</v>
      </c>
    </row>
    <row r="2861" spans="1:87">
      <c r="A2861" t="s">
        <v>4531</v>
      </c>
      <c r="B2861">
        <v>2604</v>
      </c>
      <c r="C2861" t="s">
        <v>2576</v>
      </c>
      <c r="D2861" t="s">
        <v>213</v>
      </c>
      <c r="E2861" t="s">
        <v>642</v>
      </c>
      <c r="F2861" t="s">
        <v>643</v>
      </c>
      <c r="G2861" t="s">
        <v>4526</v>
      </c>
      <c r="P2861">
        <v>114</v>
      </c>
      <c r="Q2861">
        <v>120</v>
      </c>
      <c r="R2861">
        <v>102</v>
      </c>
      <c r="S2861">
        <v>144</v>
      </c>
      <c r="T2861">
        <v>234</v>
      </c>
      <c r="U2861">
        <v>330</v>
      </c>
      <c r="V2861">
        <v>432</v>
      </c>
      <c r="W2861">
        <v>342</v>
      </c>
      <c r="X2861">
        <v>270</v>
      </c>
      <c r="Y2861">
        <v>192</v>
      </c>
      <c r="Z2861">
        <v>150</v>
      </c>
      <c r="AA2861">
        <v>90</v>
      </c>
      <c r="AB2861">
        <v>84</v>
      </c>
      <c r="CH2861" t="str">
        <f t="shared" si="44"/>
        <v>D-0257</v>
      </c>
      <c r="CI2861" s="1" t="s">
        <v>102</v>
      </c>
    </row>
    <row r="2862" spans="1:87">
      <c r="A2862" t="s">
        <v>4532</v>
      </c>
      <c r="B2862">
        <v>2604</v>
      </c>
      <c r="C2862" t="s">
        <v>2576</v>
      </c>
      <c r="D2862" t="s">
        <v>213</v>
      </c>
      <c r="E2862" t="s">
        <v>642</v>
      </c>
      <c r="F2862" t="s">
        <v>643</v>
      </c>
      <c r="G2862" t="s">
        <v>4526</v>
      </c>
      <c r="P2862">
        <v>114</v>
      </c>
      <c r="Q2862">
        <v>120</v>
      </c>
      <c r="R2862">
        <v>102</v>
      </c>
      <c r="S2862">
        <v>144</v>
      </c>
      <c r="T2862">
        <v>234</v>
      </c>
      <c r="U2862">
        <v>330</v>
      </c>
      <c r="V2862">
        <v>432</v>
      </c>
      <c r="W2862">
        <v>342</v>
      </c>
      <c r="X2862">
        <v>270</v>
      </c>
      <c r="Y2862">
        <v>192</v>
      </c>
      <c r="Z2862">
        <v>150</v>
      </c>
      <c r="AA2862">
        <v>90</v>
      </c>
      <c r="AB2862">
        <v>84</v>
      </c>
      <c r="CH2862" t="str">
        <f t="shared" si="44"/>
        <v>D-0257</v>
      </c>
      <c r="CI2862" s="1" t="s">
        <v>102</v>
      </c>
    </row>
    <row r="2863" spans="1:87">
      <c r="A2863" t="s">
        <v>4533</v>
      </c>
      <c r="B2863">
        <v>3000</v>
      </c>
      <c r="C2863" t="s">
        <v>2576</v>
      </c>
      <c r="D2863" t="s">
        <v>213</v>
      </c>
      <c r="E2863" t="s">
        <v>642</v>
      </c>
      <c r="F2863" t="s">
        <v>643</v>
      </c>
      <c r="G2863" t="s">
        <v>4526</v>
      </c>
      <c r="P2863">
        <v>54</v>
      </c>
      <c r="Q2863">
        <v>60</v>
      </c>
      <c r="R2863">
        <v>198</v>
      </c>
      <c r="S2863">
        <v>210</v>
      </c>
      <c r="T2863">
        <v>348</v>
      </c>
      <c r="U2863">
        <v>384</v>
      </c>
      <c r="V2863">
        <v>474</v>
      </c>
      <c r="W2863">
        <v>378</v>
      </c>
      <c r="X2863">
        <v>318</v>
      </c>
      <c r="Y2863">
        <v>192</v>
      </c>
      <c r="Z2863">
        <v>204</v>
      </c>
      <c r="AA2863">
        <v>30</v>
      </c>
      <c r="AB2863">
        <v>72</v>
      </c>
      <c r="AC2863">
        <v>30</v>
      </c>
      <c r="AD2863">
        <v>48</v>
      </c>
      <c r="CH2863" t="str">
        <f t="shared" si="44"/>
        <v>D-0257</v>
      </c>
      <c r="CI2863" s="1" t="s">
        <v>102</v>
      </c>
    </row>
    <row r="2864" spans="1:87">
      <c r="A2864" t="s">
        <v>4534</v>
      </c>
      <c r="B2864">
        <v>625</v>
      </c>
      <c r="C2864" t="s">
        <v>951</v>
      </c>
      <c r="D2864" t="s">
        <v>233</v>
      </c>
      <c r="E2864" t="s">
        <v>642</v>
      </c>
      <c r="F2864" t="s">
        <v>657</v>
      </c>
      <c r="G2864" t="s">
        <v>952</v>
      </c>
      <c r="AD2864">
        <v>625</v>
      </c>
      <c r="CH2864" t="str">
        <f t="shared" si="44"/>
        <v>D-0265</v>
      </c>
      <c r="CI2864" s="1" t="s">
        <v>102</v>
      </c>
    </row>
    <row r="2865" spans="1:87">
      <c r="A2865" t="s">
        <v>4535</v>
      </c>
      <c r="B2865">
        <v>915</v>
      </c>
      <c r="C2865" t="s">
        <v>951</v>
      </c>
      <c r="D2865" t="s">
        <v>233</v>
      </c>
      <c r="E2865" t="s">
        <v>642</v>
      </c>
      <c r="F2865" t="s">
        <v>657</v>
      </c>
      <c r="G2865" t="s">
        <v>952</v>
      </c>
      <c r="AC2865">
        <v>915</v>
      </c>
      <c r="CH2865" t="str">
        <f t="shared" si="44"/>
        <v>D-0265</v>
      </c>
      <c r="CI2865" s="1" t="s">
        <v>102</v>
      </c>
    </row>
    <row r="2866" spans="1:87">
      <c r="A2866" t="s">
        <v>4536</v>
      </c>
      <c r="B2866">
        <v>1254</v>
      </c>
      <c r="C2866" t="s">
        <v>951</v>
      </c>
      <c r="D2866" t="s">
        <v>233</v>
      </c>
      <c r="E2866" t="s">
        <v>642</v>
      </c>
      <c r="F2866" t="s">
        <v>657</v>
      </c>
      <c r="G2866" t="s">
        <v>952</v>
      </c>
      <c r="AB2866">
        <v>1254</v>
      </c>
      <c r="CH2866" t="str">
        <f t="shared" si="44"/>
        <v>D-0265</v>
      </c>
      <c r="CI2866" s="1" t="s">
        <v>102</v>
      </c>
    </row>
    <row r="2867" spans="1:87">
      <c r="A2867" t="s">
        <v>4537</v>
      </c>
      <c r="B2867">
        <v>898</v>
      </c>
      <c r="C2867" t="s">
        <v>951</v>
      </c>
      <c r="D2867" t="s">
        <v>233</v>
      </c>
      <c r="E2867" t="s">
        <v>642</v>
      </c>
      <c r="F2867" t="s">
        <v>657</v>
      </c>
      <c r="G2867" t="s">
        <v>952</v>
      </c>
      <c r="AA2867">
        <v>898</v>
      </c>
      <c r="CH2867" t="str">
        <f t="shared" si="44"/>
        <v>D-0265</v>
      </c>
      <c r="CI2867" s="1" t="s">
        <v>102</v>
      </c>
    </row>
    <row r="2868" spans="1:87">
      <c r="A2868" t="s">
        <v>4538</v>
      </c>
      <c r="B2868">
        <v>1008</v>
      </c>
      <c r="C2868" t="s">
        <v>951</v>
      </c>
      <c r="D2868" t="s">
        <v>233</v>
      </c>
      <c r="E2868" t="s">
        <v>642</v>
      </c>
      <c r="F2868" t="s">
        <v>657</v>
      </c>
      <c r="G2868" t="s">
        <v>952</v>
      </c>
      <c r="Z2868">
        <v>1008</v>
      </c>
      <c r="CH2868" t="str">
        <f t="shared" si="44"/>
        <v>D-0265</v>
      </c>
      <c r="CI2868" s="1" t="s">
        <v>102</v>
      </c>
    </row>
    <row r="2869" spans="1:87">
      <c r="A2869" t="s">
        <v>4539</v>
      </c>
      <c r="B2869">
        <v>1921</v>
      </c>
      <c r="C2869" t="s">
        <v>951</v>
      </c>
      <c r="D2869" t="s">
        <v>233</v>
      </c>
      <c r="E2869" t="s">
        <v>642</v>
      </c>
      <c r="F2869" t="s">
        <v>657</v>
      </c>
      <c r="G2869" t="s">
        <v>952</v>
      </c>
      <c r="Y2869">
        <v>1921</v>
      </c>
      <c r="CH2869" t="str">
        <f t="shared" si="44"/>
        <v>D-0265</v>
      </c>
      <c r="CI2869" s="1" t="s">
        <v>102</v>
      </c>
    </row>
    <row r="2870" spans="1:87">
      <c r="A2870" t="s">
        <v>4540</v>
      </c>
      <c r="B2870">
        <v>1161</v>
      </c>
      <c r="C2870" t="s">
        <v>951</v>
      </c>
      <c r="D2870" t="s">
        <v>233</v>
      </c>
      <c r="E2870" t="s">
        <v>642</v>
      </c>
      <c r="F2870" t="s">
        <v>657</v>
      </c>
      <c r="G2870" t="s">
        <v>952</v>
      </c>
      <c r="X2870">
        <v>1161</v>
      </c>
      <c r="CH2870" t="str">
        <f t="shared" si="44"/>
        <v>D-0265</v>
      </c>
      <c r="CI2870" s="1" t="s">
        <v>102</v>
      </c>
    </row>
    <row r="2871" spans="1:87">
      <c r="A2871" t="s">
        <v>4541</v>
      </c>
      <c r="B2871">
        <v>2007</v>
      </c>
      <c r="C2871" t="s">
        <v>951</v>
      </c>
      <c r="D2871" t="s">
        <v>233</v>
      </c>
      <c r="E2871" t="s">
        <v>642</v>
      </c>
      <c r="F2871" t="s">
        <v>657</v>
      </c>
      <c r="G2871" t="s">
        <v>952</v>
      </c>
      <c r="W2871">
        <v>2007</v>
      </c>
      <c r="CH2871" t="str">
        <f t="shared" si="44"/>
        <v>D-0265</v>
      </c>
      <c r="CI2871" s="1" t="s">
        <v>102</v>
      </c>
    </row>
    <row r="2872" spans="1:87">
      <c r="A2872" t="s">
        <v>4542</v>
      </c>
      <c r="B2872">
        <v>2299</v>
      </c>
      <c r="C2872" t="s">
        <v>951</v>
      </c>
      <c r="D2872" t="s">
        <v>233</v>
      </c>
      <c r="E2872" t="s">
        <v>642</v>
      </c>
      <c r="F2872" t="s">
        <v>657</v>
      </c>
      <c r="G2872" t="s">
        <v>952</v>
      </c>
      <c r="V2872">
        <v>2299</v>
      </c>
      <c r="CH2872" t="str">
        <f t="shared" si="44"/>
        <v>D-0265</v>
      </c>
      <c r="CI2872" s="1" t="s">
        <v>102</v>
      </c>
    </row>
    <row r="2873" spans="1:87">
      <c r="A2873" t="s">
        <v>4543</v>
      </c>
      <c r="B2873">
        <v>1638</v>
      </c>
      <c r="C2873" t="s">
        <v>951</v>
      </c>
      <c r="D2873" t="s">
        <v>233</v>
      </c>
      <c r="E2873" t="s">
        <v>642</v>
      </c>
      <c r="F2873" t="s">
        <v>657</v>
      </c>
      <c r="G2873" t="s">
        <v>952</v>
      </c>
      <c r="U2873">
        <v>1638</v>
      </c>
      <c r="CH2873" t="str">
        <f t="shared" si="44"/>
        <v>D-0265</v>
      </c>
      <c r="CI2873" s="1" t="s">
        <v>102</v>
      </c>
    </row>
    <row r="2874" spans="1:87">
      <c r="A2874" t="s">
        <v>4544</v>
      </c>
      <c r="B2874">
        <v>1598</v>
      </c>
      <c r="C2874" t="s">
        <v>951</v>
      </c>
      <c r="D2874" t="s">
        <v>233</v>
      </c>
      <c r="E2874" t="s">
        <v>642</v>
      </c>
      <c r="F2874" t="s">
        <v>657</v>
      </c>
      <c r="G2874" t="s">
        <v>952</v>
      </c>
      <c r="T2874">
        <v>1598</v>
      </c>
      <c r="CH2874" t="str">
        <f t="shared" si="44"/>
        <v>D-0265</v>
      </c>
      <c r="CI2874" s="1" t="s">
        <v>102</v>
      </c>
    </row>
    <row r="2875" spans="1:87">
      <c r="A2875" t="s">
        <v>4545</v>
      </c>
      <c r="B2875">
        <v>1758</v>
      </c>
      <c r="C2875" t="s">
        <v>951</v>
      </c>
      <c r="D2875" t="s">
        <v>233</v>
      </c>
      <c r="E2875" t="s">
        <v>642</v>
      </c>
      <c r="F2875" t="s">
        <v>657</v>
      </c>
      <c r="G2875" t="s">
        <v>952</v>
      </c>
      <c r="S2875">
        <v>1758</v>
      </c>
      <c r="CH2875" t="str">
        <f t="shared" si="44"/>
        <v>D-0265</v>
      </c>
      <c r="CI2875" s="1" t="s">
        <v>102</v>
      </c>
    </row>
    <row r="2876" spans="1:87">
      <c r="A2876" t="s">
        <v>4546</v>
      </c>
      <c r="B2876">
        <v>1003</v>
      </c>
      <c r="C2876" t="s">
        <v>951</v>
      </c>
      <c r="D2876" t="s">
        <v>233</v>
      </c>
      <c r="E2876" t="s">
        <v>642</v>
      </c>
      <c r="F2876" t="s">
        <v>657</v>
      </c>
      <c r="G2876" t="s">
        <v>952</v>
      </c>
      <c r="R2876">
        <v>1003</v>
      </c>
      <c r="CH2876" t="str">
        <f t="shared" si="44"/>
        <v>D-0265</v>
      </c>
      <c r="CI2876" s="1" t="s">
        <v>102</v>
      </c>
    </row>
    <row r="2877" spans="1:87">
      <c r="A2877" t="s">
        <v>4547</v>
      </c>
      <c r="B2877">
        <v>582</v>
      </c>
      <c r="C2877" t="s">
        <v>951</v>
      </c>
      <c r="D2877" t="s">
        <v>233</v>
      </c>
      <c r="E2877" t="s">
        <v>642</v>
      </c>
      <c r="F2877" t="s">
        <v>657</v>
      </c>
      <c r="G2877" t="s">
        <v>952</v>
      </c>
      <c r="Q2877">
        <v>582</v>
      </c>
      <c r="CH2877" t="str">
        <f t="shared" si="44"/>
        <v>D-0265</v>
      </c>
      <c r="CI2877" s="1" t="s">
        <v>102</v>
      </c>
    </row>
    <row r="2878" spans="1:87">
      <c r="A2878" t="s">
        <v>4548</v>
      </c>
      <c r="B2878">
        <v>2453</v>
      </c>
      <c r="C2878" t="s">
        <v>4549</v>
      </c>
      <c r="D2878" t="s">
        <v>238</v>
      </c>
      <c r="E2878" t="s">
        <v>629</v>
      </c>
      <c r="F2878" t="s">
        <v>632</v>
      </c>
      <c r="G2878" t="s">
        <v>3389</v>
      </c>
      <c r="R2878">
        <v>20</v>
      </c>
      <c r="S2878">
        <v>26</v>
      </c>
      <c r="T2878">
        <v>52</v>
      </c>
      <c r="U2878">
        <v>75</v>
      </c>
      <c r="V2878">
        <v>130</v>
      </c>
      <c r="W2878">
        <v>162</v>
      </c>
      <c r="X2878">
        <v>207</v>
      </c>
      <c r="Y2878">
        <v>243</v>
      </c>
      <c r="Z2878">
        <v>265</v>
      </c>
      <c r="AA2878">
        <v>298</v>
      </c>
      <c r="AB2878">
        <v>266</v>
      </c>
      <c r="AC2878">
        <v>170</v>
      </c>
      <c r="AD2878">
        <v>210</v>
      </c>
      <c r="AE2878">
        <v>60</v>
      </c>
      <c r="AF2878">
        <v>146</v>
      </c>
      <c r="AH2878">
        <v>73</v>
      </c>
      <c r="AJ2878">
        <v>50</v>
      </c>
      <c r="CH2878" t="str">
        <f t="shared" si="44"/>
        <v>D-0267</v>
      </c>
      <c r="CI2878" s="1" t="s">
        <v>102</v>
      </c>
    </row>
    <row r="2879" spans="1:87">
      <c r="A2879" t="s">
        <v>4550</v>
      </c>
      <c r="B2879">
        <v>1184</v>
      </c>
      <c r="C2879" t="s">
        <v>4549</v>
      </c>
      <c r="D2879" t="s">
        <v>238</v>
      </c>
      <c r="E2879" t="s">
        <v>629</v>
      </c>
      <c r="F2879" t="s">
        <v>632</v>
      </c>
      <c r="G2879" t="s">
        <v>3389</v>
      </c>
      <c r="R2879">
        <v>10</v>
      </c>
      <c r="S2879">
        <v>8</v>
      </c>
      <c r="T2879">
        <v>31</v>
      </c>
      <c r="U2879">
        <v>36</v>
      </c>
      <c r="V2879">
        <v>70</v>
      </c>
      <c r="W2879">
        <v>75</v>
      </c>
      <c r="X2879">
        <v>111</v>
      </c>
      <c r="Y2879">
        <v>116</v>
      </c>
      <c r="Z2879">
        <v>137</v>
      </c>
      <c r="AA2879">
        <v>136</v>
      </c>
      <c r="AB2879">
        <v>134</v>
      </c>
      <c r="AC2879">
        <v>79</v>
      </c>
      <c r="AD2879">
        <v>107</v>
      </c>
      <c r="AE2879">
        <v>15</v>
      </c>
      <c r="AF2879">
        <v>77</v>
      </c>
      <c r="AH2879">
        <v>29</v>
      </c>
      <c r="AJ2879">
        <v>13</v>
      </c>
      <c r="CH2879" t="str">
        <f t="shared" si="44"/>
        <v>D-0267</v>
      </c>
      <c r="CI2879" s="1" t="s">
        <v>102</v>
      </c>
    </row>
    <row r="2880" spans="1:87">
      <c r="A2880" t="s">
        <v>4551</v>
      </c>
      <c r="B2880">
        <v>4047</v>
      </c>
      <c r="C2880" t="s">
        <v>4552</v>
      </c>
      <c r="D2880" t="s">
        <v>238</v>
      </c>
      <c r="E2880" t="s">
        <v>629</v>
      </c>
      <c r="F2880" t="s">
        <v>632</v>
      </c>
      <c r="G2880" t="s">
        <v>2283</v>
      </c>
      <c r="R2880">
        <v>33</v>
      </c>
      <c r="S2880">
        <v>42</v>
      </c>
      <c r="T2880">
        <v>87</v>
      </c>
      <c r="U2880">
        <v>126</v>
      </c>
      <c r="V2880">
        <v>215</v>
      </c>
      <c r="W2880">
        <v>269</v>
      </c>
      <c r="X2880">
        <v>340</v>
      </c>
      <c r="Y2880">
        <v>400</v>
      </c>
      <c r="Z2880">
        <v>436</v>
      </c>
      <c r="AA2880">
        <v>490</v>
      </c>
      <c r="AB2880">
        <v>439</v>
      </c>
      <c r="AC2880">
        <v>282</v>
      </c>
      <c r="AD2880">
        <v>345</v>
      </c>
      <c r="AE2880">
        <v>99</v>
      </c>
      <c r="AF2880">
        <v>241</v>
      </c>
      <c r="AH2880">
        <v>120</v>
      </c>
      <c r="AJ2880">
        <v>83</v>
      </c>
      <c r="CH2880" t="str">
        <f t="shared" si="44"/>
        <v>D-0267</v>
      </c>
      <c r="CI2880" s="1" t="s">
        <v>102</v>
      </c>
    </row>
    <row r="2881" spans="1:87">
      <c r="A2881" t="s">
        <v>4553</v>
      </c>
      <c r="B2881">
        <v>1</v>
      </c>
      <c r="C2881" t="s">
        <v>4552</v>
      </c>
      <c r="D2881" t="s">
        <v>238</v>
      </c>
      <c r="E2881" t="s">
        <v>629</v>
      </c>
      <c r="F2881" t="s">
        <v>632</v>
      </c>
      <c r="G2881" t="s">
        <v>2283</v>
      </c>
      <c r="AD2881">
        <v>1</v>
      </c>
      <c r="CH2881" t="str">
        <f t="shared" si="44"/>
        <v>D-0267</v>
      </c>
      <c r="CI2881" s="1" t="s">
        <v>102</v>
      </c>
    </row>
    <row r="2882" spans="1:87">
      <c r="A2882" t="s">
        <v>4554</v>
      </c>
      <c r="B2882">
        <v>4628</v>
      </c>
      <c r="C2882" t="s">
        <v>1322</v>
      </c>
      <c r="D2882" t="s">
        <v>249</v>
      </c>
      <c r="E2882" t="s">
        <v>642</v>
      </c>
      <c r="F2882" t="s">
        <v>657</v>
      </c>
      <c r="G2882" t="s">
        <v>1323</v>
      </c>
      <c r="Q2882">
        <v>245</v>
      </c>
      <c r="R2882">
        <v>300</v>
      </c>
      <c r="S2882">
        <v>444</v>
      </c>
      <c r="T2882">
        <v>661</v>
      </c>
      <c r="U2882">
        <v>480</v>
      </c>
      <c r="V2882">
        <v>912</v>
      </c>
      <c r="W2882">
        <v>720</v>
      </c>
      <c r="X2882">
        <v>422</v>
      </c>
      <c r="Y2882">
        <v>420</v>
      </c>
      <c r="AK2882">
        <v>18</v>
      </c>
      <c r="AM2882">
        <v>6</v>
      </c>
      <c r="CH2882" t="str">
        <f t="shared" ref="CH2882:CH2945" si="45">TRIM(IFERROR(IFERROR(MID($D2882,FIND("(D-",$D2882)+1,6),LEFT($D2882,FIND("(",$D2882)-1)),$D2882))</f>
        <v>D-0271</v>
      </c>
      <c r="CI2882" s="1" t="s">
        <v>102</v>
      </c>
    </row>
    <row r="2883" spans="1:87">
      <c r="A2883" t="s">
        <v>4555</v>
      </c>
      <c r="B2883">
        <v>4081</v>
      </c>
      <c r="C2883" t="s">
        <v>1322</v>
      </c>
      <c r="D2883" t="s">
        <v>249</v>
      </c>
      <c r="E2883" t="s">
        <v>642</v>
      </c>
      <c r="F2883" t="s">
        <v>657</v>
      </c>
      <c r="G2883" t="s">
        <v>1323</v>
      </c>
      <c r="R2883">
        <v>190</v>
      </c>
      <c r="S2883">
        <v>432</v>
      </c>
      <c r="T2883">
        <v>661</v>
      </c>
      <c r="U2883">
        <v>444</v>
      </c>
      <c r="V2883">
        <v>900</v>
      </c>
      <c r="W2883">
        <v>660</v>
      </c>
      <c r="X2883">
        <v>422</v>
      </c>
      <c r="Y2883">
        <v>372</v>
      </c>
      <c r="CH2883" t="str">
        <f t="shared" si="45"/>
        <v>D-0271</v>
      </c>
      <c r="CI2883" s="1" t="s">
        <v>102</v>
      </c>
    </row>
    <row r="2884" spans="1:87">
      <c r="A2884" t="s">
        <v>4556</v>
      </c>
      <c r="B2884">
        <v>2950</v>
      </c>
      <c r="C2884" t="s">
        <v>1322</v>
      </c>
      <c r="D2884" t="s">
        <v>249</v>
      </c>
      <c r="E2884" t="s">
        <v>642</v>
      </c>
      <c r="F2884" t="s">
        <v>657</v>
      </c>
      <c r="G2884" t="s">
        <v>1323</v>
      </c>
      <c r="S2884">
        <v>307</v>
      </c>
      <c r="T2884">
        <v>499</v>
      </c>
      <c r="U2884">
        <v>328</v>
      </c>
      <c r="V2884">
        <v>794</v>
      </c>
      <c r="W2884">
        <v>525</v>
      </c>
      <c r="X2884">
        <v>261</v>
      </c>
      <c r="Y2884">
        <v>236</v>
      </c>
      <c r="CH2884" t="str">
        <f t="shared" si="45"/>
        <v>D-0271</v>
      </c>
      <c r="CI2884" s="1" t="s">
        <v>102</v>
      </c>
    </row>
    <row r="2885" spans="1:87">
      <c r="A2885" t="s">
        <v>4557</v>
      </c>
      <c r="B2885">
        <v>4635</v>
      </c>
      <c r="C2885" t="s">
        <v>1322</v>
      </c>
      <c r="D2885" t="s">
        <v>249</v>
      </c>
      <c r="E2885" t="s">
        <v>642</v>
      </c>
      <c r="F2885" t="s">
        <v>657</v>
      </c>
      <c r="G2885" t="s">
        <v>1323</v>
      </c>
      <c r="Q2885">
        <v>126</v>
      </c>
      <c r="R2885">
        <v>316</v>
      </c>
      <c r="S2885">
        <v>625</v>
      </c>
      <c r="T2885">
        <v>827</v>
      </c>
      <c r="U2885">
        <v>450</v>
      </c>
      <c r="V2885">
        <v>965</v>
      </c>
      <c r="W2885">
        <v>686</v>
      </c>
      <c r="X2885">
        <v>174</v>
      </c>
      <c r="Y2885">
        <v>466</v>
      </c>
      <c r="CH2885" t="str">
        <f t="shared" si="45"/>
        <v>D-0271</v>
      </c>
      <c r="CI2885" s="1" t="s">
        <v>102</v>
      </c>
    </row>
    <row r="2886" spans="1:87">
      <c r="A2886" t="s">
        <v>4558</v>
      </c>
      <c r="B2886">
        <v>2496</v>
      </c>
      <c r="C2886" t="s">
        <v>4559</v>
      </c>
      <c r="D2886" t="s">
        <v>243</v>
      </c>
      <c r="E2886" t="s">
        <v>642</v>
      </c>
      <c r="F2886" t="s">
        <v>633</v>
      </c>
      <c r="G2886" t="s">
        <v>956</v>
      </c>
      <c r="P2886">
        <v>111</v>
      </c>
      <c r="Q2886">
        <v>256</v>
      </c>
      <c r="R2886">
        <v>380</v>
      </c>
      <c r="S2886">
        <v>571</v>
      </c>
      <c r="T2886">
        <v>509</v>
      </c>
      <c r="U2886">
        <v>302</v>
      </c>
      <c r="V2886">
        <v>274</v>
      </c>
      <c r="W2886">
        <v>71</v>
      </c>
      <c r="X2886">
        <v>22</v>
      </c>
      <c r="CH2886" t="str">
        <f t="shared" si="45"/>
        <v>D-0268</v>
      </c>
      <c r="CI2886" s="1" t="s">
        <v>102</v>
      </c>
    </row>
    <row r="2887" spans="1:87">
      <c r="A2887" t="s">
        <v>4560</v>
      </c>
      <c r="B2887">
        <v>5528</v>
      </c>
      <c r="C2887" t="s">
        <v>4559</v>
      </c>
      <c r="D2887" t="s">
        <v>243</v>
      </c>
      <c r="E2887" t="s">
        <v>642</v>
      </c>
      <c r="F2887" t="s">
        <v>633</v>
      </c>
      <c r="G2887" t="s">
        <v>956</v>
      </c>
      <c r="P2887">
        <v>193</v>
      </c>
      <c r="Q2887">
        <v>448</v>
      </c>
      <c r="R2887">
        <v>733</v>
      </c>
      <c r="S2887">
        <v>1123</v>
      </c>
      <c r="T2887">
        <v>1049</v>
      </c>
      <c r="U2887">
        <v>781</v>
      </c>
      <c r="V2887">
        <v>652</v>
      </c>
      <c r="W2887">
        <v>269</v>
      </c>
      <c r="X2887">
        <v>73</v>
      </c>
      <c r="Y2887">
        <v>57</v>
      </c>
      <c r="Z2887">
        <v>51</v>
      </c>
      <c r="AA2887">
        <v>39</v>
      </c>
      <c r="AB2887">
        <v>32</v>
      </c>
      <c r="AC2887">
        <v>18</v>
      </c>
      <c r="AD2887">
        <v>10</v>
      </c>
      <c r="CH2887" t="str">
        <f t="shared" si="45"/>
        <v>D-0268</v>
      </c>
      <c r="CI2887" s="1" t="s">
        <v>102</v>
      </c>
    </row>
    <row r="2888" spans="1:87">
      <c r="A2888" t="s">
        <v>4561</v>
      </c>
      <c r="B2888">
        <v>3422</v>
      </c>
      <c r="C2888" t="s">
        <v>4562</v>
      </c>
      <c r="D2888" t="s">
        <v>243</v>
      </c>
      <c r="E2888" t="s">
        <v>629</v>
      </c>
      <c r="F2888" t="s">
        <v>633</v>
      </c>
      <c r="G2888" t="s">
        <v>956</v>
      </c>
      <c r="S2888">
        <v>90</v>
      </c>
      <c r="T2888">
        <v>349</v>
      </c>
      <c r="U2888">
        <v>289</v>
      </c>
      <c r="V2888">
        <v>648</v>
      </c>
      <c r="W2888">
        <v>686</v>
      </c>
      <c r="X2888">
        <v>436</v>
      </c>
      <c r="Y2888">
        <v>508</v>
      </c>
      <c r="Z2888">
        <v>256</v>
      </c>
      <c r="AA2888">
        <v>82</v>
      </c>
      <c r="AB2888">
        <v>56</v>
      </c>
      <c r="AD2888">
        <v>22</v>
      </c>
      <c r="CH2888" t="str">
        <f t="shared" si="45"/>
        <v>D-0268</v>
      </c>
      <c r="CI2888" s="1" t="s">
        <v>102</v>
      </c>
    </row>
    <row r="2889" spans="1:87">
      <c r="A2889" t="s">
        <v>4563</v>
      </c>
      <c r="B2889">
        <v>1960</v>
      </c>
      <c r="C2889" t="s">
        <v>4564</v>
      </c>
      <c r="D2889" t="s">
        <v>243</v>
      </c>
      <c r="E2889" t="s">
        <v>642</v>
      </c>
      <c r="F2889" t="s">
        <v>633</v>
      </c>
      <c r="G2889" t="s">
        <v>3448</v>
      </c>
      <c r="P2889">
        <v>88</v>
      </c>
      <c r="Q2889">
        <v>201</v>
      </c>
      <c r="R2889">
        <v>298</v>
      </c>
      <c r="S2889">
        <v>447</v>
      </c>
      <c r="T2889">
        <v>400</v>
      </c>
      <c r="U2889">
        <v>237</v>
      </c>
      <c r="V2889">
        <v>215</v>
      </c>
      <c r="W2889">
        <v>56</v>
      </c>
      <c r="X2889">
        <v>18</v>
      </c>
      <c r="CH2889" t="str">
        <f t="shared" si="45"/>
        <v>D-0268</v>
      </c>
      <c r="CI2889" s="1" t="s">
        <v>102</v>
      </c>
    </row>
    <row r="2890" spans="1:87">
      <c r="A2890" t="s">
        <v>4565</v>
      </c>
      <c r="B2890">
        <v>6913</v>
      </c>
      <c r="C2890" t="s">
        <v>4564</v>
      </c>
      <c r="D2890" t="s">
        <v>243</v>
      </c>
      <c r="E2890" t="s">
        <v>642</v>
      </c>
      <c r="F2890" t="s">
        <v>633</v>
      </c>
      <c r="G2890" t="s">
        <v>3448</v>
      </c>
      <c r="P2890">
        <v>309</v>
      </c>
      <c r="Q2890">
        <v>710</v>
      </c>
      <c r="R2890">
        <v>1053</v>
      </c>
      <c r="S2890">
        <v>1583</v>
      </c>
      <c r="T2890">
        <v>1402</v>
      </c>
      <c r="U2890">
        <v>838</v>
      </c>
      <c r="V2890">
        <v>759</v>
      </c>
      <c r="W2890">
        <v>198</v>
      </c>
      <c r="X2890">
        <v>61</v>
      </c>
      <c r="CH2890" t="str">
        <f t="shared" si="45"/>
        <v>D-0268</v>
      </c>
      <c r="CI2890" s="1" t="s">
        <v>102</v>
      </c>
    </row>
    <row r="2891" spans="1:87">
      <c r="A2891" t="s">
        <v>4566</v>
      </c>
      <c r="B2891">
        <v>3448</v>
      </c>
      <c r="C2891" t="s">
        <v>4567</v>
      </c>
      <c r="D2891" t="s">
        <v>213</v>
      </c>
      <c r="E2891" t="s">
        <v>642</v>
      </c>
      <c r="F2891" t="s">
        <v>643</v>
      </c>
      <c r="G2891" t="s">
        <v>3448</v>
      </c>
      <c r="P2891">
        <v>78</v>
      </c>
      <c r="Q2891">
        <v>179</v>
      </c>
      <c r="R2891">
        <v>265</v>
      </c>
      <c r="S2891">
        <v>399</v>
      </c>
      <c r="T2891">
        <v>1420</v>
      </c>
      <c r="U2891">
        <v>848</v>
      </c>
      <c r="V2891">
        <v>192</v>
      </c>
      <c r="W2891">
        <v>51</v>
      </c>
      <c r="X2891">
        <v>16</v>
      </c>
      <c r="CH2891" t="str">
        <f t="shared" si="45"/>
        <v>D-0257</v>
      </c>
      <c r="CI2891" s="1" t="s">
        <v>102</v>
      </c>
    </row>
    <row r="2892" spans="1:87">
      <c r="A2892" t="s">
        <v>4568</v>
      </c>
      <c r="B2892">
        <v>5273</v>
      </c>
      <c r="C2892" t="s">
        <v>4567</v>
      </c>
      <c r="D2892" t="s">
        <v>213</v>
      </c>
      <c r="E2892" t="s">
        <v>642</v>
      </c>
      <c r="F2892" t="s">
        <v>643</v>
      </c>
      <c r="G2892" t="s">
        <v>3448</v>
      </c>
      <c r="P2892">
        <v>310</v>
      </c>
      <c r="Q2892">
        <v>712</v>
      </c>
      <c r="R2892">
        <v>1059</v>
      </c>
      <c r="S2892">
        <v>1593</v>
      </c>
      <c r="T2892">
        <v>354</v>
      </c>
      <c r="U2892">
        <v>212</v>
      </c>
      <c r="V2892">
        <v>768</v>
      </c>
      <c r="W2892">
        <v>202</v>
      </c>
      <c r="X2892">
        <v>63</v>
      </c>
      <c r="CH2892" t="str">
        <f t="shared" si="45"/>
        <v>D-0257</v>
      </c>
      <c r="CI2892" s="1" t="s">
        <v>102</v>
      </c>
    </row>
    <row r="2893" spans="1:87">
      <c r="A2893" t="s">
        <v>4569</v>
      </c>
      <c r="B2893">
        <v>2467</v>
      </c>
      <c r="C2893" t="s">
        <v>4567</v>
      </c>
      <c r="D2893" t="s">
        <v>213</v>
      </c>
      <c r="E2893" t="s">
        <v>642</v>
      </c>
      <c r="F2893" t="s">
        <v>643</v>
      </c>
      <c r="G2893" t="s">
        <v>3448</v>
      </c>
      <c r="P2893">
        <v>84</v>
      </c>
      <c r="Q2893">
        <v>197</v>
      </c>
      <c r="R2893">
        <v>323</v>
      </c>
      <c r="S2893">
        <v>502</v>
      </c>
      <c r="T2893">
        <v>467</v>
      </c>
      <c r="U2893">
        <v>345</v>
      </c>
      <c r="V2893">
        <v>295</v>
      </c>
      <c r="W2893">
        <v>124</v>
      </c>
      <c r="X2893">
        <v>34</v>
      </c>
      <c r="Y2893">
        <v>26</v>
      </c>
      <c r="Z2893">
        <v>24</v>
      </c>
      <c r="AA2893">
        <v>18</v>
      </c>
      <c r="AB2893">
        <v>15</v>
      </c>
      <c r="AC2893">
        <v>8</v>
      </c>
      <c r="AD2893">
        <v>5</v>
      </c>
      <c r="CH2893" t="str">
        <f t="shared" si="45"/>
        <v>D-0257</v>
      </c>
      <c r="CI2893" s="1" t="s">
        <v>102</v>
      </c>
    </row>
    <row r="2894" spans="1:87">
      <c r="A2894" t="s">
        <v>4570</v>
      </c>
      <c r="B2894">
        <v>6977</v>
      </c>
      <c r="C2894" t="s">
        <v>4571</v>
      </c>
      <c r="D2894" t="s">
        <v>213</v>
      </c>
      <c r="E2894" t="s">
        <v>642</v>
      </c>
      <c r="F2894" t="s">
        <v>643</v>
      </c>
      <c r="G2894" t="s">
        <v>2283</v>
      </c>
      <c r="P2894">
        <v>90</v>
      </c>
      <c r="Q2894">
        <v>104</v>
      </c>
      <c r="R2894">
        <v>468</v>
      </c>
      <c r="S2894">
        <v>469</v>
      </c>
      <c r="T2894">
        <v>930</v>
      </c>
      <c r="U2894">
        <v>788</v>
      </c>
      <c r="V2894">
        <v>1146</v>
      </c>
      <c r="W2894">
        <v>779</v>
      </c>
      <c r="X2894">
        <v>851</v>
      </c>
      <c r="Y2894">
        <v>439</v>
      </c>
      <c r="Z2894">
        <v>503</v>
      </c>
      <c r="AA2894">
        <v>104</v>
      </c>
      <c r="AB2894">
        <v>182</v>
      </c>
      <c r="AC2894">
        <v>56</v>
      </c>
      <c r="AD2894">
        <v>68</v>
      </c>
      <c r="CH2894" t="str">
        <f t="shared" si="45"/>
        <v>D-0257</v>
      </c>
      <c r="CI2894" s="1" t="s">
        <v>102</v>
      </c>
    </row>
    <row r="2895" spans="1:87">
      <c r="A2895" t="s">
        <v>4572</v>
      </c>
      <c r="B2895">
        <v>3502</v>
      </c>
      <c r="C2895" t="s">
        <v>4571</v>
      </c>
      <c r="D2895" t="s">
        <v>213</v>
      </c>
      <c r="E2895" t="s">
        <v>642</v>
      </c>
      <c r="F2895" t="s">
        <v>643</v>
      </c>
      <c r="G2895" t="s">
        <v>2283</v>
      </c>
      <c r="P2895">
        <v>45</v>
      </c>
      <c r="Q2895">
        <v>52</v>
      </c>
      <c r="R2895">
        <v>235</v>
      </c>
      <c r="S2895">
        <v>236</v>
      </c>
      <c r="T2895">
        <v>463</v>
      </c>
      <c r="U2895">
        <v>395</v>
      </c>
      <c r="V2895">
        <v>573</v>
      </c>
      <c r="W2895">
        <v>391</v>
      </c>
      <c r="X2895">
        <v>426</v>
      </c>
      <c r="Y2895">
        <v>221</v>
      </c>
      <c r="Z2895">
        <v>253</v>
      </c>
      <c r="AA2895">
        <v>54</v>
      </c>
      <c r="AB2895">
        <v>93</v>
      </c>
      <c r="AC2895">
        <v>29</v>
      </c>
      <c r="AD2895">
        <v>36</v>
      </c>
      <c r="CH2895" t="str">
        <f t="shared" si="45"/>
        <v>D-0257</v>
      </c>
      <c r="CI2895" s="1" t="s">
        <v>102</v>
      </c>
    </row>
    <row r="2896" spans="1:87">
      <c r="A2896" t="s">
        <v>4573</v>
      </c>
      <c r="B2896">
        <v>6973</v>
      </c>
      <c r="C2896" t="s">
        <v>4571</v>
      </c>
      <c r="D2896" t="s">
        <v>213</v>
      </c>
      <c r="E2896" t="s">
        <v>642</v>
      </c>
      <c r="F2896" t="s">
        <v>643</v>
      </c>
      <c r="G2896" t="s">
        <v>2283</v>
      </c>
      <c r="P2896">
        <v>90</v>
      </c>
      <c r="Q2896">
        <v>104</v>
      </c>
      <c r="R2896">
        <v>468</v>
      </c>
      <c r="S2896">
        <v>469</v>
      </c>
      <c r="T2896">
        <v>926</v>
      </c>
      <c r="U2896">
        <v>788</v>
      </c>
      <c r="V2896">
        <v>1146</v>
      </c>
      <c r="W2896">
        <v>779</v>
      </c>
      <c r="X2896">
        <v>851</v>
      </c>
      <c r="Y2896">
        <v>439</v>
      </c>
      <c r="Z2896">
        <v>503</v>
      </c>
      <c r="AA2896">
        <v>104</v>
      </c>
      <c r="AB2896">
        <v>182</v>
      </c>
      <c r="AC2896">
        <v>56</v>
      </c>
      <c r="AD2896">
        <v>68</v>
      </c>
      <c r="CH2896" t="str">
        <f t="shared" si="45"/>
        <v>D-0257</v>
      </c>
      <c r="CI2896" s="1" t="s">
        <v>102</v>
      </c>
    </row>
    <row r="2897" spans="1:87">
      <c r="A2897" t="s">
        <v>4574</v>
      </c>
      <c r="B2897">
        <v>9245</v>
      </c>
      <c r="C2897" t="s">
        <v>4575</v>
      </c>
      <c r="D2897" t="s">
        <v>444</v>
      </c>
      <c r="E2897" t="s">
        <v>642</v>
      </c>
      <c r="F2897" t="s">
        <v>636</v>
      </c>
      <c r="G2897" t="s">
        <v>4576</v>
      </c>
      <c r="P2897">
        <v>192</v>
      </c>
      <c r="Q2897">
        <v>241</v>
      </c>
      <c r="R2897">
        <v>764</v>
      </c>
      <c r="S2897">
        <v>968</v>
      </c>
      <c r="T2897">
        <v>1212</v>
      </c>
      <c r="U2897">
        <v>1181</v>
      </c>
      <c r="V2897">
        <v>1371</v>
      </c>
      <c r="W2897">
        <v>1076</v>
      </c>
      <c r="X2897">
        <v>893</v>
      </c>
      <c r="Y2897">
        <v>533</v>
      </c>
      <c r="Z2897">
        <v>518</v>
      </c>
      <c r="AA2897">
        <v>48</v>
      </c>
      <c r="AB2897">
        <v>153</v>
      </c>
      <c r="AC2897">
        <v>28</v>
      </c>
      <c r="AD2897">
        <v>67</v>
      </c>
      <c r="CH2897" t="str">
        <f t="shared" si="45"/>
        <v>D-0686</v>
      </c>
      <c r="CI2897" s="1" t="s">
        <v>102</v>
      </c>
    </row>
    <row r="2898" spans="1:87">
      <c r="A2898" t="s">
        <v>4578</v>
      </c>
      <c r="B2898">
        <v>6486</v>
      </c>
      <c r="C2898" t="s">
        <v>1045</v>
      </c>
      <c r="D2898" t="s">
        <v>223</v>
      </c>
      <c r="E2898" t="s">
        <v>629</v>
      </c>
      <c r="F2898" t="s">
        <v>693</v>
      </c>
      <c r="G2898" t="s">
        <v>2283</v>
      </c>
      <c r="R2898">
        <v>44</v>
      </c>
      <c r="S2898">
        <v>44</v>
      </c>
      <c r="T2898">
        <v>160</v>
      </c>
      <c r="U2898">
        <v>276</v>
      </c>
      <c r="V2898">
        <v>446</v>
      </c>
      <c r="W2898">
        <v>414</v>
      </c>
      <c r="X2898">
        <v>333</v>
      </c>
      <c r="Y2898">
        <v>222</v>
      </c>
      <c r="Z2898">
        <v>823</v>
      </c>
      <c r="AA2898">
        <v>599</v>
      </c>
      <c r="AB2898">
        <v>834</v>
      </c>
      <c r="AC2898">
        <v>825</v>
      </c>
      <c r="AD2898">
        <v>714</v>
      </c>
      <c r="AE2898">
        <v>27</v>
      </c>
      <c r="AF2898">
        <v>650</v>
      </c>
      <c r="AH2898">
        <v>56</v>
      </c>
      <c r="AJ2898">
        <v>19</v>
      </c>
      <c r="CH2898" t="str">
        <f t="shared" si="45"/>
        <v>D-0263</v>
      </c>
      <c r="CI2898" s="1" t="s">
        <v>102</v>
      </c>
    </row>
    <row r="2899" spans="1:87">
      <c r="A2899" t="s">
        <v>4579</v>
      </c>
      <c r="B2899">
        <v>2</v>
      </c>
      <c r="C2899" t="s">
        <v>743</v>
      </c>
      <c r="D2899" t="s">
        <v>223</v>
      </c>
      <c r="E2899" t="s">
        <v>629</v>
      </c>
      <c r="F2899" t="s">
        <v>693</v>
      </c>
      <c r="G2899" t="s">
        <v>4580</v>
      </c>
      <c r="V2899">
        <v>1</v>
      </c>
      <c r="X2899">
        <v>1</v>
      </c>
      <c r="CH2899" t="str">
        <f t="shared" si="45"/>
        <v>D-0263</v>
      </c>
      <c r="CI2899" s="1" t="s">
        <v>102</v>
      </c>
    </row>
    <row r="2900" spans="1:87">
      <c r="A2900" t="s">
        <v>4581</v>
      </c>
      <c r="B2900">
        <v>6793</v>
      </c>
      <c r="C2900" t="s">
        <v>1045</v>
      </c>
      <c r="D2900" t="s">
        <v>223</v>
      </c>
      <c r="E2900" t="s">
        <v>629</v>
      </c>
      <c r="F2900" t="s">
        <v>693</v>
      </c>
      <c r="G2900" t="s">
        <v>2283</v>
      </c>
      <c r="R2900">
        <v>6</v>
      </c>
      <c r="S2900">
        <v>7</v>
      </c>
      <c r="T2900">
        <v>311</v>
      </c>
      <c r="U2900">
        <v>409</v>
      </c>
      <c r="V2900">
        <v>558</v>
      </c>
      <c r="W2900">
        <v>595</v>
      </c>
      <c r="X2900">
        <v>715</v>
      </c>
      <c r="Y2900">
        <v>711</v>
      </c>
      <c r="Z2900">
        <v>689</v>
      </c>
      <c r="AA2900">
        <v>649</v>
      </c>
      <c r="AB2900">
        <v>627</v>
      </c>
      <c r="AC2900">
        <v>293</v>
      </c>
      <c r="AD2900">
        <v>501</v>
      </c>
      <c r="AE2900">
        <v>11</v>
      </c>
      <c r="AF2900">
        <v>339</v>
      </c>
      <c r="AH2900">
        <v>215</v>
      </c>
      <c r="AJ2900">
        <v>157</v>
      </c>
      <c r="CH2900" t="str">
        <f t="shared" si="45"/>
        <v>D-0263</v>
      </c>
      <c r="CI2900" s="1" t="s">
        <v>102</v>
      </c>
    </row>
    <row r="2901" spans="1:87">
      <c r="A2901" t="s">
        <v>4582</v>
      </c>
      <c r="B2901">
        <v>170</v>
      </c>
      <c r="C2901" t="s">
        <v>3040</v>
      </c>
      <c r="D2901" t="s">
        <v>3041</v>
      </c>
      <c r="E2901" t="s">
        <v>676</v>
      </c>
      <c r="F2901" t="s">
        <v>3042</v>
      </c>
      <c r="G2901" t="s">
        <v>3043</v>
      </c>
      <c r="R2901">
        <v>15</v>
      </c>
      <c r="S2901">
        <v>33</v>
      </c>
      <c r="T2901">
        <v>35</v>
      </c>
      <c r="U2901">
        <v>35</v>
      </c>
      <c r="V2901">
        <v>9</v>
      </c>
      <c r="W2901">
        <v>43</v>
      </c>
      <c r="CH2901" t="str">
        <f t="shared" si="45"/>
        <v>D-0673</v>
      </c>
      <c r="CI2901" s="1" t="s">
        <v>102</v>
      </c>
    </row>
    <row r="2902" spans="1:87">
      <c r="A2902" t="s">
        <v>4583</v>
      </c>
      <c r="B2902">
        <v>2146</v>
      </c>
      <c r="C2902" t="s">
        <v>3040</v>
      </c>
      <c r="D2902" t="s">
        <v>3041</v>
      </c>
      <c r="E2902" t="s">
        <v>676</v>
      </c>
      <c r="F2902" t="s">
        <v>3042</v>
      </c>
      <c r="G2902" t="s">
        <v>3043</v>
      </c>
      <c r="R2902">
        <v>27</v>
      </c>
      <c r="S2902">
        <v>29</v>
      </c>
      <c r="T2902">
        <v>42</v>
      </c>
      <c r="U2902">
        <v>48</v>
      </c>
      <c r="V2902">
        <v>153</v>
      </c>
      <c r="W2902">
        <v>174</v>
      </c>
      <c r="X2902">
        <v>250</v>
      </c>
      <c r="Y2902">
        <v>294</v>
      </c>
      <c r="Z2902">
        <v>290</v>
      </c>
      <c r="AA2902">
        <v>205</v>
      </c>
      <c r="AB2902">
        <v>210</v>
      </c>
      <c r="AC2902">
        <v>99</v>
      </c>
      <c r="AD2902">
        <v>168</v>
      </c>
      <c r="AF2902">
        <v>111</v>
      </c>
      <c r="AH2902">
        <v>46</v>
      </c>
      <c r="CH2902" t="str">
        <f t="shared" si="45"/>
        <v>D-0673</v>
      </c>
      <c r="CI2902" s="1" t="s">
        <v>102</v>
      </c>
    </row>
    <row r="2903" spans="1:87">
      <c r="A2903" t="s">
        <v>4585</v>
      </c>
      <c r="B2903">
        <v>6206</v>
      </c>
      <c r="C2903" t="s">
        <v>975</v>
      </c>
      <c r="D2903" t="s">
        <v>365</v>
      </c>
      <c r="E2903" t="s">
        <v>642</v>
      </c>
      <c r="F2903" t="s">
        <v>706</v>
      </c>
      <c r="G2903" t="s">
        <v>737</v>
      </c>
      <c r="N2903">
        <v>60</v>
      </c>
      <c r="Q2903">
        <v>420</v>
      </c>
      <c r="R2903">
        <v>756</v>
      </c>
      <c r="S2903">
        <v>1644</v>
      </c>
      <c r="T2903">
        <v>1646</v>
      </c>
      <c r="U2903">
        <v>1356</v>
      </c>
      <c r="V2903">
        <v>156</v>
      </c>
      <c r="W2903">
        <v>168</v>
      </c>
      <c r="CH2903" t="str">
        <f t="shared" si="45"/>
        <v>D-0524</v>
      </c>
      <c r="CI2903" s="1" t="s">
        <v>102</v>
      </c>
    </row>
    <row r="2904" spans="1:87">
      <c r="A2904" t="s">
        <v>4586</v>
      </c>
      <c r="B2904">
        <v>3171</v>
      </c>
      <c r="C2904" t="s">
        <v>3739</v>
      </c>
      <c r="D2904" t="s">
        <v>251</v>
      </c>
      <c r="E2904" t="s">
        <v>629</v>
      </c>
      <c r="F2904" t="s">
        <v>657</v>
      </c>
      <c r="G2904" t="s">
        <v>3740</v>
      </c>
      <c r="N2904">
        <v>9</v>
      </c>
      <c r="O2904">
        <v>17</v>
      </c>
      <c r="P2904">
        <v>30</v>
      </c>
      <c r="Q2904">
        <v>44</v>
      </c>
      <c r="R2904">
        <v>82</v>
      </c>
      <c r="S2904">
        <v>111</v>
      </c>
      <c r="T2904">
        <v>136</v>
      </c>
      <c r="U2904">
        <v>106</v>
      </c>
      <c r="V2904">
        <v>275</v>
      </c>
      <c r="W2904">
        <v>266</v>
      </c>
      <c r="X2904">
        <v>323</v>
      </c>
      <c r="Y2904">
        <v>320</v>
      </c>
      <c r="Z2904">
        <v>336</v>
      </c>
      <c r="AA2904">
        <v>219</v>
      </c>
      <c r="AB2904">
        <v>295</v>
      </c>
      <c r="AC2904">
        <v>134</v>
      </c>
      <c r="AD2904">
        <v>206</v>
      </c>
      <c r="AE2904">
        <v>74</v>
      </c>
      <c r="AF2904">
        <v>96</v>
      </c>
      <c r="AH2904">
        <v>54</v>
      </c>
      <c r="AJ2904">
        <v>38</v>
      </c>
      <c r="CH2904" t="str">
        <f t="shared" si="45"/>
        <v>D-0272</v>
      </c>
      <c r="CI2904" s="1" t="s">
        <v>102</v>
      </c>
    </row>
    <row r="2905" spans="1:87">
      <c r="A2905" t="s">
        <v>4587</v>
      </c>
      <c r="B2905">
        <v>4517</v>
      </c>
      <c r="C2905" t="s">
        <v>2811</v>
      </c>
      <c r="D2905" t="s">
        <v>319</v>
      </c>
      <c r="E2905" t="s">
        <v>629</v>
      </c>
      <c r="F2905" t="s">
        <v>695</v>
      </c>
      <c r="G2905" t="s">
        <v>2593</v>
      </c>
      <c r="R2905">
        <v>70</v>
      </c>
      <c r="T2905">
        <v>273</v>
      </c>
      <c r="U2905">
        <v>305</v>
      </c>
      <c r="V2905">
        <v>444</v>
      </c>
      <c r="W2905">
        <v>504</v>
      </c>
      <c r="X2905">
        <v>649</v>
      </c>
      <c r="Y2905">
        <v>593</v>
      </c>
      <c r="Z2905">
        <v>941</v>
      </c>
      <c r="AA2905">
        <v>25</v>
      </c>
      <c r="AB2905">
        <v>415</v>
      </c>
      <c r="AD2905">
        <v>224</v>
      </c>
      <c r="AE2905">
        <v>43</v>
      </c>
      <c r="AF2905">
        <v>31</v>
      </c>
      <c r="CH2905" t="str">
        <f t="shared" si="45"/>
        <v>D-0470</v>
      </c>
      <c r="CI2905" s="1" t="s">
        <v>102</v>
      </c>
    </row>
    <row r="2906" spans="1:87">
      <c r="A2906" t="s">
        <v>5169</v>
      </c>
      <c r="B2906">
        <v>2015</v>
      </c>
      <c r="C2906" t="s">
        <v>771</v>
      </c>
      <c r="D2906" t="s">
        <v>251</v>
      </c>
      <c r="E2906" t="s">
        <v>629</v>
      </c>
      <c r="F2906" t="s">
        <v>657</v>
      </c>
      <c r="G2906" t="s">
        <v>3420</v>
      </c>
      <c r="V2906">
        <v>108</v>
      </c>
      <c r="X2906">
        <v>302</v>
      </c>
      <c r="Y2906">
        <v>108</v>
      </c>
      <c r="Z2906">
        <v>630</v>
      </c>
      <c r="AA2906">
        <v>85</v>
      </c>
      <c r="AB2906">
        <v>423</v>
      </c>
      <c r="AC2906">
        <v>72</v>
      </c>
      <c r="AD2906">
        <v>244</v>
      </c>
      <c r="AF2906">
        <v>43</v>
      </c>
      <c r="CH2906" t="str">
        <f t="shared" si="45"/>
        <v>D-0272</v>
      </c>
      <c r="CI2906" s="1" t="s">
        <v>102</v>
      </c>
    </row>
    <row r="2907" spans="1:87">
      <c r="A2907" t="s">
        <v>4592</v>
      </c>
      <c r="B2907">
        <v>6518</v>
      </c>
      <c r="C2907" t="s">
        <v>730</v>
      </c>
      <c r="D2907" t="s">
        <v>138</v>
      </c>
      <c r="E2907" t="s">
        <v>642</v>
      </c>
      <c r="F2907" t="s">
        <v>693</v>
      </c>
      <c r="G2907" t="s">
        <v>2283</v>
      </c>
      <c r="P2907">
        <v>374</v>
      </c>
      <c r="Q2907">
        <v>264</v>
      </c>
      <c r="R2907">
        <v>948</v>
      </c>
      <c r="S2907">
        <v>714</v>
      </c>
      <c r="T2907">
        <v>1660</v>
      </c>
      <c r="U2907">
        <v>600</v>
      </c>
      <c r="V2907">
        <v>1128</v>
      </c>
      <c r="W2907">
        <v>330</v>
      </c>
      <c r="X2907">
        <v>458</v>
      </c>
      <c r="Y2907">
        <v>36</v>
      </c>
      <c r="AA2907">
        <v>6</v>
      </c>
      <c r="CH2907" t="str">
        <f t="shared" si="45"/>
        <v>D-0045</v>
      </c>
      <c r="CI2907" s="1" t="s">
        <v>102</v>
      </c>
    </row>
    <row r="2908" spans="1:87">
      <c r="A2908" t="s">
        <v>4593</v>
      </c>
      <c r="B2908">
        <v>5</v>
      </c>
      <c r="C2908" t="s">
        <v>730</v>
      </c>
      <c r="D2908" t="s">
        <v>138</v>
      </c>
      <c r="E2908" t="s">
        <v>642</v>
      </c>
      <c r="F2908" t="s">
        <v>693</v>
      </c>
      <c r="G2908" t="s">
        <v>2283</v>
      </c>
      <c r="P2908">
        <v>5</v>
      </c>
      <c r="CH2908" t="str">
        <f t="shared" si="45"/>
        <v>D-0045</v>
      </c>
      <c r="CI2908" s="1" t="s">
        <v>102</v>
      </c>
    </row>
    <row r="2909" spans="1:87">
      <c r="A2909" t="s">
        <v>4594</v>
      </c>
      <c r="B2909">
        <v>913</v>
      </c>
      <c r="C2909" t="s">
        <v>4595</v>
      </c>
      <c r="D2909" t="s">
        <v>138</v>
      </c>
      <c r="E2909" t="s">
        <v>642</v>
      </c>
      <c r="F2909" t="s">
        <v>633</v>
      </c>
      <c r="G2909" t="s">
        <v>4596</v>
      </c>
      <c r="P2909">
        <v>73</v>
      </c>
      <c r="Q2909">
        <v>101</v>
      </c>
      <c r="R2909">
        <v>114</v>
      </c>
      <c r="S2909">
        <v>168</v>
      </c>
      <c r="T2909">
        <v>129</v>
      </c>
      <c r="U2909">
        <v>62</v>
      </c>
      <c r="V2909">
        <v>72</v>
      </c>
      <c r="W2909">
        <v>73</v>
      </c>
      <c r="X2909">
        <v>52</v>
      </c>
      <c r="Y2909">
        <v>34</v>
      </c>
      <c r="Z2909">
        <v>35</v>
      </c>
      <c r="CH2909" t="str">
        <f t="shared" si="45"/>
        <v>D-0045</v>
      </c>
      <c r="CI2909" s="1" t="s">
        <v>102</v>
      </c>
    </row>
    <row r="2910" spans="1:87">
      <c r="A2910" t="s">
        <v>5170</v>
      </c>
      <c r="B2910">
        <v>2363</v>
      </c>
      <c r="C2910" t="s">
        <v>4597</v>
      </c>
      <c r="D2910" t="s">
        <v>138</v>
      </c>
      <c r="E2910" t="s">
        <v>642</v>
      </c>
      <c r="F2910" t="s">
        <v>693</v>
      </c>
      <c r="G2910" t="s">
        <v>3448</v>
      </c>
      <c r="P2910">
        <v>101</v>
      </c>
      <c r="Q2910">
        <v>216</v>
      </c>
      <c r="R2910">
        <v>268</v>
      </c>
      <c r="S2910">
        <v>466</v>
      </c>
      <c r="T2910">
        <v>366</v>
      </c>
      <c r="U2910">
        <v>339</v>
      </c>
      <c r="V2910">
        <v>143</v>
      </c>
      <c r="W2910">
        <v>247</v>
      </c>
      <c r="X2910">
        <v>65</v>
      </c>
      <c r="Y2910">
        <v>93</v>
      </c>
      <c r="Z2910">
        <v>47</v>
      </c>
      <c r="AA2910">
        <v>12</v>
      </c>
      <c r="CH2910" t="str">
        <f t="shared" si="45"/>
        <v>D-0045</v>
      </c>
      <c r="CI2910" s="1" t="s">
        <v>102</v>
      </c>
    </row>
    <row r="2911" spans="1:87">
      <c r="A2911" t="s">
        <v>4598</v>
      </c>
      <c r="B2911">
        <v>39</v>
      </c>
      <c r="C2911" t="s">
        <v>4597</v>
      </c>
      <c r="D2911" t="s">
        <v>138</v>
      </c>
      <c r="E2911" t="s">
        <v>642</v>
      </c>
      <c r="F2911" t="s">
        <v>693</v>
      </c>
      <c r="G2911" t="s">
        <v>3448</v>
      </c>
      <c r="P2911">
        <v>3</v>
      </c>
      <c r="Q2911">
        <v>3</v>
      </c>
      <c r="R2911">
        <v>3</v>
      </c>
      <c r="S2911">
        <v>2</v>
      </c>
      <c r="T2911">
        <v>2</v>
      </c>
      <c r="U2911">
        <v>2</v>
      </c>
      <c r="V2911">
        <v>2</v>
      </c>
      <c r="W2911">
        <v>3</v>
      </c>
      <c r="X2911">
        <v>3</v>
      </c>
      <c r="Y2911">
        <v>3</v>
      </c>
      <c r="Z2911">
        <v>3</v>
      </c>
      <c r="AA2911">
        <v>3</v>
      </c>
      <c r="AB2911">
        <v>3</v>
      </c>
      <c r="AC2911">
        <v>2</v>
      </c>
      <c r="AD2911">
        <v>2</v>
      </c>
      <c r="CH2911" t="str">
        <f t="shared" si="45"/>
        <v>D-0045</v>
      </c>
      <c r="CI2911" s="1" t="s">
        <v>102</v>
      </c>
    </row>
    <row r="2912" spans="1:87">
      <c r="A2912" t="s">
        <v>4599</v>
      </c>
      <c r="B2912">
        <v>4210</v>
      </c>
      <c r="C2912" t="s">
        <v>3399</v>
      </c>
      <c r="D2912" t="s">
        <v>210</v>
      </c>
      <c r="E2912" t="s">
        <v>642</v>
      </c>
      <c r="F2912" t="s">
        <v>633</v>
      </c>
      <c r="G2912" t="s">
        <v>2283</v>
      </c>
      <c r="P2912">
        <v>36</v>
      </c>
      <c r="Q2912">
        <v>176</v>
      </c>
      <c r="R2912">
        <v>365</v>
      </c>
      <c r="S2912">
        <v>378</v>
      </c>
      <c r="T2912">
        <v>695</v>
      </c>
      <c r="U2912">
        <v>526</v>
      </c>
      <c r="V2912">
        <v>570</v>
      </c>
      <c r="W2912">
        <v>387</v>
      </c>
      <c r="X2912">
        <v>338</v>
      </c>
      <c r="Y2912">
        <v>240</v>
      </c>
      <c r="Z2912">
        <v>192</v>
      </c>
      <c r="AA2912">
        <v>126</v>
      </c>
      <c r="AB2912">
        <v>84</v>
      </c>
      <c r="AC2912">
        <v>58</v>
      </c>
      <c r="AD2912">
        <v>39</v>
      </c>
      <c r="CH2912" t="str">
        <f t="shared" si="45"/>
        <v>D-0256</v>
      </c>
      <c r="CI2912" s="1" t="s">
        <v>102</v>
      </c>
    </row>
    <row r="2913" spans="1:87">
      <c r="A2913" t="s">
        <v>4600</v>
      </c>
      <c r="B2913">
        <v>3470</v>
      </c>
      <c r="C2913" t="s">
        <v>4601</v>
      </c>
      <c r="D2913" t="s">
        <v>210</v>
      </c>
      <c r="E2913" t="s">
        <v>642</v>
      </c>
      <c r="F2913" t="s">
        <v>633</v>
      </c>
      <c r="G2913" t="s">
        <v>4602</v>
      </c>
      <c r="P2913">
        <v>46</v>
      </c>
      <c r="Q2913">
        <v>138</v>
      </c>
      <c r="R2913">
        <v>296</v>
      </c>
      <c r="S2913">
        <v>294</v>
      </c>
      <c r="T2913">
        <v>498</v>
      </c>
      <c r="U2913">
        <v>499</v>
      </c>
      <c r="V2913">
        <v>381</v>
      </c>
      <c r="W2913">
        <v>390</v>
      </c>
      <c r="X2913">
        <v>295</v>
      </c>
      <c r="Y2913">
        <v>224</v>
      </c>
      <c r="Z2913">
        <v>167</v>
      </c>
      <c r="AA2913">
        <v>110</v>
      </c>
      <c r="AB2913">
        <v>66</v>
      </c>
      <c r="AC2913">
        <v>42</v>
      </c>
      <c r="AD2913">
        <v>24</v>
      </c>
      <c r="CH2913" t="str">
        <f t="shared" si="45"/>
        <v>D-0256</v>
      </c>
      <c r="CI2913" s="1" t="s">
        <v>102</v>
      </c>
    </row>
    <row r="2914" spans="1:87">
      <c r="A2914" t="s">
        <v>4603</v>
      </c>
      <c r="B2914">
        <v>114</v>
      </c>
      <c r="C2914" t="s">
        <v>4604</v>
      </c>
      <c r="D2914" t="s">
        <v>238</v>
      </c>
      <c r="E2914" t="s">
        <v>642</v>
      </c>
      <c r="F2914" t="s">
        <v>645</v>
      </c>
      <c r="G2914" t="s">
        <v>2283</v>
      </c>
      <c r="S2914">
        <v>18</v>
      </c>
      <c r="U2914">
        <v>36</v>
      </c>
      <c r="W2914">
        <v>36</v>
      </c>
      <c r="Y2914">
        <v>18</v>
      </c>
      <c r="AA2914">
        <v>6</v>
      </c>
      <c r="CH2914" t="str">
        <f t="shared" si="45"/>
        <v>D-0267</v>
      </c>
      <c r="CI2914" s="1" t="s">
        <v>102</v>
      </c>
    </row>
    <row r="2915" spans="1:87">
      <c r="A2915" t="s">
        <v>4605</v>
      </c>
      <c r="B2915">
        <v>180</v>
      </c>
      <c r="C2915" t="s">
        <v>4604</v>
      </c>
      <c r="D2915" t="s">
        <v>238</v>
      </c>
      <c r="E2915" t="s">
        <v>642</v>
      </c>
      <c r="F2915" t="s">
        <v>645</v>
      </c>
      <c r="G2915" t="s">
        <v>2283</v>
      </c>
      <c r="Q2915">
        <v>6</v>
      </c>
      <c r="S2915">
        <v>30</v>
      </c>
      <c r="U2915">
        <v>60</v>
      </c>
      <c r="W2915">
        <v>60</v>
      </c>
      <c r="Y2915">
        <v>24</v>
      </c>
      <c r="CH2915" t="str">
        <f t="shared" si="45"/>
        <v>D-0267</v>
      </c>
      <c r="CI2915" s="1" t="s">
        <v>102</v>
      </c>
    </row>
    <row r="2916" spans="1:87">
      <c r="A2916" t="s">
        <v>4606</v>
      </c>
      <c r="B2916">
        <v>24</v>
      </c>
      <c r="C2916" t="s">
        <v>4604</v>
      </c>
      <c r="D2916" t="s">
        <v>238</v>
      </c>
      <c r="E2916" t="s">
        <v>642</v>
      </c>
      <c r="F2916" t="s">
        <v>645</v>
      </c>
      <c r="G2916" t="s">
        <v>2283</v>
      </c>
      <c r="S2916">
        <v>6</v>
      </c>
      <c r="U2916">
        <v>6</v>
      </c>
      <c r="W2916">
        <v>6</v>
      </c>
      <c r="Y2916">
        <v>6</v>
      </c>
      <c r="CH2916" t="str">
        <f t="shared" si="45"/>
        <v>D-0267</v>
      </c>
      <c r="CI2916" s="1" t="s">
        <v>102</v>
      </c>
    </row>
    <row r="2917" spans="1:87">
      <c r="A2917" t="s">
        <v>4607</v>
      </c>
      <c r="B2917">
        <v>192</v>
      </c>
      <c r="C2917" t="s">
        <v>4604</v>
      </c>
      <c r="D2917" t="s">
        <v>238</v>
      </c>
      <c r="E2917" t="s">
        <v>642</v>
      </c>
      <c r="F2917" t="s">
        <v>645</v>
      </c>
      <c r="G2917" t="s">
        <v>2283</v>
      </c>
      <c r="Q2917">
        <v>6</v>
      </c>
      <c r="S2917">
        <v>30</v>
      </c>
      <c r="U2917">
        <v>54</v>
      </c>
      <c r="W2917">
        <v>54</v>
      </c>
      <c r="Y2917">
        <v>36</v>
      </c>
      <c r="AA2917">
        <v>6</v>
      </c>
      <c r="AC2917">
        <v>6</v>
      </c>
      <c r="CH2917" t="str">
        <f t="shared" si="45"/>
        <v>D-0267</v>
      </c>
      <c r="CI2917" s="1" t="s">
        <v>102</v>
      </c>
    </row>
    <row r="2918" spans="1:87">
      <c r="A2918" t="s">
        <v>4608</v>
      </c>
      <c r="B2918">
        <v>60</v>
      </c>
      <c r="C2918" t="s">
        <v>4604</v>
      </c>
      <c r="D2918" t="s">
        <v>238</v>
      </c>
      <c r="E2918" t="s">
        <v>642</v>
      </c>
      <c r="F2918" t="s">
        <v>645</v>
      </c>
      <c r="G2918" t="s">
        <v>2283</v>
      </c>
      <c r="S2918">
        <v>12</v>
      </c>
      <c r="U2918">
        <v>18</v>
      </c>
      <c r="W2918">
        <v>18</v>
      </c>
      <c r="Y2918">
        <v>12</v>
      </c>
      <c r="CH2918" t="str">
        <f t="shared" si="45"/>
        <v>D-0267</v>
      </c>
      <c r="CI2918" s="1" t="s">
        <v>102</v>
      </c>
    </row>
    <row r="2919" spans="1:87">
      <c r="A2919" t="s">
        <v>4609</v>
      </c>
      <c r="B2919">
        <v>120</v>
      </c>
      <c r="C2919" t="s">
        <v>4604</v>
      </c>
      <c r="D2919" t="s">
        <v>238</v>
      </c>
      <c r="E2919" t="s">
        <v>642</v>
      </c>
      <c r="F2919" t="s">
        <v>645</v>
      </c>
      <c r="G2919" t="s">
        <v>2283</v>
      </c>
      <c r="S2919">
        <v>24</v>
      </c>
      <c r="U2919">
        <v>36</v>
      </c>
      <c r="W2919">
        <v>36</v>
      </c>
      <c r="Y2919">
        <v>18</v>
      </c>
      <c r="AA2919">
        <v>6</v>
      </c>
      <c r="CH2919" t="str">
        <f t="shared" si="45"/>
        <v>D-0267</v>
      </c>
      <c r="CI2919" s="1" t="s">
        <v>102</v>
      </c>
    </row>
    <row r="2920" spans="1:87">
      <c r="A2920" t="s">
        <v>4610</v>
      </c>
      <c r="B2920">
        <v>168</v>
      </c>
      <c r="C2920" t="s">
        <v>4604</v>
      </c>
      <c r="D2920" t="s">
        <v>238</v>
      </c>
      <c r="E2920" t="s">
        <v>642</v>
      </c>
      <c r="F2920" t="s">
        <v>645</v>
      </c>
      <c r="G2920" t="s">
        <v>2283</v>
      </c>
      <c r="R2920">
        <v>12</v>
      </c>
      <c r="S2920">
        <v>18</v>
      </c>
      <c r="T2920">
        <v>30</v>
      </c>
      <c r="U2920">
        <v>24</v>
      </c>
      <c r="V2920">
        <v>36</v>
      </c>
      <c r="W2920">
        <v>30</v>
      </c>
      <c r="X2920">
        <v>12</v>
      </c>
      <c r="Y2920">
        <v>6</v>
      </c>
      <c r="CH2920" t="str">
        <f t="shared" si="45"/>
        <v>D-0267</v>
      </c>
      <c r="CI2920" s="1" t="s">
        <v>102</v>
      </c>
    </row>
    <row r="2921" spans="1:87">
      <c r="A2921" t="s">
        <v>4611</v>
      </c>
      <c r="B2921">
        <v>138</v>
      </c>
      <c r="C2921" t="s">
        <v>4604</v>
      </c>
      <c r="D2921" t="s">
        <v>238</v>
      </c>
      <c r="E2921" t="s">
        <v>642</v>
      </c>
      <c r="F2921" t="s">
        <v>645</v>
      </c>
      <c r="G2921" t="s">
        <v>2283</v>
      </c>
      <c r="R2921">
        <v>18</v>
      </c>
      <c r="S2921">
        <v>6</v>
      </c>
      <c r="T2921">
        <v>36</v>
      </c>
      <c r="U2921">
        <v>12</v>
      </c>
      <c r="V2921">
        <v>36</v>
      </c>
      <c r="W2921">
        <v>12</v>
      </c>
      <c r="X2921">
        <v>18</v>
      </c>
      <c r="CH2921" t="str">
        <f t="shared" si="45"/>
        <v>D-0267</v>
      </c>
      <c r="CI2921" s="1" t="s">
        <v>102</v>
      </c>
    </row>
    <row r="2922" spans="1:87">
      <c r="A2922" t="s">
        <v>4612</v>
      </c>
      <c r="B2922">
        <v>807</v>
      </c>
      <c r="C2922" t="s">
        <v>4604</v>
      </c>
      <c r="D2922" t="s">
        <v>238</v>
      </c>
      <c r="E2922" t="s">
        <v>642</v>
      </c>
      <c r="F2922" t="s">
        <v>645</v>
      </c>
      <c r="G2922" t="s">
        <v>2283</v>
      </c>
      <c r="P2922">
        <v>24</v>
      </c>
      <c r="Q2922">
        <v>48</v>
      </c>
      <c r="R2922">
        <v>102</v>
      </c>
      <c r="S2922">
        <v>96</v>
      </c>
      <c r="T2922">
        <v>144</v>
      </c>
      <c r="U2922">
        <v>108</v>
      </c>
      <c r="V2922">
        <v>111</v>
      </c>
      <c r="W2922">
        <v>60</v>
      </c>
      <c r="X2922">
        <v>72</v>
      </c>
      <c r="Y2922">
        <v>12</v>
      </c>
      <c r="Z2922">
        <v>12</v>
      </c>
      <c r="AA2922">
        <v>6</v>
      </c>
      <c r="AB2922">
        <v>6</v>
      </c>
      <c r="AD2922">
        <v>6</v>
      </c>
      <c r="CH2922" t="str">
        <f t="shared" si="45"/>
        <v>D-0267</v>
      </c>
      <c r="CI2922" s="1" t="s">
        <v>102</v>
      </c>
    </row>
    <row r="2923" spans="1:87">
      <c r="A2923" t="s">
        <v>4613</v>
      </c>
      <c r="B2923">
        <v>333</v>
      </c>
      <c r="C2923" t="s">
        <v>4604</v>
      </c>
      <c r="D2923" t="s">
        <v>238</v>
      </c>
      <c r="E2923" t="s">
        <v>642</v>
      </c>
      <c r="F2923" t="s">
        <v>645</v>
      </c>
      <c r="G2923" t="s">
        <v>2283</v>
      </c>
      <c r="Q2923">
        <v>24</v>
      </c>
      <c r="R2923">
        <v>36</v>
      </c>
      <c r="S2923">
        <v>48</v>
      </c>
      <c r="T2923">
        <v>60</v>
      </c>
      <c r="U2923">
        <v>54</v>
      </c>
      <c r="V2923">
        <v>45</v>
      </c>
      <c r="W2923">
        <v>30</v>
      </c>
      <c r="X2923">
        <v>30</v>
      </c>
      <c r="Y2923">
        <v>6</v>
      </c>
      <c r="CH2923" t="str">
        <f t="shared" si="45"/>
        <v>D-0267</v>
      </c>
      <c r="CI2923" s="1" t="s">
        <v>102</v>
      </c>
    </row>
    <row r="2924" spans="1:87">
      <c r="A2924" t="s">
        <v>4614</v>
      </c>
      <c r="B2924">
        <v>411</v>
      </c>
      <c r="C2924" t="s">
        <v>4604</v>
      </c>
      <c r="D2924" t="s">
        <v>238</v>
      </c>
      <c r="E2924" t="s">
        <v>642</v>
      </c>
      <c r="F2924" t="s">
        <v>645</v>
      </c>
      <c r="G2924" t="s">
        <v>2283</v>
      </c>
      <c r="Q2924">
        <v>42</v>
      </c>
      <c r="R2924">
        <v>54</v>
      </c>
      <c r="S2924">
        <v>66</v>
      </c>
      <c r="T2924">
        <v>66</v>
      </c>
      <c r="U2924">
        <v>66</v>
      </c>
      <c r="V2924">
        <v>57</v>
      </c>
      <c r="W2924">
        <v>30</v>
      </c>
      <c r="X2924">
        <v>30</v>
      </c>
      <c r="CH2924" t="str">
        <f t="shared" si="45"/>
        <v>D-0267</v>
      </c>
      <c r="CI2924" s="1" t="s">
        <v>102</v>
      </c>
    </row>
    <row r="2925" spans="1:87">
      <c r="A2925" t="s">
        <v>4615</v>
      </c>
      <c r="B2925">
        <v>132</v>
      </c>
      <c r="C2925" t="s">
        <v>4604</v>
      </c>
      <c r="D2925" t="s">
        <v>238</v>
      </c>
      <c r="E2925" t="s">
        <v>642</v>
      </c>
      <c r="F2925" t="s">
        <v>645</v>
      </c>
      <c r="G2925" t="s">
        <v>2283</v>
      </c>
      <c r="P2925">
        <v>6</v>
      </c>
      <c r="R2925">
        <v>18</v>
      </c>
      <c r="S2925">
        <v>12</v>
      </c>
      <c r="T2925">
        <v>24</v>
      </c>
      <c r="U2925">
        <v>12</v>
      </c>
      <c r="V2925">
        <v>24</v>
      </c>
      <c r="W2925">
        <v>12</v>
      </c>
      <c r="X2925">
        <v>12</v>
      </c>
      <c r="Y2925">
        <v>6</v>
      </c>
      <c r="Z2925">
        <v>6</v>
      </c>
      <c r="CH2925" t="str">
        <f t="shared" si="45"/>
        <v>D-0267</v>
      </c>
      <c r="CI2925" s="1" t="s">
        <v>102</v>
      </c>
    </row>
    <row r="2926" spans="1:87">
      <c r="A2926" t="s">
        <v>4616</v>
      </c>
      <c r="B2926">
        <v>210</v>
      </c>
      <c r="C2926" t="s">
        <v>4604</v>
      </c>
      <c r="D2926" t="s">
        <v>238</v>
      </c>
      <c r="E2926" t="s">
        <v>642</v>
      </c>
      <c r="F2926" t="s">
        <v>645</v>
      </c>
      <c r="G2926" t="s">
        <v>2283</v>
      </c>
      <c r="R2926">
        <v>18</v>
      </c>
      <c r="S2926">
        <v>30</v>
      </c>
      <c r="T2926">
        <v>42</v>
      </c>
      <c r="U2926">
        <v>30</v>
      </c>
      <c r="V2926">
        <v>54</v>
      </c>
      <c r="W2926">
        <v>24</v>
      </c>
      <c r="X2926">
        <v>12</v>
      </c>
      <c r="CH2926" t="str">
        <f t="shared" si="45"/>
        <v>D-0267</v>
      </c>
      <c r="CI2926" s="1" t="s">
        <v>102</v>
      </c>
    </row>
    <row r="2927" spans="1:87">
      <c r="A2927" t="s">
        <v>4617</v>
      </c>
      <c r="B2927">
        <v>132</v>
      </c>
      <c r="C2927" t="s">
        <v>4604</v>
      </c>
      <c r="D2927" t="s">
        <v>238</v>
      </c>
      <c r="E2927" t="s">
        <v>642</v>
      </c>
      <c r="F2927" t="s">
        <v>645</v>
      </c>
      <c r="G2927" t="s">
        <v>2283</v>
      </c>
      <c r="Q2927">
        <v>6</v>
      </c>
      <c r="R2927">
        <v>12</v>
      </c>
      <c r="S2927">
        <v>24</v>
      </c>
      <c r="T2927">
        <v>18</v>
      </c>
      <c r="U2927">
        <v>24</v>
      </c>
      <c r="V2927">
        <v>12</v>
      </c>
      <c r="W2927">
        <v>12</v>
      </c>
      <c r="X2927">
        <v>12</v>
      </c>
      <c r="Y2927">
        <v>6</v>
      </c>
      <c r="Z2927">
        <v>6</v>
      </c>
      <c r="CH2927" t="str">
        <f t="shared" si="45"/>
        <v>D-0267</v>
      </c>
      <c r="CI2927" s="1" t="s">
        <v>102</v>
      </c>
    </row>
    <row r="2928" spans="1:87">
      <c r="A2928" t="s">
        <v>4618</v>
      </c>
      <c r="B2928">
        <v>441</v>
      </c>
      <c r="C2928" t="s">
        <v>4604</v>
      </c>
      <c r="D2928" t="s">
        <v>238</v>
      </c>
      <c r="E2928" t="s">
        <v>642</v>
      </c>
      <c r="F2928" t="s">
        <v>645</v>
      </c>
      <c r="G2928" t="s">
        <v>2283</v>
      </c>
      <c r="P2928">
        <v>6</v>
      </c>
      <c r="Q2928">
        <v>12</v>
      </c>
      <c r="R2928">
        <v>42</v>
      </c>
      <c r="S2928">
        <v>36</v>
      </c>
      <c r="T2928">
        <v>96</v>
      </c>
      <c r="U2928">
        <v>48</v>
      </c>
      <c r="V2928">
        <v>93</v>
      </c>
      <c r="W2928">
        <v>36</v>
      </c>
      <c r="X2928">
        <v>48</v>
      </c>
      <c r="Y2928">
        <v>12</v>
      </c>
      <c r="Z2928">
        <v>12</v>
      </c>
      <c r="CH2928" t="str">
        <f t="shared" si="45"/>
        <v>D-0267</v>
      </c>
      <c r="CI2928" s="1" t="s">
        <v>102</v>
      </c>
    </row>
    <row r="2929" spans="1:87">
      <c r="A2929" t="s">
        <v>4619</v>
      </c>
      <c r="B2929">
        <v>327</v>
      </c>
      <c r="C2929" t="s">
        <v>4604</v>
      </c>
      <c r="D2929" t="s">
        <v>238</v>
      </c>
      <c r="E2929" t="s">
        <v>642</v>
      </c>
      <c r="F2929" t="s">
        <v>645</v>
      </c>
      <c r="G2929" t="s">
        <v>2283</v>
      </c>
      <c r="P2929">
        <v>6</v>
      </c>
      <c r="Q2929">
        <v>12</v>
      </c>
      <c r="R2929">
        <v>30</v>
      </c>
      <c r="S2929">
        <v>30</v>
      </c>
      <c r="T2929">
        <v>48</v>
      </c>
      <c r="U2929">
        <v>42</v>
      </c>
      <c r="V2929">
        <v>57</v>
      </c>
      <c r="W2929">
        <v>36</v>
      </c>
      <c r="X2929">
        <v>36</v>
      </c>
      <c r="Y2929">
        <v>18</v>
      </c>
      <c r="Z2929">
        <v>12</v>
      </c>
      <c r="CH2929" t="str">
        <f t="shared" si="45"/>
        <v>D-0267</v>
      </c>
      <c r="CI2929" s="1" t="s">
        <v>102</v>
      </c>
    </row>
    <row r="2930" spans="1:87">
      <c r="A2930" t="s">
        <v>4620</v>
      </c>
      <c r="B2930">
        <v>240</v>
      </c>
      <c r="C2930" t="s">
        <v>4604</v>
      </c>
      <c r="D2930" t="s">
        <v>238</v>
      </c>
      <c r="E2930" t="s">
        <v>642</v>
      </c>
      <c r="F2930" t="s">
        <v>645</v>
      </c>
      <c r="G2930" t="s">
        <v>2283</v>
      </c>
      <c r="P2930">
        <v>12</v>
      </c>
      <c r="R2930">
        <v>48</v>
      </c>
      <c r="S2930">
        <v>6</v>
      </c>
      <c r="T2930">
        <v>72</v>
      </c>
      <c r="U2930">
        <v>6</v>
      </c>
      <c r="V2930">
        <v>48</v>
      </c>
      <c r="X2930">
        <v>30</v>
      </c>
      <c r="Z2930">
        <v>18</v>
      </c>
      <c r="CH2930" t="str">
        <f t="shared" si="45"/>
        <v>D-0267</v>
      </c>
      <c r="CI2930" s="1" t="s">
        <v>102</v>
      </c>
    </row>
    <row r="2931" spans="1:87">
      <c r="A2931" t="s">
        <v>4621</v>
      </c>
      <c r="B2931">
        <v>1898</v>
      </c>
      <c r="C2931" t="s">
        <v>4604</v>
      </c>
      <c r="D2931" t="s">
        <v>238</v>
      </c>
      <c r="E2931" t="s">
        <v>642</v>
      </c>
      <c r="F2931" t="s">
        <v>645</v>
      </c>
      <c r="G2931" t="s">
        <v>2283</v>
      </c>
      <c r="R2931">
        <v>86</v>
      </c>
      <c r="S2931">
        <v>118</v>
      </c>
      <c r="T2931">
        <v>229</v>
      </c>
      <c r="U2931">
        <v>225</v>
      </c>
      <c r="V2931">
        <v>311</v>
      </c>
      <c r="W2931">
        <v>247</v>
      </c>
      <c r="X2931">
        <v>244</v>
      </c>
      <c r="Y2931">
        <v>149</v>
      </c>
      <c r="Z2931">
        <v>136</v>
      </c>
      <c r="AA2931">
        <v>44</v>
      </c>
      <c r="AB2931">
        <v>66</v>
      </c>
      <c r="AC2931">
        <v>16</v>
      </c>
      <c r="AD2931">
        <v>27</v>
      </c>
      <c r="CH2931" t="str">
        <f t="shared" si="45"/>
        <v>D-0267</v>
      </c>
      <c r="CI2931" s="1" t="s">
        <v>102</v>
      </c>
    </row>
    <row r="2932" spans="1:87">
      <c r="A2932" t="s">
        <v>4622</v>
      </c>
      <c r="B2932">
        <v>927</v>
      </c>
      <c r="C2932" t="s">
        <v>4604</v>
      </c>
      <c r="D2932" t="s">
        <v>238</v>
      </c>
      <c r="E2932" t="s">
        <v>642</v>
      </c>
      <c r="F2932" t="s">
        <v>645</v>
      </c>
      <c r="G2932" t="s">
        <v>2283</v>
      </c>
      <c r="R2932">
        <v>54</v>
      </c>
      <c r="S2932">
        <v>72</v>
      </c>
      <c r="T2932">
        <v>114</v>
      </c>
      <c r="U2932">
        <v>120</v>
      </c>
      <c r="V2932">
        <v>147</v>
      </c>
      <c r="W2932">
        <v>126</v>
      </c>
      <c r="X2932">
        <v>108</v>
      </c>
      <c r="Y2932">
        <v>66</v>
      </c>
      <c r="Z2932">
        <v>72</v>
      </c>
      <c r="AB2932">
        <v>48</v>
      </c>
      <c r="CH2932" t="str">
        <f t="shared" si="45"/>
        <v>D-0267</v>
      </c>
      <c r="CI2932" s="1" t="s">
        <v>102</v>
      </c>
    </row>
    <row r="2933" spans="1:87">
      <c r="A2933" t="s">
        <v>4623</v>
      </c>
      <c r="B2933">
        <v>41</v>
      </c>
      <c r="C2933" t="s">
        <v>757</v>
      </c>
      <c r="D2933" t="s">
        <v>237</v>
      </c>
      <c r="E2933" t="s">
        <v>629</v>
      </c>
      <c r="F2933" t="s">
        <v>632</v>
      </c>
      <c r="G2933" t="s">
        <v>2593</v>
      </c>
      <c r="V2933">
        <v>2</v>
      </c>
      <c r="W2933">
        <v>4</v>
      </c>
      <c r="X2933">
        <v>7</v>
      </c>
      <c r="Y2933">
        <v>10</v>
      </c>
      <c r="Z2933">
        <v>7</v>
      </c>
      <c r="AA2933">
        <v>6</v>
      </c>
      <c r="AF2933">
        <v>5</v>
      </c>
      <c r="CH2933" t="str">
        <f t="shared" si="45"/>
        <v>D-0267</v>
      </c>
      <c r="CI2933" s="1" t="s">
        <v>102</v>
      </c>
    </row>
    <row r="2934" spans="1:87">
      <c r="A2934" t="s">
        <v>4624</v>
      </c>
      <c r="B2934">
        <v>2003</v>
      </c>
      <c r="C2934" t="s">
        <v>757</v>
      </c>
      <c r="D2934" t="s">
        <v>237</v>
      </c>
      <c r="E2934" t="s">
        <v>629</v>
      </c>
      <c r="F2934" t="s">
        <v>632</v>
      </c>
      <c r="G2934" t="s">
        <v>2593</v>
      </c>
      <c r="S2934">
        <v>40</v>
      </c>
      <c r="T2934">
        <v>136</v>
      </c>
      <c r="U2934">
        <v>150</v>
      </c>
      <c r="V2934">
        <v>319</v>
      </c>
      <c r="W2934">
        <v>360</v>
      </c>
      <c r="X2934">
        <v>330</v>
      </c>
      <c r="Y2934">
        <v>340</v>
      </c>
      <c r="Z2934">
        <v>247</v>
      </c>
      <c r="AB2934">
        <v>58</v>
      </c>
      <c r="AD2934">
        <v>21</v>
      </c>
      <c r="AF2934">
        <v>2</v>
      </c>
      <c r="CH2934" t="str">
        <f t="shared" si="45"/>
        <v>D-0267</v>
      </c>
      <c r="CI2934" s="1" t="s">
        <v>102</v>
      </c>
    </row>
    <row r="2935" spans="1:87">
      <c r="A2935" t="s">
        <v>4625</v>
      </c>
      <c r="B2935">
        <v>22</v>
      </c>
      <c r="C2935" t="s">
        <v>4549</v>
      </c>
      <c r="D2935" t="s">
        <v>238</v>
      </c>
      <c r="E2935" t="s">
        <v>629</v>
      </c>
      <c r="F2935" t="s">
        <v>632</v>
      </c>
      <c r="G2935" t="s">
        <v>3389</v>
      </c>
      <c r="T2935">
        <v>2</v>
      </c>
      <c r="V2935">
        <v>2</v>
      </c>
      <c r="W2935">
        <v>1</v>
      </c>
      <c r="X2935">
        <v>2</v>
      </c>
      <c r="Y2935">
        <v>2</v>
      </c>
      <c r="Z2935">
        <v>3</v>
      </c>
      <c r="AA2935">
        <v>2</v>
      </c>
      <c r="AB2935">
        <v>3</v>
      </c>
      <c r="AC2935">
        <v>1</v>
      </c>
      <c r="AD2935">
        <v>2</v>
      </c>
      <c r="AF2935">
        <v>1</v>
      </c>
      <c r="AH2935">
        <v>1</v>
      </c>
      <c r="CH2935" t="str">
        <f t="shared" si="45"/>
        <v>D-0267</v>
      </c>
      <c r="CI2935" s="1" t="s">
        <v>102</v>
      </c>
    </row>
    <row r="2936" spans="1:87">
      <c r="A2936" t="s">
        <v>4626</v>
      </c>
      <c r="B2936">
        <v>126</v>
      </c>
      <c r="C2936" t="s">
        <v>4604</v>
      </c>
      <c r="D2936" t="s">
        <v>238</v>
      </c>
      <c r="E2936" t="s">
        <v>642</v>
      </c>
      <c r="F2936" t="s">
        <v>645</v>
      </c>
      <c r="G2936" t="s">
        <v>2283</v>
      </c>
      <c r="Q2936">
        <v>3</v>
      </c>
      <c r="S2936">
        <v>11</v>
      </c>
      <c r="U2936">
        <v>40</v>
      </c>
      <c r="W2936">
        <v>41</v>
      </c>
      <c r="Y2936">
        <v>28</v>
      </c>
      <c r="AA2936">
        <v>3</v>
      </c>
      <c r="CH2936" t="str">
        <f t="shared" si="45"/>
        <v>D-0267</v>
      </c>
      <c r="CI2936" s="1" t="s">
        <v>102</v>
      </c>
    </row>
    <row r="2937" spans="1:87">
      <c r="A2937" t="s">
        <v>4630</v>
      </c>
      <c r="B2937">
        <v>386</v>
      </c>
      <c r="C2937" t="s">
        <v>3300</v>
      </c>
      <c r="D2937" t="s">
        <v>180</v>
      </c>
      <c r="E2937" t="s">
        <v>629</v>
      </c>
      <c r="F2937" t="s">
        <v>725</v>
      </c>
      <c r="G2937" t="s">
        <v>3301</v>
      </c>
      <c r="V2937">
        <v>6</v>
      </c>
      <c r="W2937">
        <v>42</v>
      </c>
      <c r="X2937">
        <v>74</v>
      </c>
      <c r="Y2937">
        <v>60</v>
      </c>
      <c r="Z2937">
        <v>78</v>
      </c>
      <c r="AA2937">
        <v>42</v>
      </c>
      <c r="AB2937">
        <v>42</v>
      </c>
      <c r="AC2937">
        <v>24</v>
      </c>
      <c r="AD2937">
        <v>18</v>
      </c>
      <c r="CH2937" t="str">
        <f t="shared" si="45"/>
        <v>D-0155</v>
      </c>
      <c r="CI2937" s="1" t="s">
        <v>102</v>
      </c>
    </row>
    <row r="2938" spans="1:87">
      <c r="A2938" t="s">
        <v>4631</v>
      </c>
      <c r="B2938">
        <v>6930</v>
      </c>
      <c r="C2938" t="s">
        <v>3300</v>
      </c>
      <c r="D2938" t="s">
        <v>180</v>
      </c>
      <c r="E2938" t="s">
        <v>629</v>
      </c>
      <c r="F2938" t="s">
        <v>725</v>
      </c>
      <c r="G2938" t="s">
        <v>3301</v>
      </c>
      <c r="T2938">
        <v>138</v>
      </c>
      <c r="U2938">
        <v>208</v>
      </c>
      <c r="V2938">
        <v>624</v>
      </c>
      <c r="W2938">
        <v>555</v>
      </c>
      <c r="X2938">
        <v>765</v>
      </c>
      <c r="Y2938">
        <v>694</v>
      </c>
      <c r="Z2938">
        <v>971</v>
      </c>
      <c r="AA2938">
        <v>830</v>
      </c>
      <c r="AB2938">
        <v>763</v>
      </c>
      <c r="AC2938">
        <v>347</v>
      </c>
      <c r="AD2938">
        <v>624</v>
      </c>
      <c r="AF2938">
        <v>411</v>
      </c>
      <c r="CH2938" t="str">
        <f t="shared" si="45"/>
        <v>D-0155</v>
      </c>
      <c r="CI2938" s="1" t="s">
        <v>102</v>
      </c>
    </row>
    <row r="2939" spans="1:87">
      <c r="A2939" t="s">
        <v>4632</v>
      </c>
      <c r="B2939">
        <v>865</v>
      </c>
      <c r="C2939" t="s">
        <v>3300</v>
      </c>
      <c r="D2939" t="s">
        <v>180</v>
      </c>
      <c r="E2939" t="s">
        <v>629</v>
      </c>
      <c r="F2939" t="s">
        <v>725</v>
      </c>
      <c r="G2939" t="s">
        <v>3301</v>
      </c>
      <c r="T2939">
        <v>18</v>
      </c>
      <c r="U2939">
        <v>26</v>
      </c>
      <c r="V2939">
        <v>78</v>
      </c>
      <c r="W2939">
        <v>69</v>
      </c>
      <c r="X2939">
        <v>97</v>
      </c>
      <c r="Y2939">
        <v>86</v>
      </c>
      <c r="Z2939">
        <v>121</v>
      </c>
      <c r="AA2939">
        <v>103</v>
      </c>
      <c r="AB2939">
        <v>95</v>
      </c>
      <c r="AC2939">
        <v>43</v>
      </c>
      <c r="AD2939">
        <v>78</v>
      </c>
      <c r="AF2939">
        <v>51</v>
      </c>
      <c r="CH2939" t="str">
        <f t="shared" si="45"/>
        <v>D-0155</v>
      </c>
      <c r="CI2939" s="1" t="s">
        <v>102</v>
      </c>
    </row>
    <row r="2940" spans="1:87">
      <c r="A2940" t="s">
        <v>4633</v>
      </c>
      <c r="B2940">
        <v>1700</v>
      </c>
      <c r="C2940" t="s">
        <v>939</v>
      </c>
      <c r="D2940" t="s">
        <v>249</v>
      </c>
      <c r="E2940" t="s">
        <v>642</v>
      </c>
      <c r="F2940" t="s">
        <v>957</v>
      </c>
      <c r="G2940" t="s">
        <v>728</v>
      </c>
      <c r="S2940">
        <v>160</v>
      </c>
      <c r="T2940">
        <v>178</v>
      </c>
      <c r="U2940">
        <v>157</v>
      </c>
      <c r="V2940">
        <v>216</v>
      </c>
      <c r="W2940">
        <v>227</v>
      </c>
      <c r="X2940">
        <v>103</v>
      </c>
      <c r="Y2940">
        <v>134</v>
      </c>
      <c r="Z2940">
        <v>86</v>
      </c>
      <c r="AA2940">
        <v>77</v>
      </c>
      <c r="AB2940">
        <v>106</v>
      </c>
      <c r="AC2940">
        <v>58</v>
      </c>
      <c r="AD2940">
        <v>61</v>
      </c>
      <c r="AE2940">
        <v>39</v>
      </c>
      <c r="AF2940">
        <v>29</v>
      </c>
      <c r="AG2940">
        <v>20</v>
      </c>
      <c r="AH2940">
        <v>20</v>
      </c>
      <c r="AI2940">
        <v>16</v>
      </c>
      <c r="AK2940">
        <v>13</v>
      </c>
      <c r="CH2940" t="str">
        <f t="shared" si="45"/>
        <v>D-0271</v>
      </c>
      <c r="CI2940" s="1" t="s">
        <v>102</v>
      </c>
    </row>
    <row r="2941" spans="1:87">
      <c r="A2941" t="s">
        <v>4634</v>
      </c>
      <c r="B2941">
        <v>9370</v>
      </c>
      <c r="C2941" t="s">
        <v>939</v>
      </c>
      <c r="D2941" t="s">
        <v>249</v>
      </c>
      <c r="E2941" t="s">
        <v>642</v>
      </c>
      <c r="F2941" t="s">
        <v>957</v>
      </c>
      <c r="G2941" t="s">
        <v>728</v>
      </c>
      <c r="R2941">
        <v>135</v>
      </c>
      <c r="S2941">
        <v>879</v>
      </c>
      <c r="T2941">
        <v>961</v>
      </c>
      <c r="U2941">
        <v>891</v>
      </c>
      <c r="V2941">
        <v>1143</v>
      </c>
      <c r="W2941">
        <v>1274</v>
      </c>
      <c r="X2941">
        <v>535</v>
      </c>
      <c r="Y2941">
        <v>745</v>
      </c>
      <c r="Z2941">
        <v>456</v>
      </c>
      <c r="AA2941">
        <v>419</v>
      </c>
      <c r="AB2941">
        <v>563</v>
      </c>
      <c r="AC2941">
        <v>321</v>
      </c>
      <c r="AD2941">
        <v>319</v>
      </c>
      <c r="AE2941">
        <v>205</v>
      </c>
      <c r="AF2941">
        <v>155</v>
      </c>
      <c r="AG2941">
        <v>107</v>
      </c>
      <c r="AH2941">
        <v>107</v>
      </c>
      <c r="AI2941">
        <v>88</v>
      </c>
      <c r="AK2941">
        <v>67</v>
      </c>
      <c r="CH2941" t="str">
        <f t="shared" si="45"/>
        <v>D-0271</v>
      </c>
      <c r="CI2941" s="1" t="s">
        <v>102</v>
      </c>
    </row>
    <row r="2942" spans="1:87">
      <c r="A2942" t="s">
        <v>4635</v>
      </c>
      <c r="B2942">
        <v>9</v>
      </c>
      <c r="C2942" t="s">
        <v>731</v>
      </c>
      <c r="D2942" t="s">
        <v>223</v>
      </c>
      <c r="E2942" t="s">
        <v>629</v>
      </c>
      <c r="F2942" t="s">
        <v>693</v>
      </c>
      <c r="G2942" t="s">
        <v>4580</v>
      </c>
      <c r="V2942">
        <v>3</v>
      </c>
      <c r="Z2942">
        <v>6</v>
      </c>
      <c r="CH2942" t="str">
        <f t="shared" si="45"/>
        <v>D-0263</v>
      </c>
      <c r="CI2942" s="1" t="s">
        <v>102</v>
      </c>
    </row>
    <row r="2943" spans="1:87">
      <c r="A2943" t="s">
        <v>4636</v>
      </c>
      <c r="B2943">
        <v>896</v>
      </c>
      <c r="C2943" t="s">
        <v>1062</v>
      </c>
      <c r="D2943" t="s">
        <v>223</v>
      </c>
      <c r="E2943" t="s">
        <v>629</v>
      </c>
      <c r="F2943" t="s">
        <v>693</v>
      </c>
      <c r="G2943" t="s">
        <v>2283</v>
      </c>
      <c r="T2943">
        <v>12</v>
      </c>
      <c r="U2943">
        <v>68</v>
      </c>
      <c r="X2943">
        <v>78</v>
      </c>
      <c r="Y2943">
        <v>55</v>
      </c>
      <c r="Z2943">
        <v>218</v>
      </c>
      <c r="AB2943">
        <v>17</v>
      </c>
      <c r="AD2943">
        <v>190</v>
      </c>
      <c r="AF2943">
        <v>258</v>
      </c>
      <c r="CH2943" t="str">
        <f t="shared" si="45"/>
        <v>D-0263</v>
      </c>
      <c r="CI2943" s="1" t="s">
        <v>102</v>
      </c>
    </row>
    <row r="2944" spans="1:87">
      <c r="A2944" t="s">
        <v>4637</v>
      </c>
      <c r="B2944">
        <v>30</v>
      </c>
      <c r="C2944" t="s">
        <v>2690</v>
      </c>
      <c r="D2944" t="s">
        <v>223</v>
      </c>
      <c r="E2944" t="s">
        <v>642</v>
      </c>
      <c r="F2944" t="s">
        <v>693</v>
      </c>
      <c r="G2944" t="s">
        <v>2691</v>
      </c>
      <c r="Q2944">
        <v>2</v>
      </c>
      <c r="R2944">
        <v>4</v>
      </c>
      <c r="S2944">
        <v>1</v>
      </c>
      <c r="T2944">
        <v>1</v>
      </c>
      <c r="U2944">
        <v>4</v>
      </c>
      <c r="V2944">
        <v>6</v>
      </c>
      <c r="W2944">
        <v>5</v>
      </c>
      <c r="X2944">
        <v>1</v>
      </c>
      <c r="Z2944">
        <v>3</v>
      </c>
      <c r="AA2944">
        <v>2</v>
      </c>
      <c r="AB2944">
        <v>1</v>
      </c>
      <c r="CH2944" t="str">
        <f t="shared" si="45"/>
        <v>D-0263</v>
      </c>
      <c r="CI2944" s="1" t="s">
        <v>102</v>
      </c>
    </row>
    <row r="2945" spans="1:87">
      <c r="A2945" t="s">
        <v>4638</v>
      </c>
      <c r="B2945">
        <v>985</v>
      </c>
      <c r="C2945" t="s">
        <v>1028</v>
      </c>
      <c r="D2945" t="s">
        <v>217</v>
      </c>
      <c r="E2945" t="s">
        <v>629</v>
      </c>
      <c r="F2945" t="s">
        <v>690</v>
      </c>
      <c r="G2945" t="s">
        <v>2593</v>
      </c>
      <c r="R2945">
        <v>59</v>
      </c>
      <c r="S2945">
        <v>70</v>
      </c>
      <c r="U2945">
        <v>80</v>
      </c>
      <c r="X2945">
        <v>125</v>
      </c>
      <c r="AD2945">
        <v>222</v>
      </c>
      <c r="AE2945">
        <v>9</v>
      </c>
      <c r="AF2945">
        <v>140</v>
      </c>
      <c r="AH2945">
        <v>185</v>
      </c>
      <c r="AJ2945">
        <v>95</v>
      </c>
      <c r="CH2945" t="str">
        <f t="shared" si="45"/>
        <v>D-0260</v>
      </c>
      <c r="CI2945" s="1" t="s">
        <v>102</v>
      </c>
    </row>
    <row r="2946" spans="1:87">
      <c r="A2946" t="s">
        <v>4639</v>
      </c>
      <c r="B2946">
        <v>60</v>
      </c>
      <c r="C2946" t="s">
        <v>3447</v>
      </c>
      <c r="D2946" t="s">
        <v>217</v>
      </c>
      <c r="E2946" t="s">
        <v>642</v>
      </c>
      <c r="F2946" t="s">
        <v>644</v>
      </c>
      <c r="G2946" t="s">
        <v>3448</v>
      </c>
      <c r="P2946">
        <v>30</v>
      </c>
      <c r="Q2946">
        <v>18</v>
      </c>
      <c r="X2946">
        <v>12</v>
      </c>
      <c r="CH2946" t="str">
        <f t="shared" ref="CH2946:CH3009" si="46">TRIM(IFERROR(IFERROR(MID($D2946,FIND("(D-",$D2946)+1,6),LEFT($D2946,FIND("(",$D2946)-1)),$D2946))</f>
        <v>D-0260</v>
      </c>
      <c r="CI2946" s="1" t="s">
        <v>102</v>
      </c>
    </row>
    <row r="2947" spans="1:87">
      <c r="A2947" t="s">
        <v>4640</v>
      </c>
      <c r="B2947">
        <v>225</v>
      </c>
      <c r="C2947" t="s">
        <v>2695</v>
      </c>
      <c r="D2947" t="s">
        <v>222</v>
      </c>
      <c r="E2947" t="s">
        <v>629</v>
      </c>
      <c r="F2947" t="s">
        <v>690</v>
      </c>
      <c r="G2947" t="s">
        <v>2696</v>
      </c>
      <c r="W2947">
        <v>59</v>
      </c>
      <c r="Y2947">
        <v>62</v>
      </c>
      <c r="AA2947">
        <v>60</v>
      </c>
      <c r="AC2947">
        <v>40</v>
      </c>
      <c r="AH2947">
        <v>4</v>
      </c>
      <c r="CH2947" t="str">
        <f t="shared" si="46"/>
        <v>D-0262</v>
      </c>
      <c r="CI2947" s="1" t="s">
        <v>102</v>
      </c>
    </row>
    <row r="2948" spans="1:87">
      <c r="A2948" t="s">
        <v>4641</v>
      </c>
      <c r="B2948">
        <v>90</v>
      </c>
      <c r="C2948" t="s">
        <v>1062</v>
      </c>
      <c r="D2948" t="s">
        <v>223</v>
      </c>
      <c r="E2948" t="s">
        <v>629</v>
      </c>
      <c r="F2948" t="s">
        <v>693</v>
      </c>
      <c r="G2948" t="s">
        <v>2283</v>
      </c>
      <c r="S2948">
        <v>24</v>
      </c>
      <c r="AH2948">
        <v>36</v>
      </c>
      <c r="AJ2948">
        <v>30</v>
      </c>
      <c r="CH2948" t="str">
        <f t="shared" si="46"/>
        <v>D-0263</v>
      </c>
      <c r="CI2948" s="1" t="s">
        <v>102</v>
      </c>
    </row>
    <row r="2949" spans="1:87">
      <c r="A2949" t="s">
        <v>4642</v>
      </c>
      <c r="B2949">
        <v>5119</v>
      </c>
      <c r="C2949" t="s">
        <v>1145</v>
      </c>
      <c r="D2949" t="s">
        <v>223</v>
      </c>
      <c r="E2949" t="s">
        <v>642</v>
      </c>
      <c r="F2949" t="s">
        <v>693</v>
      </c>
      <c r="G2949" t="s">
        <v>2593</v>
      </c>
      <c r="Q2949">
        <v>49</v>
      </c>
      <c r="R2949">
        <v>466</v>
      </c>
      <c r="S2949">
        <v>443</v>
      </c>
      <c r="T2949">
        <v>410</v>
      </c>
      <c r="U2949">
        <v>1510</v>
      </c>
      <c r="W2949">
        <v>773</v>
      </c>
      <c r="X2949">
        <v>755</v>
      </c>
      <c r="Y2949">
        <v>695</v>
      </c>
      <c r="AA2949">
        <v>12</v>
      </c>
      <c r="AC2949">
        <v>6</v>
      </c>
      <c r="CH2949" t="str">
        <f t="shared" si="46"/>
        <v>D-0263</v>
      </c>
      <c r="CI2949" s="1" t="s">
        <v>102</v>
      </c>
    </row>
    <row r="2950" spans="1:87">
      <c r="A2950" t="s">
        <v>4643</v>
      </c>
      <c r="B2950">
        <v>2794</v>
      </c>
      <c r="C2950" t="s">
        <v>2712</v>
      </c>
      <c r="D2950" t="s">
        <v>237</v>
      </c>
      <c r="E2950" t="s">
        <v>629</v>
      </c>
      <c r="F2950" t="s">
        <v>632</v>
      </c>
      <c r="G2950" t="s">
        <v>2593</v>
      </c>
      <c r="R2950">
        <v>6</v>
      </c>
      <c r="S2950">
        <v>6</v>
      </c>
      <c r="T2950">
        <v>102</v>
      </c>
      <c r="U2950">
        <v>150</v>
      </c>
      <c r="V2950">
        <v>300</v>
      </c>
      <c r="W2950">
        <v>342</v>
      </c>
      <c r="X2950">
        <v>577</v>
      </c>
      <c r="Y2950">
        <v>318</v>
      </c>
      <c r="Z2950">
        <v>432</v>
      </c>
      <c r="AA2950">
        <v>174</v>
      </c>
      <c r="AB2950">
        <v>228</v>
      </c>
      <c r="AC2950">
        <v>18</v>
      </c>
      <c r="AD2950">
        <v>102</v>
      </c>
      <c r="AE2950">
        <v>15</v>
      </c>
      <c r="AF2950">
        <v>18</v>
      </c>
      <c r="AH2950">
        <v>6</v>
      </c>
      <c r="CH2950" t="str">
        <f t="shared" si="46"/>
        <v>D-0267</v>
      </c>
      <c r="CI2950" s="1" t="s">
        <v>102</v>
      </c>
    </row>
    <row r="2951" spans="1:87">
      <c r="A2951" t="s">
        <v>4644</v>
      </c>
      <c r="B2951">
        <v>42</v>
      </c>
      <c r="C2951" t="s">
        <v>1451</v>
      </c>
      <c r="D2951" t="s">
        <v>237</v>
      </c>
      <c r="E2951" t="s">
        <v>629</v>
      </c>
      <c r="F2951" t="s">
        <v>632</v>
      </c>
      <c r="G2951" t="s">
        <v>2593</v>
      </c>
      <c r="R2951">
        <v>30</v>
      </c>
      <c r="S2951">
        <v>12</v>
      </c>
      <c r="CH2951" t="str">
        <f t="shared" si="46"/>
        <v>D-0267</v>
      </c>
      <c r="CI2951" s="1" t="s">
        <v>102</v>
      </c>
    </row>
    <row r="2952" spans="1:87">
      <c r="A2952" t="s">
        <v>4645</v>
      </c>
      <c r="B2952">
        <v>206</v>
      </c>
      <c r="C2952" t="s">
        <v>4646</v>
      </c>
      <c r="D2952" t="s">
        <v>237</v>
      </c>
      <c r="E2952" t="s">
        <v>642</v>
      </c>
      <c r="F2952" t="s">
        <v>645</v>
      </c>
      <c r="G2952" t="s">
        <v>2593</v>
      </c>
      <c r="P2952">
        <v>9</v>
      </c>
      <c r="R2952">
        <v>24</v>
      </c>
      <c r="T2952">
        <v>59</v>
      </c>
      <c r="V2952">
        <v>66</v>
      </c>
      <c r="X2952">
        <v>30</v>
      </c>
      <c r="Z2952">
        <v>9</v>
      </c>
      <c r="AB2952">
        <v>9</v>
      </c>
      <c r="CH2952" t="str">
        <f t="shared" si="46"/>
        <v>D-0267</v>
      </c>
      <c r="CI2952" s="1" t="s">
        <v>102</v>
      </c>
    </row>
    <row r="2953" spans="1:87">
      <c r="A2953" t="s">
        <v>4647</v>
      </c>
      <c r="B2953">
        <v>18</v>
      </c>
      <c r="C2953" t="s">
        <v>1062</v>
      </c>
      <c r="D2953" t="s">
        <v>223</v>
      </c>
      <c r="E2953" t="s">
        <v>629</v>
      </c>
      <c r="F2953" t="s">
        <v>693</v>
      </c>
      <c r="G2953" t="s">
        <v>2283</v>
      </c>
      <c r="R2953">
        <v>18</v>
      </c>
      <c r="CH2953" t="str">
        <f t="shared" si="46"/>
        <v>D-0263</v>
      </c>
      <c r="CI2953" s="1" t="s">
        <v>102</v>
      </c>
    </row>
    <row r="2954" spans="1:87">
      <c r="A2954" t="s">
        <v>4648</v>
      </c>
      <c r="B2954">
        <v>1525</v>
      </c>
      <c r="C2954" t="s">
        <v>1145</v>
      </c>
      <c r="D2954" t="s">
        <v>223</v>
      </c>
      <c r="E2954" t="s">
        <v>642</v>
      </c>
      <c r="F2954" t="s">
        <v>693</v>
      </c>
      <c r="G2954" t="s">
        <v>2593</v>
      </c>
      <c r="P2954">
        <v>39</v>
      </c>
      <c r="V2954">
        <v>760</v>
      </c>
      <c r="Z2954">
        <v>578</v>
      </c>
      <c r="AB2954">
        <v>124</v>
      </c>
      <c r="AD2954">
        <v>24</v>
      </c>
      <c r="CH2954" t="str">
        <f t="shared" si="46"/>
        <v>D-0263</v>
      </c>
      <c r="CI2954" s="1" t="s">
        <v>102</v>
      </c>
    </row>
    <row r="2955" spans="1:87">
      <c r="A2955" t="s">
        <v>4649</v>
      </c>
      <c r="B2955">
        <v>3368</v>
      </c>
      <c r="C2955" t="s">
        <v>1028</v>
      </c>
      <c r="D2955" t="s">
        <v>217</v>
      </c>
      <c r="E2955" t="s">
        <v>629</v>
      </c>
      <c r="F2955" t="s">
        <v>690</v>
      </c>
      <c r="G2955" t="s">
        <v>2593</v>
      </c>
      <c r="R2955">
        <v>35</v>
      </c>
      <c r="S2955">
        <v>34</v>
      </c>
      <c r="T2955">
        <v>253</v>
      </c>
      <c r="U2955">
        <v>431</v>
      </c>
      <c r="V2955">
        <v>324</v>
      </c>
      <c r="W2955">
        <v>343</v>
      </c>
      <c r="X2955">
        <v>395</v>
      </c>
      <c r="Y2955">
        <v>569</v>
      </c>
      <c r="Z2955">
        <v>115</v>
      </c>
      <c r="AA2955">
        <v>332</v>
      </c>
      <c r="AD2955">
        <v>240</v>
      </c>
      <c r="AE2955">
        <v>80</v>
      </c>
      <c r="AF2955">
        <v>66</v>
      </c>
      <c r="AH2955">
        <v>109</v>
      </c>
      <c r="AJ2955">
        <v>42</v>
      </c>
      <c r="CH2955" t="str">
        <f t="shared" si="46"/>
        <v>D-0260</v>
      </c>
      <c r="CI2955" s="1" t="s">
        <v>102</v>
      </c>
    </row>
    <row r="2956" spans="1:87">
      <c r="A2956" t="s">
        <v>4650</v>
      </c>
      <c r="B2956">
        <v>8</v>
      </c>
      <c r="C2956" t="s">
        <v>4651</v>
      </c>
      <c r="D2956" t="s">
        <v>222</v>
      </c>
      <c r="E2956" t="s">
        <v>629</v>
      </c>
      <c r="F2956" t="s">
        <v>690</v>
      </c>
      <c r="G2956" t="s">
        <v>4652</v>
      </c>
      <c r="X2956">
        <v>8</v>
      </c>
      <c r="CH2956" t="str">
        <f t="shared" si="46"/>
        <v>D-0262</v>
      </c>
      <c r="CI2956" s="1" t="s">
        <v>102</v>
      </c>
    </row>
    <row r="2957" spans="1:87">
      <c r="A2957" t="s">
        <v>4653</v>
      </c>
      <c r="B2957">
        <v>78</v>
      </c>
      <c r="C2957" t="s">
        <v>4654</v>
      </c>
      <c r="D2957" t="s">
        <v>237</v>
      </c>
      <c r="E2957" t="s">
        <v>629</v>
      </c>
      <c r="F2957" t="s">
        <v>632</v>
      </c>
      <c r="G2957" t="s">
        <v>4344</v>
      </c>
      <c r="T2957">
        <v>78</v>
      </c>
      <c r="CH2957" t="str">
        <f t="shared" si="46"/>
        <v>D-0267</v>
      </c>
      <c r="CI2957" s="1" t="s">
        <v>102</v>
      </c>
    </row>
    <row r="2958" spans="1:87">
      <c r="A2958" t="s">
        <v>4655</v>
      </c>
      <c r="B2958">
        <v>1867</v>
      </c>
      <c r="C2958" t="s">
        <v>4654</v>
      </c>
      <c r="D2958" t="s">
        <v>237</v>
      </c>
      <c r="E2958" t="s">
        <v>629</v>
      </c>
      <c r="F2958" t="s">
        <v>632</v>
      </c>
      <c r="G2958" t="s">
        <v>4344</v>
      </c>
      <c r="V2958">
        <v>246</v>
      </c>
      <c r="X2958">
        <v>565</v>
      </c>
      <c r="Z2958">
        <v>534</v>
      </c>
      <c r="AB2958">
        <v>348</v>
      </c>
      <c r="AD2958">
        <v>150</v>
      </c>
      <c r="AF2958">
        <v>24</v>
      </c>
      <c r="CH2958" t="str">
        <f t="shared" si="46"/>
        <v>D-0267</v>
      </c>
      <c r="CI2958" s="1" t="s">
        <v>102</v>
      </c>
    </row>
    <row r="2959" spans="1:87">
      <c r="A2959" t="s">
        <v>4656</v>
      </c>
      <c r="B2959">
        <v>919</v>
      </c>
      <c r="C2959" t="s">
        <v>4657</v>
      </c>
      <c r="D2959" t="s">
        <v>237</v>
      </c>
      <c r="E2959" t="s">
        <v>629</v>
      </c>
      <c r="F2959" t="s">
        <v>632</v>
      </c>
      <c r="G2959" t="s">
        <v>4658</v>
      </c>
      <c r="T2959">
        <v>108</v>
      </c>
      <c r="U2959">
        <v>18</v>
      </c>
      <c r="X2959">
        <v>277</v>
      </c>
      <c r="Z2959">
        <v>264</v>
      </c>
      <c r="AB2959">
        <v>168</v>
      </c>
      <c r="AD2959">
        <v>78</v>
      </c>
      <c r="AF2959">
        <v>6</v>
      </c>
      <c r="CH2959" t="str">
        <f t="shared" si="46"/>
        <v>D-0267</v>
      </c>
      <c r="CI2959" s="1" t="s">
        <v>102</v>
      </c>
    </row>
    <row r="2960" spans="1:87">
      <c r="A2960" t="s">
        <v>4659</v>
      </c>
      <c r="B2960">
        <v>329</v>
      </c>
      <c r="C2960" t="s">
        <v>4646</v>
      </c>
      <c r="D2960" t="s">
        <v>237</v>
      </c>
      <c r="E2960" t="s">
        <v>642</v>
      </c>
      <c r="F2960" t="s">
        <v>645</v>
      </c>
      <c r="G2960" t="s">
        <v>2593</v>
      </c>
      <c r="R2960">
        <v>84</v>
      </c>
      <c r="T2960">
        <v>125</v>
      </c>
      <c r="V2960">
        <v>72</v>
      </c>
      <c r="X2960">
        <v>48</v>
      </c>
      <c r="CH2960" t="str">
        <f t="shared" si="46"/>
        <v>D-0267</v>
      </c>
      <c r="CI2960" s="1" t="s">
        <v>102</v>
      </c>
    </row>
    <row r="2961" spans="1:87">
      <c r="A2961" t="s">
        <v>4660</v>
      </c>
      <c r="B2961">
        <v>3613</v>
      </c>
      <c r="C2961" t="s">
        <v>4661</v>
      </c>
      <c r="D2961" t="s">
        <v>223</v>
      </c>
      <c r="E2961" t="s">
        <v>629</v>
      </c>
      <c r="F2961" t="s">
        <v>693</v>
      </c>
      <c r="G2961" t="s">
        <v>2696</v>
      </c>
      <c r="R2961">
        <v>28</v>
      </c>
      <c r="T2961">
        <v>234</v>
      </c>
      <c r="V2961">
        <v>627</v>
      </c>
      <c r="X2961">
        <v>971</v>
      </c>
      <c r="Z2961">
        <v>876</v>
      </c>
      <c r="AB2961">
        <v>572</v>
      </c>
      <c r="AD2961">
        <v>249</v>
      </c>
      <c r="AF2961">
        <v>56</v>
      </c>
      <c r="CH2961" t="str">
        <f t="shared" si="46"/>
        <v>D-0263</v>
      </c>
      <c r="CI2961" s="1" t="s">
        <v>102</v>
      </c>
    </row>
    <row r="2962" spans="1:87">
      <c r="A2962" t="s">
        <v>4662</v>
      </c>
      <c r="B2962">
        <v>3366</v>
      </c>
      <c r="C2962" t="s">
        <v>1145</v>
      </c>
      <c r="D2962" t="s">
        <v>223</v>
      </c>
      <c r="E2962" t="s">
        <v>642</v>
      </c>
      <c r="F2962" t="s">
        <v>693</v>
      </c>
      <c r="G2962" t="s">
        <v>2593</v>
      </c>
      <c r="P2962">
        <v>54</v>
      </c>
      <c r="Q2962">
        <v>50</v>
      </c>
      <c r="R2962">
        <v>189</v>
      </c>
      <c r="S2962">
        <v>207</v>
      </c>
      <c r="T2962">
        <v>299</v>
      </c>
      <c r="U2962">
        <v>451</v>
      </c>
      <c r="V2962">
        <v>386</v>
      </c>
      <c r="W2962">
        <v>456</v>
      </c>
      <c r="X2962">
        <v>424</v>
      </c>
      <c r="Y2962">
        <v>345</v>
      </c>
      <c r="Z2962">
        <v>276</v>
      </c>
      <c r="AA2962">
        <v>77</v>
      </c>
      <c r="AB2962">
        <v>79</v>
      </c>
      <c r="AC2962">
        <v>27</v>
      </c>
      <c r="AD2962">
        <v>46</v>
      </c>
      <c r="CH2962" t="str">
        <f t="shared" si="46"/>
        <v>D-0263</v>
      </c>
      <c r="CI2962" s="1" t="s">
        <v>102</v>
      </c>
    </row>
    <row r="2963" spans="1:87">
      <c r="A2963" t="s">
        <v>4663</v>
      </c>
      <c r="B2963">
        <v>5563</v>
      </c>
      <c r="C2963" t="s">
        <v>4664</v>
      </c>
      <c r="D2963" t="s">
        <v>223</v>
      </c>
      <c r="E2963" t="s">
        <v>642</v>
      </c>
      <c r="F2963" t="s">
        <v>693</v>
      </c>
      <c r="G2963" t="s">
        <v>2283</v>
      </c>
      <c r="P2963">
        <v>40</v>
      </c>
      <c r="Q2963">
        <v>47</v>
      </c>
      <c r="R2963">
        <v>329</v>
      </c>
      <c r="S2963">
        <v>399</v>
      </c>
      <c r="T2963">
        <v>681</v>
      </c>
      <c r="U2963">
        <v>721</v>
      </c>
      <c r="V2963">
        <v>884</v>
      </c>
      <c r="W2963">
        <v>778</v>
      </c>
      <c r="X2963">
        <v>675</v>
      </c>
      <c r="Y2963">
        <v>397</v>
      </c>
      <c r="Z2963">
        <v>364</v>
      </c>
      <c r="AA2963">
        <v>54</v>
      </c>
      <c r="AB2963">
        <v>146</v>
      </c>
      <c r="AC2963">
        <v>18</v>
      </c>
      <c r="AD2963">
        <v>30</v>
      </c>
      <c r="CH2963" t="str">
        <f t="shared" si="46"/>
        <v>D-0263</v>
      </c>
      <c r="CI2963" s="1" t="s">
        <v>102</v>
      </c>
    </row>
    <row r="2964" spans="1:87">
      <c r="A2964" t="s">
        <v>4665</v>
      </c>
      <c r="B2964">
        <v>2163</v>
      </c>
      <c r="C2964" t="s">
        <v>2690</v>
      </c>
      <c r="D2964" t="s">
        <v>223</v>
      </c>
      <c r="E2964" t="s">
        <v>642</v>
      </c>
      <c r="F2964" t="s">
        <v>693</v>
      </c>
      <c r="G2964" t="s">
        <v>2691</v>
      </c>
      <c r="P2964">
        <v>30</v>
      </c>
      <c r="Q2964">
        <v>35</v>
      </c>
      <c r="R2964">
        <v>96</v>
      </c>
      <c r="S2964">
        <v>127</v>
      </c>
      <c r="T2964">
        <v>235</v>
      </c>
      <c r="U2964">
        <v>256</v>
      </c>
      <c r="V2964">
        <v>343</v>
      </c>
      <c r="W2964">
        <v>291</v>
      </c>
      <c r="X2964">
        <v>286</v>
      </c>
      <c r="Y2964">
        <v>172</v>
      </c>
      <c r="Z2964">
        <v>150</v>
      </c>
      <c r="AA2964">
        <v>41</v>
      </c>
      <c r="AB2964">
        <v>65</v>
      </c>
      <c r="AC2964">
        <v>13</v>
      </c>
      <c r="AD2964">
        <v>23</v>
      </c>
      <c r="CH2964" t="str">
        <f t="shared" si="46"/>
        <v>D-0263</v>
      </c>
      <c r="CI2964" s="1" t="s">
        <v>102</v>
      </c>
    </row>
    <row r="2965" spans="1:87">
      <c r="A2965" t="s">
        <v>4666</v>
      </c>
      <c r="B2965">
        <v>4663</v>
      </c>
      <c r="C2965" t="s">
        <v>2719</v>
      </c>
      <c r="D2965" t="s">
        <v>217</v>
      </c>
      <c r="E2965" t="s">
        <v>642</v>
      </c>
      <c r="F2965" t="s">
        <v>644</v>
      </c>
      <c r="G2965" t="s">
        <v>2283</v>
      </c>
      <c r="P2965">
        <v>74</v>
      </c>
      <c r="Q2965">
        <v>85</v>
      </c>
      <c r="R2965">
        <v>390</v>
      </c>
      <c r="S2965">
        <v>520</v>
      </c>
      <c r="T2965">
        <v>690</v>
      </c>
      <c r="U2965">
        <v>685</v>
      </c>
      <c r="V2965">
        <v>549</v>
      </c>
      <c r="W2965">
        <v>411</v>
      </c>
      <c r="X2965">
        <v>356</v>
      </c>
      <c r="Y2965">
        <v>280</v>
      </c>
      <c r="Z2965">
        <v>267</v>
      </c>
      <c r="AA2965">
        <v>88</v>
      </c>
      <c r="AB2965">
        <v>163</v>
      </c>
      <c r="AC2965">
        <v>44</v>
      </c>
      <c r="AD2965">
        <v>61</v>
      </c>
      <c r="CH2965" t="str">
        <f t="shared" si="46"/>
        <v>D-0260</v>
      </c>
      <c r="CI2965" s="1" t="s">
        <v>102</v>
      </c>
    </row>
    <row r="2966" spans="1:87">
      <c r="A2966" t="s">
        <v>4667</v>
      </c>
      <c r="B2966">
        <v>4237</v>
      </c>
      <c r="C2966" t="s">
        <v>3447</v>
      </c>
      <c r="D2966" t="s">
        <v>217</v>
      </c>
      <c r="E2966" t="s">
        <v>642</v>
      </c>
      <c r="F2966" t="s">
        <v>644</v>
      </c>
      <c r="G2966" t="s">
        <v>3448</v>
      </c>
      <c r="P2966">
        <v>36</v>
      </c>
      <c r="Q2966">
        <v>131</v>
      </c>
      <c r="R2966">
        <v>385</v>
      </c>
      <c r="S2966">
        <v>529</v>
      </c>
      <c r="T2966">
        <v>1175</v>
      </c>
      <c r="U2966">
        <v>1013</v>
      </c>
      <c r="V2966">
        <v>693</v>
      </c>
      <c r="W2966">
        <v>237</v>
      </c>
      <c r="X2966">
        <v>34</v>
      </c>
      <c r="Y2966">
        <v>4</v>
      </c>
      <c r="CH2966" t="str">
        <f t="shared" si="46"/>
        <v>D-0260</v>
      </c>
      <c r="CI2966" s="1" t="s">
        <v>102</v>
      </c>
    </row>
    <row r="2967" spans="1:87">
      <c r="A2967" t="s">
        <v>4668</v>
      </c>
      <c r="B2967">
        <v>2949</v>
      </c>
      <c r="C2967" t="s">
        <v>2712</v>
      </c>
      <c r="D2967" t="s">
        <v>237</v>
      </c>
      <c r="E2967" t="s">
        <v>629</v>
      </c>
      <c r="F2967" t="s">
        <v>632</v>
      </c>
      <c r="G2967" t="s">
        <v>2593</v>
      </c>
      <c r="S2967">
        <v>7</v>
      </c>
      <c r="T2967">
        <v>20</v>
      </c>
      <c r="U2967">
        <v>39</v>
      </c>
      <c r="V2967">
        <v>222</v>
      </c>
      <c r="W2967">
        <v>302</v>
      </c>
      <c r="X2967">
        <v>361</v>
      </c>
      <c r="Y2967">
        <v>527</v>
      </c>
      <c r="Z2967">
        <v>465</v>
      </c>
      <c r="AA2967">
        <v>286</v>
      </c>
      <c r="AB2967">
        <v>323</v>
      </c>
      <c r="AC2967">
        <v>163</v>
      </c>
      <c r="AD2967">
        <v>185</v>
      </c>
      <c r="AE2967">
        <v>30</v>
      </c>
      <c r="AF2967">
        <v>19</v>
      </c>
      <c r="CH2967" t="str">
        <f t="shared" si="46"/>
        <v>D-0267</v>
      </c>
      <c r="CI2967" s="1" t="s">
        <v>102</v>
      </c>
    </row>
    <row r="2968" spans="1:87">
      <c r="A2968" t="s">
        <v>4669</v>
      </c>
      <c r="B2968">
        <v>2813</v>
      </c>
      <c r="C2968" t="s">
        <v>1451</v>
      </c>
      <c r="D2968" t="s">
        <v>237</v>
      </c>
      <c r="E2968" t="s">
        <v>629</v>
      </c>
      <c r="F2968" t="s">
        <v>632</v>
      </c>
      <c r="G2968" t="s">
        <v>2593</v>
      </c>
      <c r="T2968">
        <v>134</v>
      </c>
      <c r="U2968">
        <v>133</v>
      </c>
      <c r="V2968">
        <v>166</v>
      </c>
      <c r="W2968">
        <v>32</v>
      </c>
      <c r="X2968">
        <v>130</v>
      </c>
      <c r="Y2968">
        <v>143</v>
      </c>
      <c r="Z2968">
        <v>273</v>
      </c>
      <c r="AA2968">
        <v>392</v>
      </c>
      <c r="AB2968">
        <v>389</v>
      </c>
      <c r="AC2968">
        <v>141</v>
      </c>
      <c r="AD2968">
        <v>449</v>
      </c>
      <c r="AE2968">
        <v>53</v>
      </c>
      <c r="AF2968">
        <v>378</v>
      </c>
      <c r="CH2968" t="str">
        <f t="shared" si="46"/>
        <v>D-0267</v>
      </c>
      <c r="CI2968" s="1" t="s">
        <v>102</v>
      </c>
    </row>
    <row r="2969" spans="1:87">
      <c r="A2969" t="s">
        <v>4670</v>
      </c>
      <c r="B2969">
        <v>239</v>
      </c>
      <c r="C2969" t="s">
        <v>4657</v>
      </c>
      <c r="D2969" t="s">
        <v>237</v>
      </c>
      <c r="E2969" t="s">
        <v>629</v>
      </c>
      <c r="F2969" t="s">
        <v>632</v>
      </c>
      <c r="G2969" t="s">
        <v>4658</v>
      </c>
      <c r="T2969">
        <v>30</v>
      </c>
      <c r="U2969">
        <v>12</v>
      </c>
      <c r="X2969">
        <v>71</v>
      </c>
      <c r="Z2969">
        <v>60</v>
      </c>
      <c r="AB2969">
        <v>42</v>
      </c>
      <c r="AD2969">
        <v>18</v>
      </c>
      <c r="AF2969">
        <v>6</v>
      </c>
      <c r="CH2969" t="str">
        <f t="shared" si="46"/>
        <v>D-0267</v>
      </c>
      <c r="CI2969" s="1" t="s">
        <v>102</v>
      </c>
    </row>
    <row r="2970" spans="1:87">
      <c r="A2970" t="s">
        <v>4671</v>
      </c>
      <c r="B2970">
        <v>2605</v>
      </c>
      <c r="C2970" t="s">
        <v>4646</v>
      </c>
      <c r="D2970" t="s">
        <v>237</v>
      </c>
      <c r="E2970" t="s">
        <v>642</v>
      </c>
      <c r="F2970" t="s">
        <v>645</v>
      </c>
      <c r="G2970" t="s">
        <v>2593</v>
      </c>
      <c r="Q2970">
        <v>303</v>
      </c>
      <c r="R2970">
        <v>378</v>
      </c>
      <c r="S2970">
        <v>702</v>
      </c>
      <c r="T2970">
        <v>493</v>
      </c>
      <c r="U2970">
        <v>432</v>
      </c>
      <c r="V2970">
        <v>102</v>
      </c>
      <c r="W2970">
        <v>168</v>
      </c>
      <c r="Y2970">
        <v>18</v>
      </c>
      <c r="AA2970">
        <v>9</v>
      </c>
      <c r="CH2970" t="str">
        <f t="shared" si="46"/>
        <v>D-0267</v>
      </c>
      <c r="CI2970" s="1" t="s">
        <v>102</v>
      </c>
    </row>
    <row r="2971" spans="1:87">
      <c r="A2971" t="s">
        <v>4672</v>
      </c>
      <c r="B2971">
        <v>443</v>
      </c>
      <c r="C2971" t="s">
        <v>2721</v>
      </c>
      <c r="D2971" t="s">
        <v>237</v>
      </c>
      <c r="E2971" t="s">
        <v>642</v>
      </c>
      <c r="F2971" t="s">
        <v>645</v>
      </c>
      <c r="G2971" t="s">
        <v>2722</v>
      </c>
      <c r="Q2971">
        <v>6</v>
      </c>
      <c r="R2971">
        <v>6</v>
      </c>
      <c r="S2971">
        <v>72</v>
      </c>
      <c r="T2971">
        <v>23</v>
      </c>
      <c r="U2971">
        <v>126</v>
      </c>
      <c r="V2971">
        <v>18</v>
      </c>
      <c r="W2971">
        <v>108</v>
      </c>
      <c r="X2971">
        <v>6</v>
      </c>
      <c r="Y2971">
        <v>72</v>
      </c>
      <c r="AA2971">
        <v>6</v>
      </c>
      <c r="CH2971" t="str">
        <f t="shared" si="46"/>
        <v>D-0267</v>
      </c>
      <c r="CI2971" s="1" t="s">
        <v>102</v>
      </c>
    </row>
    <row r="2972" spans="1:87">
      <c r="A2972" t="s">
        <v>4673</v>
      </c>
      <c r="B2972">
        <v>4867</v>
      </c>
      <c r="C2972" t="s">
        <v>2697</v>
      </c>
      <c r="D2972" t="s">
        <v>223</v>
      </c>
      <c r="E2972" t="s">
        <v>629</v>
      </c>
      <c r="F2972" t="s">
        <v>693</v>
      </c>
      <c r="G2972" t="s">
        <v>2593</v>
      </c>
      <c r="R2972">
        <v>6</v>
      </c>
      <c r="T2972">
        <v>474</v>
      </c>
      <c r="U2972">
        <v>78</v>
      </c>
      <c r="V2972">
        <v>1062</v>
      </c>
      <c r="W2972">
        <v>78</v>
      </c>
      <c r="X2972">
        <v>1327</v>
      </c>
      <c r="Y2972">
        <v>84</v>
      </c>
      <c r="Z2972">
        <v>960</v>
      </c>
      <c r="AA2972">
        <v>66</v>
      </c>
      <c r="AB2972">
        <v>504</v>
      </c>
      <c r="AC2972">
        <v>48</v>
      </c>
      <c r="AD2972">
        <v>168</v>
      </c>
      <c r="AF2972">
        <v>12</v>
      </c>
      <c r="CH2972" t="str">
        <f t="shared" si="46"/>
        <v>D-0263</v>
      </c>
      <c r="CI2972" s="1" t="s">
        <v>102</v>
      </c>
    </row>
    <row r="2973" spans="1:87">
      <c r="A2973" t="s">
        <v>4674</v>
      </c>
      <c r="B2973">
        <v>3012</v>
      </c>
      <c r="C2973" t="s">
        <v>4675</v>
      </c>
      <c r="D2973" t="s">
        <v>223</v>
      </c>
      <c r="E2973" t="s">
        <v>629</v>
      </c>
      <c r="F2973" t="s">
        <v>693</v>
      </c>
      <c r="G2973" t="s">
        <v>2814</v>
      </c>
      <c r="R2973">
        <v>25</v>
      </c>
      <c r="S2973">
        <v>22</v>
      </c>
      <c r="T2973">
        <v>79</v>
      </c>
      <c r="U2973">
        <v>93</v>
      </c>
      <c r="V2973">
        <v>179</v>
      </c>
      <c r="W2973">
        <v>192</v>
      </c>
      <c r="X2973">
        <v>281</v>
      </c>
      <c r="Y2973">
        <v>294</v>
      </c>
      <c r="Z2973">
        <v>348</v>
      </c>
      <c r="AA2973">
        <v>345</v>
      </c>
      <c r="AB2973">
        <v>340</v>
      </c>
      <c r="AC2973">
        <v>200</v>
      </c>
      <c r="AD2973">
        <v>271</v>
      </c>
      <c r="AE2973">
        <v>39</v>
      </c>
      <c r="AF2973">
        <v>195</v>
      </c>
      <c r="AH2973">
        <v>75</v>
      </c>
      <c r="AJ2973">
        <v>34</v>
      </c>
      <c r="CH2973" t="str">
        <f t="shared" si="46"/>
        <v>D-0263</v>
      </c>
      <c r="CI2973" s="1" t="s">
        <v>102</v>
      </c>
    </row>
    <row r="2974" spans="1:87">
      <c r="A2974" t="s">
        <v>4676</v>
      </c>
      <c r="B2974">
        <v>4429</v>
      </c>
      <c r="C2974" t="s">
        <v>1145</v>
      </c>
      <c r="D2974" t="s">
        <v>223</v>
      </c>
      <c r="E2974" t="s">
        <v>642</v>
      </c>
      <c r="F2974" t="s">
        <v>693</v>
      </c>
      <c r="G2974" t="s">
        <v>2593</v>
      </c>
      <c r="P2974">
        <v>12</v>
      </c>
      <c r="Q2974">
        <v>18</v>
      </c>
      <c r="R2974">
        <v>396</v>
      </c>
      <c r="S2974">
        <v>426</v>
      </c>
      <c r="T2974">
        <v>571</v>
      </c>
      <c r="U2974">
        <v>534</v>
      </c>
      <c r="V2974">
        <v>648</v>
      </c>
      <c r="W2974">
        <v>594</v>
      </c>
      <c r="X2974">
        <v>546</v>
      </c>
      <c r="Y2974">
        <v>276</v>
      </c>
      <c r="Z2974">
        <v>306</v>
      </c>
      <c r="AB2974">
        <v>96</v>
      </c>
      <c r="AD2974">
        <v>6</v>
      </c>
      <c r="CH2974" t="str">
        <f t="shared" si="46"/>
        <v>D-0263</v>
      </c>
      <c r="CI2974" s="1" t="s">
        <v>102</v>
      </c>
    </row>
    <row r="2975" spans="1:87">
      <c r="A2975" t="s">
        <v>4677</v>
      </c>
      <c r="B2975">
        <v>1513</v>
      </c>
      <c r="C2975" t="s">
        <v>2719</v>
      </c>
      <c r="D2975" t="s">
        <v>217</v>
      </c>
      <c r="E2975" t="s">
        <v>642</v>
      </c>
      <c r="F2975" t="s">
        <v>644</v>
      </c>
      <c r="G2975" t="s">
        <v>2283</v>
      </c>
      <c r="Q2975">
        <v>34</v>
      </c>
      <c r="R2975">
        <v>166</v>
      </c>
      <c r="S2975">
        <v>226</v>
      </c>
      <c r="T2975">
        <v>359</v>
      </c>
      <c r="U2975">
        <v>322</v>
      </c>
      <c r="V2975">
        <v>272</v>
      </c>
      <c r="W2975">
        <v>76</v>
      </c>
      <c r="X2975">
        <v>35</v>
      </c>
      <c r="Y2975">
        <v>23</v>
      </c>
      <c r="CH2975" t="str">
        <f t="shared" si="46"/>
        <v>D-0260</v>
      </c>
      <c r="CI2975" s="1" t="s">
        <v>102</v>
      </c>
    </row>
    <row r="2976" spans="1:87">
      <c r="A2976" t="s">
        <v>4678</v>
      </c>
      <c r="B2976">
        <v>1387</v>
      </c>
      <c r="C2976" t="s">
        <v>3447</v>
      </c>
      <c r="D2976" t="s">
        <v>217</v>
      </c>
      <c r="E2976" t="s">
        <v>642</v>
      </c>
      <c r="F2976" t="s">
        <v>644</v>
      </c>
      <c r="G2976" t="s">
        <v>3448</v>
      </c>
      <c r="R2976">
        <v>132</v>
      </c>
      <c r="S2976">
        <v>234</v>
      </c>
      <c r="T2976">
        <v>349</v>
      </c>
      <c r="U2976">
        <v>312</v>
      </c>
      <c r="V2976">
        <v>264</v>
      </c>
      <c r="W2976">
        <v>90</v>
      </c>
      <c r="X2976">
        <v>6</v>
      </c>
      <c r="CH2976" t="str">
        <f t="shared" si="46"/>
        <v>D-0260</v>
      </c>
      <c r="CI2976" s="1" t="s">
        <v>102</v>
      </c>
    </row>
    <row r="2977" spans="1:87">
      <c r="A2977" t="s">
        <v>4679</v>
      </c>
      <c r="B2977">
        <v>15120</v>
      </c>
      <c r="C2977" t="s">
        <v>2707</v>
      </c>
      <c r="D2977" t="s">
        <v>118</v>
      </c>
      <c r="E2977" t="s">
        <v>696</v>
      </c>
      <c r="F2977" t="s">
        <v>630</v>
      </c>
      <c r="G2977" t="s">
        <v>2705</v>
      </c>
      <c r="H2977">
        <v>2067</v>
      </c>
      <c r="I2977">
        <v>904</v>
      </c>
      <c r="J2977">
        <v>2102</v>
      </c>
      <c r="K2977">
        <v>984</v>
      </c>
      <c r="L2977">
        <v>2358</v>
      </c>
      <c r="AA2977">
        <v>379</v>
      </c>
      <c r="AB2977">
        <v>1453</v>
      </c>
      <c r="AC2977">
        <v>268</v>
      </c>
      <c r="AD2977">
        <v>1729</v>
      </c>
      <c r="AE2977">
        <v>408</v>
      </c>
      <c r="AF2977">
        <v>1961</v>
      </c>
      <c r="AG2977">
        <v>507</v>
      </c>
      <c r="CH2977" t="str">
        <f t="shared" si="46"/>
        <v>D-0006</v>
      </c>
      <c r="CI2977" s="1" t="s">
        <v>102</v>
      </c>
    </row>
    <row r="2978" spans="1:87">
      <c r="A2978" t="s">
        <v>4680</v>
      </c>
      <c r="B2978">
        <v>2407</v>
      </c>
      <c r="C2978" t="s">
        <v>1029</v>
      </c>
      <c r="D2978" t="s">
        <v>397</v>
      </c>
      <c r="E2978" t="s">
        <v>696</v>
      </c>
      <c r="F2978" t="s">
        <v>716</v>
      </c>
      <c r="G2978" t="s">
        <v>2593</v>
      </c>
      <c r="H2978">
        <v>348</v>
      </c>
      <c r="J2978">
        <v>456</v>
      </c>
      <c r="L2978">
        <v>540</v>
      </c>
      <c r="AB2978">
        <v>300</v>
      </c>
      <c r="AD2978">
        <v>367</v>
      </c>
      <c r="AF2978">
        <v>396</v>
      </c>
      <c r="CH2978" t="str">
        <f t="shared" si="46"/>
        <v>D-0578</v>
      </c>
      <c r="CI2978" s="1" t="s">
        <v>102</v>
      </c>
    </row>
    <row r="2979" spans="1:87">
      <c r="A2979" t="s">
        <v>4681</v>
      </c>
      <c r="B2979">
        <v>4711</v>
      </c>
      <c r="C2979" t="s">
        <v>2731</v>
      </c>
      <c r="D2979" t="s">
        <v>397</v>
      </c>
      <c r="E2979" t="s">
        <v>696</v>
      </c>
      <c r="F2979" t="s">
        <v>716</v>
      </c>
      <c r="G2979" t="s">
        <v>2732</v>
      </c>
      <c r="H2979">
        <v>730</v>
      </c>
      <c r="I2979">
        <v>466</v>
      </c>
      <c r="J2979">
        <v>596</v>
      </c>
      <c r="K2979">
        <v>466</v>
      </c>
      <c r="L2979">
        <v>548</v>
      </c>
      <c r="AB2979">
        <v>274</v>
      </c>
      <c r="AC2979">
        <v>276</v>
      </c>
      <c r="AD2979">
        <v>281</v>
      </c>
      <c r="AE2979">
        <v>274</v>
      </c>
      <c r="AF2979">
        <v>466</v>
      </c>
      <c r="AG2979">
        <v>334</v>
      </c>
      <c r="CH2979" t="str">
        <f t="shared" si="46"/>
        <v>D-0578</v>
      </c>
      <c r="CI2979" s="1" t="s">
        <v>102</v>
      </c>
    </row>
    <row r="2980" spans="1:87">
      <c r="A2980" t="s">
        <v>4682</v>
      </c>
      <c r="B2980">
        <v>3139</v>
      </c>
      <c r="C2980" t="s">
        <v>1164</v>
      </c>
      <c r="D2980" t="s">
        <v>395</v>
      </c>
      <c r="E2980" t="s">
        <v>659</v>
      </c>
      <c r="F2980" t="s">
        <v>726</v>
      </c>
      <c r="G2980" t="s">
        <v>2732</v>
      </c>
      <c r="N2980">
        <v>235</v>
      </c>
      <c r="P2980">
        <v>242</v>
      </c>
      <c r="R2980">
        <v>494</v>
      </c>
      <c r="T2980">
        <v>506</v>
      </c>
      <c r="V2980">
        <v>542</v>
      </c>
      <c r="X2980">
        <v>554</v>
      </c>
      <c r="Z2980">
        <v>566</v>
      </c>
      <c r="CH2980" t="str">
        <f t="shared" si="46"/>
        <v>D-0577</v>
      </c>
      <c r="CI2980" s="1" t="s">
        <v>102</v>
      </c>
    </row>
    <row r="2981" spans="1:87">
      <c r="A2981" t="s">
        <v>5171</v>
      </c>
      <c r="B2981">
        <v>10139</v>
      </c>
      <c r="C2981" t="s">
        <v>3847</v>
      </c>
      <c r="D2981" t="s">
        <v>223</v>
      </c>
      <c r="E2981" t="s">
        <v>642</v>
      </c>
      <c r="F2981" t="s">
        <v>690</v>
      </c>
      <c r="G2981" t="s">
        <v>3848</v>
      </c>
      <c r="Q2981">
        <v>523</v>
      </c>
      <c r="R2981">
        <v>930</v>
      </c>
      <c r="S2981">
        <v>1678</v>
      </c>
      <c r="T2981">
        <v>1380</v>
      </c>
      <c r="U2981">
        <v>2139</v>
      </c>
      <c r="V2981">
        <v>781</v>
      </c>
      <c r="W2981">
        <v>1532</v>
      </c>
      <c r="X2981">
        <v>216</v>
      </c>
      <c r="Y2981">
        <v>713</v>
      </c>
      <c r="AA2981">
        <v>230</v>
      </c>
      <c r="AB2981">
        <v>17</v>
      </c>
      <c r="CH2981" t="str">
        <f t="shared" si="46"/>
        <v>D-0263</v>
      </c>
      <c r="CI2981" s="1" t="s">
        <v>102</v>
      </c>
    </row>
    <row r="2982" spans="1:87">
      <c r="A2982" t="s">
        <v>4683</v>
      </c>
      <c r="B2982">
        <v>5825</v>
      </c>
      <c r="C2982" t="s">
        <v>976</v>
      </c>
      <c r="D2982" t="s">
        <v>116</v>
      </c>
      <c r="E2982" t="s">
        <v>974</v>
      </c>
      <c r="F2982" t="s">
        <v>632</v>
      </c>
      <c r="G2982" t="s">
        <v>2693</v>
      </c>
      <c r="M2982">
        <v>390</v>
      </c>
      <c r="N2982">
        <v>690</v>
      </c>
      <c r="O2982">
        <v>630</v>
      </c>
      <c r="P2982">
        <v>771</v>
      </c>
      <c r="Q2982">
        <v>692</v>
      </c>
      <c r="R2982">
        <v>810</v>
      </c>
      <c r="S2982">
        <v>741</v>
      </c>
      <c r="T2982">
        <v>1101</v>
      </c>
      <c r="CH2982" t="str">
        <f t="shared" si="46"/>
        <v>D-0005</v>
      </c>
      <c r="CI2982" s="1" t="s">
        <v>102</v>
      </c>
    </row>
    <row r="2983" spans="1:87">
      <c r="A2983" t="s">
        <v>4684</v>
      </c>
      <c r="B2983">
        <v>739</v>
      </c>
      <c r="C2983" t="s">
        <v>1452</v>
      </c>
      <c r="D2983" t="s">
        <v>119</v>
      </c>
      <c r="E2983" t="s">
        <v>659</v>
      </c>
      <c r="F2983" t="s">
        <v>660</v>
      </c>
      <c r="G2983" t="s">
        <v>2693</v>
      </c>
      <c r="J2983">
        <v>24</v>
      </c>
      <c r="L2983">
        <v>30</v>
      </c>
      <c r="N2983">
        <v>54</v>
      </c>
      <c r="P2983">
        <v>73</v>
      </c>
      <c r="R2983">
        <v>114</v>
      </c>
      <c r="T2983">
        <v>120</v>
      </c>
      <c r="V2983">
        <v>114</v>
      </c>
      <c r="X2983">
        <v>102</v>
      </c>
      <c r="Z2983">
        <v>108</v>
      </c>
      <c r="CH2983" t="str">
        <f t="shared" si="46"/>
        <v>D-0007</v>
      </c>
      <c r="CI2983" s="1" t="s">
        <v>102</v>
      </c>
    </row>
    <row r="2984" spans="1:87">
      <c r="A2984" t="s">
        <v>4685</v>
      </c>
      <c r="B2984">
        <v>267</v>
      </c>
      <c r="C2984" t="s">
        <v>1444</v>
      </c>
      <c r="D2984" t="s">
        <v>237</v>
      </c>
      <c r="E2984" t="s">
        <v>629</v>
      </c>
      <c r="F2984" t="s">
        <v>632</v>
      </c>
      <c r="G2984" t="s">
        <v>2283</v>
      </c>
      <c r="Y2984">
        <v>267</v>
      </c>
      <c r="CH2984" t="str">
        <f t="shared" si="46"/>
        <v>D-0267</v>
      </c>
      <c r="CI2984" s="1" t="s">
        <v>102</v>
      </c>
    </row>
    <row r="2985" spans="1:87">
      <c r="A2985" t="s">
        <v>4686</v>
      </c>
      <c r="B2985">
        <v>2285</v>
      </c>
      <c r="C2985" t="s">
        <v>1444</v>
      </c>
      <c r="D2985" t="s">
        <v>237</v>
      </c>
      <c r="E2985" t="s">
        <v>629</v>
      </c>
      <c r="F2985" t="s">
        <v>632</v>
      </c>
      <c r="G2985" t="s">
        <v>2283</v>
      </c>
      <c r="T2985">
        <v>69</v>
      </c>
      <c r="U2985">
        <v>71</v>
      </c>
      <c r="V2985">
        <v>169</v>
      </c>
      <c r="W2985">
        <v>196</v>
      </c>
      <c r="X2985">
        <v>332</v>
      </c>
      <c r="Z2985">
        <v>370</v>
      </c>
      <c r="AA2985">
        <v>267</v>
      </c>
      <c r="AB2985">
        <v>322</v>
      </c>
      <c r="AC2985">
        <v>146</v>
      </c>
      <c r="AD2985">
        <v>215</v>
      </c>
      <c r="AE2985">
        <v>26</v>
      </c>
      <c r="AF2985">
        <v>102</v>
      </c>
      <c r="CH2985" t="str">
        <f t="shared" si="46"/>
        <v>D-0267</v>
      </c>
      <c r="CI2985" s="1" t="s">
        <v>102</v>
      </c>
    </row>
    <row r="2986" spans="1:87">
      <c r="A2986" t="s">
        <v>4687</v>
      </c>
      <c r="B2986">
        <v>2915</v>
      </c>
      <c r="C2986" t="s">
        <v>4657</v>
      </c>
      <c r="D2986" t="s">
        <v>237</v>
      </c>
      <c r="E2986" t="s">
        <v>629</v>
      </c>
      <c r="F2986" t="s">
        <v>632</v>
      </c>
      <c r="G2986" t="s">
        <v>4658</v>
      </c>
      <c r="T2986">
        <v>384</v>
      </c>
      <c r="U2986">
        <v>130</v>
      </c>
      <c r="X2986">
        <v>842</v>
      </c>
      <c r="Z2986">
        <v>791</v>
      </c>
      <c r="AB2986">
        <v>516</v>
      </c>
      <c r="AD2986">
        <v>218</v>
      </c>
      <c r="AF2986">
        <v>34</v>
      </c>
      <c r="CH2986" t="str">
        <f t="shared" si="46"/>
        <v>D-0267</v>
      </c>
      <c r="CI2986" s="1" t="s">
        <v>102</v>
      </c>
    </row>
    <row r="2987" spans="1:87">
      <c r="A2987" t="s">
        <v>4688</v>
      </c>
      <c r="B2987">
        <v>5418</v>
      </c>
      <c r="C2987" t="s">
        <v>2721</v>
      </c>
      <c r="D2987" t="s">
        <v>237</v>
      </c>
      <c r="E2987" t="s">
        <v>642</v>
      </c>
      <c r="F2987" t="s">
        <v>645</v>
      </c>
      <c r="G2987" t="s">
        <v>2722</v>
      </c>
      <c r="P2987">
        <v>25</v>
      </c>
      <c r="Q2987">
        <v>26</v>
      </c>
      <c r="R2987">
        <v>456</v>
      </c>
      <c r="S2987">
        <v>609</v>
      </c>
      <c r="T2987">
        <v>1034</v>
      </c>
      <c r="U2987">
        <v>925</v>
      </c>
      <c r="V2987">
        <v>986</v>
      </c>
      <c r="W2987">
        <v>629</v>
      </c>
      <c r="X2987">
        <v>397</v>
      </c>
      <c r="Y2987">
        <v>177</v>
      </c>
      <c r="Z2987">
        <v>92</v>
      </c>
      <c r="AA2987">
        <v>13</v>
      </c>
      <c r="AB2987">
        <v>43</v>
      </c>
      <c r="AC2987">
        <v>6</v>
      </c>
      <c r="CH2987" t="str">
        <f t="shared" si="46"/>
        <v>D-0267</v>
      </c>
      <c r="CI2987" s="1" t="s">
        <v>102</v>
      </c>
    </row>
    <row r="2988" spans="1:87">
      <c r="A2988" t="s">
        <v>4689</v>
      </c>
      <c r="B2988">
        <v>4032</v>
      </c>
      <c r="C2988" t="s">
        <v>2690</v>
      </c>
      <c r="D2988" t="s">
        <v>223</v>
      </c>
      <c r="E2988" t="s">
        <v>642</v>
      </c>
      <c r="F2988" t="s">
        <v>693</v>
      </c>
      <c r="G2988" t="s">
        <v>2691</v>
      </c>
      <c r="P2988">
        <v>57</v>
      </c>
      <c r="Q2988">
        <v>67</v>
      </c>
      <c r="R2988">
        <v>180</v>
      </c>
      <c r="S2988">
        <v>236</v>
      </c>
      <c r="T2988">
        <v>432</v>
      </c>
      <c r="U2988">
        <v>476</v>
      </c>
      <c r="V2988">
        <v>638</v>
      </c>
      <c r="W2988">
        <v>543</v>
      </c>
      <c r="X2988">
        <v>533</v>
      </c>
      <c r="Y2988">
        <v>320</v>
      </c>
      <c r="Z2988">
        <v>281</v>
      </c>
      <c r="AA2988">
        <v>78</v>
      </c>
      <c r="AB2988">
        <v>122</v>
      </c>
      <c r="AC2988">
        <v>26</v>
      </c>
      <c r="AD2988">
        <v>43</v>
      </c>
      <c r="CH2988" t="str">
        <f t="shared" si="46"/>
        <v>D-0263</v>
      </c>
      <c r="CI2988" s="1" t="s">
        <v>102</v>
      </c>
    </row>
    <row r="2989" spans="1:87">
      <c r="A2989" t="s">
        <v>4690</v>
      </c>
      <c r="B2989">
        <v>321</v>
      </c>
      <c r="C2989" t="s">
        <v>2695</v>
      </c>
      <c r="D2989" t="s">
        <v>222</v>
      </c>
      <c r="E2989" t="s">
        <v>629</v>
      </c>
      <c r="F2989" t="s">
        <v>690</v>
      </c>
      <c r="G2989" t="s">
        <v>2696</v>
      </c>
      <c r="T2989">
        <v>12</v>
      </c>
      <c r="V2989">
        <v>42</v>
      </c>
      <c r="X2989">
        <v>59</v>
      </c>
      <c r="Z2989">
        <v>102</v>
      </c>
      <c r="AB2989">
        <v>90</v>
      </c>
      <c r="AD2989">
        <v>10</v>
      </c>
      <c r="AH2989">
        <v>6</v>
      </c>
      <c r="CH2989" t="str">
        <f t="shared" si="46"/>
        <v>D-0262</v>
      </c>
      <c r="CI2989" s="1" t="s">
        <v>102</v>
      </c>
    </row>
    <row r="2990" spans="1:87">
      <c r="A2990" t="s">
        <v>4691</v>
      </c>
      <c r="B2990">
        <v>6818</v>
      </c>
      <c r="C2990" t="s">
        <v>1029</v>
      </c>
      <c r="D2990" t="s">
        <v>397</v>
      </c>
      <c r="E2990" t="s">
        <v>696</v>
      </c>
      <c r="F2990" t="s">
        <v>716</v>
      </c>
      <c r="G2990" t="s">
        <v>2593</v>
      </c>
      <c r="H2990">
        <v>768</v>
      </c>
      <c r="I2990">
        <v>835</v>
      </c>
      <c r="J2990">
        <v>358</v>
      </c>
      <c r="K2990">
        <v>1178</v>
      </c>
      <c r="L2990">
        <v>838</v>
      </c>
      <c r="AA2990">
        <v>12</v>
      </c>
      <c r="AB2990">
        <v>592</v>
      </c>
      <c r="AC2990">
        <v>16</v>
      </c>
      <c r="AD2990">
        <v>601</v>
      </c>
      <c r="AE2990">
        <v>424</v>
      </c>
      <c r="AF2990">
        <v>768</v>
      </c>
      <c r="AG2990">
        <v>428</v>
      </c>
      <c r="CH2990" t="str">
        <f t="shared" si="46"/>
        <v>D-0578</v>
      </c>
      <c r="CI2990" s="1" t="s">
        <v>102</v>
      </c>
    </row>
    <row r="2991" spans="1:87">
      <c r="A2991" t="s">
        <v>4692</v>
      </c>
      <c r="B2991">
        <v>5293</v>
      </c>
      <c r="C2991" t="s">
        <v>3843</v>
      </c>
      <c r="D2991" t="s">
        <v>222</v>
      </c>
      <c r="E2991" t="s">
        <v>642</v>
      </c>
      <c r="F2991" t="s">
        <v>690</v>
      </c>
      <c r="G2991" t="s">
        <v>3844</v>
      </c>
      <c r="P2991">
        <v>121</v>
      </c>
      <c r="Q2991">
        <v>420</v>
      </c>
      <c r="R2991">
        <v>660</v>
      </c>
      <c r="S2991">
        <v>696</v>
      </c>
      <c r="T2991">
        <v>618</v>
      </c>
      <c r="U2991">
        <v>870</v>
      </c>
      <c r="V2991">
        <v>354</v>
      </c>
      <c r="W2991">
        <v>546</v>
      </c>
      <c r="X2991">
        <v>264</v>
      </c>
      <c r="Y2991">
        <v>312</v>
      </c>
      <c r="Z2991">
        <v>150</v>
      </c>
      <c r="AA2991">
        <v>132</v>
      </c>
      <c r="AB2991">
        <v>78</v>
      </c>
      <c r="AC2991">
        <v>48</v>
      </c>
      <c r="AD2991">
        <v>24</v>
      </c>
      <c r="CH2991" t="str">
        <f t="shared" si="46"/>
        <v>D-0262</v>
      </c>
      <c r="CI2991" s="1" t="s">
        <v>102</v>
      </c>
    </row>
    <row r="2992" spans="1:87">
      <c r="A2992" t="s">
        <v>4693</v>
      </c>
      <c r="B2992">
        <v>4930</v>
      </c>
      <c r="C2992" t="s">
        <v>976</v>
      </c>
      <c r="D2992" t="s">
        <v>116</v>
      </c>
      <c r="E2992" t="s">
        <v>974</v>
      </c>
      <c r="F2992" t="s">
        <v>632</v>
      </c>
      <c r="G2992" t="s">
        <v>2693</v>
      </c>
      <c r="M2992">
        <v>660</v>
      </c>
      <c r="N2992">
        <v>572</v>
      </c>
      <c r="O2992">
        <v>874</v>
      </c>
      <c r="P2992">
        <v>453</v>
      </c>
      <c r="Q2992">
        <v>604</v>
      </c>
      <c r="R2992">
        <v>758</v>
      </c>
      <c r="S2992">
        <v>520</v>
      </c>
      <c r="T2992">
        <v>489</v>
      </c>
      <c r="CH2992" t="str">
        <f t="shared" si="46"/>
        <v>D-0005</v>
      </c>
      <c r="CI2992" s="1" t="s">
        <v>102</v>
      </c>
    </row>
    <row r="2993" spans="1:87">
      <c r="A2993" t="s">
        <v>4694</v>
      </c>
      <c r="B2993">
        <v>5905</v>
      </c>
      <c r="C2993" t="s">
        <v>3838</v>
      </c>
      <c r="D2993" t="s">
        <v>118</v>
      </c>
      <c r="E2993" t="s">
        <v>696</v>
      </c>
      <c r="F2993" t="s">
        <v>3839</v>
      </c>
      <c r="G2993" t="s">
        <v>2693</v>
      </c>
      <c r="H2993">
        <v>984</v>
      </c>
      <c r="I2993">
        <v>413</v>
      </c>
      <c r="J2993">
        <v>600</v>
      </c>
      <c r="K2993">
        <v>291</v>
      </c>
      <c r="L2993">
        <v>444</v>
      </c>
      <c r="AA2993">
        <v>89</v>
      </c>
      <c r="AB2993">
        <v>757</v>
      </c>
      <c r="AC2993">
        <v>96</v>
      </c>
      <c r="AD2993">
        <v>822</v>
      </c>
      <c r="AE2993">
        <v>186</v>
      </c>
      <c r="AF2993">
        <v>1069</v>
      </c>
      <c r="AG2993">
        <v>154</v>
      </c>
      <c r="CH2993" t="str">
        <f t="shared" si="46"/>
        <v>D-0006</v>
      </c>
      <c r="CI2993" s="1" t="s">
        <v>102</v>
      </c>
    </row>
    <row r="2994" spans="1:87">
      <c r="A2994" t="s">
        <v>4695</v>
      </c>
      <c r="B2994">
        <v>2081</v>
      </c>
      <c r="C2994" t="s">
        <v>4696</v>
      </c>
      <c r="D2994" t="s">
        <v>118</v>
      </c>
      <c r="E2994" t="s">
        <v>696</v>
      </c>
      <c r="F2994" t="s">
        <v>630</v>
      </c>
      <c r="G2994" t="s">
        <v>3830</v>
      </c>
      <c r="H2994">
        <v>205</v>
      </c>
      <c r="I2994">
        <v>237</v>
      </c>
      <c r="J2994">
        <v>184</v>
      </c>
      <c r="K2994">
        <v>231</v>
      </c>
      <c r="L2994">
        <v>259</v>
      </c>
      <c r="AA2994">
        <v>77</v>
      </c>
      <c r="AB2994">
        <v>117</v>
      </c>
      <c r="AC2994">
        <v>124</v>
      </c>
      <c r="AD2994">
        <v>146</v>
      </c>
      <c r="AE2994">
        <v>186</v>
      </c>
      <c r="AF2994">
        <v>188</v>
      </c>
      <c r="AG2994">
        <v>127</v>
      </c>
      <c r="CH2994" t="str">
        <f t="shared" si="46"/>
        <v>D-0006</v>
      </c>
      <c r="CI2994" s="1" t="s">
        <v>102</v>
      </c>
    </row>
    <row r="2995" spans="1:87">
      <c r="A2995" t="s">
        <v>4697</v>
      </c>
      <c r="B2995">
        <v>2997</v>
      </c>
      <c r="C2995" t="s">
        <v>3829</v>
      </c>
      <c r="D2995" t="s">
        <v>119</v>
      </c>
      <c r="E2995" t="s">
        <v>659</v>
      </c>
      <c r="F2995" t="s">
        <v>660</v>
      </c>
      <c r="G2995" t="s">
        <v>3830</v>
      </c>
      <c r="J2995">
        <v>58</v>
      </c>
      <c r="L2995">
        <v>76</v>
      </c>
      <c r="N2995">
        <v>162</v>
      </c>
      <c r="P2995">
        <v>251</v>
      </c>
      <c r="R2995">
        <v>350</v>
      </c>
      <c r="T2995">
        <v>431</v>
      </c>
      <c r="V2995">
        <v>526</v>
      </c>
      <c r="X2995">
        <v>573</v>
      </c>
      <c r="Z2995">
        <v>570</v>
      </c>
      <c r="CH2995" t="str">
        <f t="shared" si="46"/>
        <v>D-0007</v>
      </c>
      <c r="CI2995" s="1" t="s">
        <v>102</v>
      </c>
    </row>
    <row r="2996" spans="1:87">
      <c r="A2996" t="s">
        <v>4698</v>
      </c>
      <c r="B2996">
        <v>131</v>
      </c>
      <c r="C2996" t="s">
        <v>4654</v>
      </c>
      <c r="D2996" t="s">
        <v>237</v>
      </c>
      <c r="E2996" t="s">
        <v>629</v>
      </c>
      <c r="F2996" t="s">
        <v>632</v>
      </c>
      <c r="G2996" t="s">
        <v>4344</v>
      </c>
      <c r="T2996">
        <v>131</v>
      </c>
      <c r="CH2996" t="str">
        <f t="shared" si="46"/>
        <v>D-0267</v>
      </c>
      <c r="CI2996" s="1" t="s">
        <v>102</v>
      </c>
    </row>
    <row r="2997" spans="1:87">
      <c r="A2997" t="s">
        <v>4699</v>
      </c>
      <c r="B2997">
        <v>628</v>
      </c>
      <c r="C2997" t="s">
        <v>1444</v>
      </c>
      <c r="D2997" t="s">
        <v>237</v>
      </c>
      <c r="E2997" t="s">
        <v>629</v>
      </c>
      <c r="F2997" t="s">
        <v>632</v>
      </c>
      <c r="G2997" t="s">
        <v>2283</v>
      </c>
      <c r="Y2997">
        <v>628</v>
      </c>
      <c r="CH2997" t="str">
        <f t="shared" si="46"/>
        <v>D-0267</v>
      </c>
      <c r="CI2997" s="1" t="s">
        <v>102</v>
      </c>
    </row>
    <row r="2998" spans="1:87">
      <c r="A2998" t="s">
        <v>4700</v>
      </c>
      <c r="B2998">
        <v>5492</v>
      </c>
      <c r="C2998" t="s">
        <v>1444</v>
      </c>
      <c r="D2998" t="s">
        <v>237</v>
      </c>
      <c r="E2998" t="s">
        <v>629</v>
      </c>
      <c r="F2998" t="s">
        <v>632</v>
      </c>
      <c r="G2998" t="s">
        <v>2283</v>
      </c>
      <c r="T2998">
        <v>133</v>
      </c>
      <c r="U2998">
        <v>165</v>
      </c>
      <c r="V2998">
        <v>418</v>
      </c>
      <c r="W2998">
        <v>424</v>
      </c>
      <c r="X2998">
        <v>746</v>
      </c>
      <c r="Z2998">
        <v>862</v>
      </c>
      <c r="AA2998">
        <v>685</v>
      </c>
      <c r="AB2998">
        <v>754</v>
      </c>
      <c r="AC2998">
        <v>389</v>
      </c>
      <c r="AD2998">
        <v>555</v>
      </c>
      <c r="AE2998">
        <v>37</v>
      </c>
      <c r="AF2998">
        <v>324</v>
      </c>
      <c r="CH2998" t="str">
        <f t="shared" si="46"/>
        <v>D-0267</v>
      </c>
      <c r="CI2998" s="1" t="s">
        <v>102</v>
      </c>
    </row>
    <row r="2999" spans="1:87">
      <c r="A2999" t="s">
        <v>4701</v>
      </c>
      <c r="B2999">
        <v>2143</v>
      </c>
      <c r="C2999" t="s">
        <v>4654</v>
      </c>
      <c r="D2999" t="s">
        <v>237</v>
      </c>
      <c r="E2999" t="s">
        <v>629</v>
      </c>
      <c r="F2999" t="s">
        <v>632</v>
      </c>
      <c r="G2999" t="s">
        <v>4344</v>
      </c>
      <c r="V2999">
        <v>318</v>
      </c>
      <c r="X2999">
        <v>643</v>
      </c>
      <c r="Z2999">
        <v>594</v>
      </c>
      <c r="AB2999">
        <v>396</v>
      </c>
      <c r="AD2999">
        <v>156</v>
      </c>
      <c r="AF2999">
        <v>36</v>
      </c>
      <c r="CH2999" t="str">
        <f t="shared" si="46"/>
        <v>D-0267</v>
      </c>
      <c r="CI2999" s="1" t="s">
        <v>102</v>
      </c>
    </row>
    <row r="3000" spans="1:87">
      <c r="A3000" t="s">
        <v>4702</v>
      </c>
      <c r="B3000">
        <v>3249</v>
      </c>
      <c r="C3000" t="s">
        <v>1143</v>
      </c>
      <c r="D3000" t="s">
        <v>118</v>
      </c>
      <c r="E3000" t="s">
        <v>696</v>
      </c>
      <c r="F3000" t="s">
        <v>630</v>
      </c>
      <c r="G3000" t="s">
        <v>2717</v>
      </c>
      <c r="H3000">
        <v>435</v>
      </c>
      <c r="I3000">
        <v>161</v>
      </c>
      <c r="J3000">
        <v>461</v>
      </c>
      <c r="K3000">
        <v>173</v>
      </c>
      <c r="L3000">
        <v>512</v>
      </c>
      <c r="AA3000">
        <v>78</v>
      </c>
      <c r="AB3000">
        <v>331</v>
      </c>
      <c r="AC3000">
        <v>52</v>
      </c>
      <c r="AD3000">
        <v>396</v>
      </c>
      <c r="AE3000">
        <v>92</v>
      </c>
      <c r="AF3000">
        <v>455</v>
      </c>
      <c r="AG3000">
        <v>103</v>
      </c>
      <c r="CH3000" t="str">
        <f t="shared" si="46"/>
        <v>D-0006</v>
      </c>
      <c r="CI3000" s="1" t="s">
        <v>102</v>
      </c>
    </row>
    <row r="3001" spans="1:87">
      <c r="A3001" t="s">
        <v>4703</v>
      </c>
      <c r="B3001">
        <v>2418</v>
      </c>
      <c r="C3001" t="s">
        <v>1029</v>
      </c>
      <c r="D3001" t="s">
        <v>397</v>
      </c>
      <c r="E3001" t="s">
        <v>696</v>
      </c>
      <c r="F3001" t="s">
        <v>716</v>
      </c>
      <c r="G3001" t="s">
        <v>2593</v>
      </c>
      <c r="H3001">
        <v>399</v>
      </c>
      <c r="I3001">
        <v>52</v>
      </c>
      <c r="J3001">
        <v>393</v>
      </c>
      <c r="K3001">
        <v>60</v>
      </c>
      <c r="L3001">
        <v>390</v>
      </c>
      <c r="AA3001">
        <v>19</v>
      </c>
      <c r="AB3001">
        <v>321</v>
      </c>
      <c r="AC3001">
        <v>21</v>
      </c>
      <c r="AD3001">
        <v>349</v>
      </c>
      <c r="AE3001">
        <v>19</v>
      </c>
      <c r="AF3001">
        <v>371</v>
      </c>
      <c r="AG3001">
        <v>24</v>
      </c>
      <c r="CH3001" t="str">
        <f t="shared" si="46"/>
        <v>D-0578</v>
      </c>
      <c r="CI3001" s="1" t="s">
        <v>102</v>
      </c>
    </row>
    <row r="3002" spans="1:87">
      <c r="A3002" t="s">
        <v>4704</v>
      </c>
      <c r="B3002">
        <v>2407</v>
      </c>
      <c r="C3002" t="s">
        <v>4705</v>
      </c>
      <c r="D3002" t="s">
        <v>397</v>
      </c>
      <c r="E3002" t="s">
        <v>696</v>
      </c>
      <c r="F3002" t="s">
        <v>716</v>
      </c>
      <c r="G3002" t="s">
        <v>2283</v>
      </c>
      <c r="H3002">
        <v>464</v>
      </c>
      <c r="J3002">
        <v>436</v>
      </c>
      <c r="L3002">
        <v>453</v>
      </c>
      <c r="AB3002">
        <v>290</v>
      </c>
      <c r="AD3002">
        <v>333</v>
      </c>
      <c r="AF3002">
        <v>431</v>
      </c>
      <c r="CH3002" t="str">
        <f t="shared" si="46"/>
        <v>D-0578</v>
      </c>
      <c r="CI3002" s="1" t="s">
        <v>102</v>
      </c>
    </row>
    <row r="3003" spans="1:87">
      <c r="A3003" t="s">
        <v>4706</v>
      </c>
      <c r="B3003">
        <v>6007</v>
      </c>
      <c r="C3003" t="s">
        <v>4707</v>
      </c>
      <c r="D3003" t="s">
        <v>260</v>
      </c>
      <c r="E3003" t="s">
        <v>642</v>
      </c>
      <c r="F3003" t="s">
        <v>690</v>
      </c>
      <c r="G3003" t="s">
        <v>3848</v>
      </c>
      <c r="P3003">
        <v>67</v>
      </c>
      <c r="Q3003">
        <v>300</v>
      </c>
      <c r="R3003">
        <v>720</v>
      </c>
      <c r="S3003">
        <v>1080</v>
      </c>
      <c r="T3003">
        <v>1320</v>
      </c>
      <c r="U3003">
        <v>960</v>
      </c>
      <c r="V3003">
        <v>960</v>
      </c>
      <c r="W3003">
        <v>360</v>
      </c>
      <c r="X3003">
        <v>240</v>
      </c>
      <c r="CH3003" t="str">
        <f t="shared" si="46"/>
        <v>D-0292</v>
      </c>
      <c r="CI3003" s="1" t="s">
        <v>102</v>
      </c>
    </row>
    <row r="3004" spans="1:87">
      <c r="A3004" t="s">
        <v>4708</v>
      </c>
      <c r="B3004">
        <v>1429</v>
      </c>
      <c r="C3004" t="s">
        <v>3838</v>
      </c>
      <c r="D3004" t="s">
        <v>118</v>
      </c>
      <c r="E3004" t="s">
        <v>696</v>
      </c>
      <c r="F3004" t="s">
        <v>3839</v>
      </c>
      <c r="G3004" t="s">
        <v>2693</v>
      </c>
      <c r="H3004">
        <v>186</v>
      </c>
      <c r="I3004">
        <v>90</v>
      </c>
      <c r="J3004">
        <v>186</v>
      </c>
      <c r="K3004">
        <v>72</v>
      </c>
      <c r="L3004">
        <v>120</v>
      </c>
      <c r="AA3004">
        <v>54</v>
      </c>
      <c r="AB3004">
        <v>132</v>
      </c>
      <c r="AC3004">
        <v>60</v>
      </c>
      <c r="AD3004">
        <v>156</v>
      </c>
      <c r="AE3004">
        <v>84</v>
      </c>
      <c r="AF3004">
        <v>204</v>
      </c>
      <c r="AG3004">
        <v>85</v>
      </c>
      <c r="CH3004" t="str">
        <f t="shared" si="46"/>
        <v>D-0006</v>
      </c>
      <c r="CI3004" s="1" t="s">
        <v>102</v>
      </c>
    </row>
    <row r="3005" spans="1:87">
      <c r="A3005" t="s">
        <v>4709</v>
      </c>
      <c r="B3005">
        <v>35</v>
      </c>
      <c r="C3005" t="s">
        <v>1444</v>
      </c>
      <c r="D3005" t="s">
        <v>237</v>
      </c>
      <c r="E3005" t="s">
        <v>629</v>
      </c>
      <c r="F3005" t="s">
        <v>632</v>
      </c>
      <c r="G3005" t="s">
        <v>2283</v>
      </c>
      <c r="Y3005">
        <v>35</v>
      </c>
      <c r="CH3005" t="str">
        <f t="shared" si="46"/>
        <v>D-0267</v>
      </c>
      <c r="CI3005" s="1" t="s">
        <v>102</v>
      </c>
    </row>
    <row r="3006" spans="1:87">
      <c r="A3006" t="s">
        <v>4710</v>
      </c>
      <c r="B3006">
        <v>394</v>
      </c>
      <c r="C3006" t="s">
        <v>1444</v>
      </c>
      <c r="D3006" t="s">
        <v>237</v>
      </c>
      <c r="E3006" t="s">
        <v>629</v>
      </c>
      <c r="F3006" t="s">
        <v>632</v>
      </c>
      <c r="G3006" t="s">
        <v>2283</v>
      </c>
      <c r="T3006">
        <v>10</v>
      </c>
      <c r="U3006">
        <v>10</v>
      </c>
      <c r="V3006">
        <v>40</v>
      </c>
      <c r="W3006">
        <v>27</v>
      </c>
      <c r="X3006">
        <v>101</v>
      </c>
      <c r="Z3006">
        <v>92</v>
      </c>
      <c r="AA3006">
        <v>20</v>
      </c>
      <c r="AB3006">
        <v>50</v>
      </c>
      <c r="AC3006">
        <v>8</v>
      </c>
      <c r="AD3006">
        <v>26</v>
      </c>
      <c r="AE3006">
        <v>5</v>
      </c>
      <c r="AF3006">
        <v>5</v>
      </c>
      <c r="CH3006" t="str">
        <f t="shared" si="46"/>
        <v>D-0267</v>
      </c>
      <c r="CI3006" s="1" t="s">
        <v>102</v>
      </c>
    </row>
    <row r="3007" spans="1:87">
      <c r="A3007" t="s">
        <v>4711</v>
      </c>
      <c r="B3007">
        <v>4015</v>
      </c>
      <c r="C3007" t="s">
        <v>4712</v>
      </c>
      <c r="D3007" t="s">
        <v>260</v>
      </c>
      <c r="E3007" t="s">
        <v>642</v>
      </c>
      <c r="F3007" t="s">
        <v>690</v>
      </c>
      <c r="G3007" t="s">
        <v>2283</v>
      </c>
      <c r="P3007">
        <v>42</v>
      </c>
      <c r="Q3007">
        <v>198</v>
      </c>
      <c r="R3007">
        <v>480</v>
      </c>
      <c r="S3007">
        <v>720</v>
      </c>
      <c r="T3007">
        <v>889</v>
      </c>
      <c r="U3007">
        <v>642</v>
      </c>
      <c r="V3007">
        <v>642</v>
      </c>
      <c r="W3007">
        <v>240</v>
      </c>
      <c r="X3007">
        <v>162</v>
      </c>
      <c r="CH3007" t="str">
        <f t="shared" si="46"/>
        <v>D-0292</v>
      </c>
      <c r="CI3007" s="1" t="s">
        <v>102</v>
      </c>
    </row>
    <row r="3008" spans="1:87">
      <c r="A3008" t="s">
        <v>4713</v>
      </c>
      <c r="B3008">
        <v>2041</v>
      </c>
      <c r="C3008" t="s">
        <v>3829</v>
      </c>
      <c r="D3008" t="s">
        <v>119</v>
      </c>
      <c r="E3008" t="s">
        <v>659</v>
      </c>
      <c r="F3008" t="s">
        <v>660</v>
      </c>
      <c r="G3008" t="s">
        <v>3830</v>
      </c>
      <c r="J3008">
        <v>82</v>
      </c>
      <c r="L3008">
        <v>102</v>
      </c>
      <c r="N3008">
        <v>162</v>
      </c>
      <c r="P3008">
        <v>232</v>
      </c>
      <c r="R3008">
        <v>284</v>
      </c>
      <c r="T3008">
        <v>305</v>
      </c>
      <c r="V3008">
        <v>305</v>
      </c>
      <c r="X3008">
        <v>305</v>
      </c>
      <c r="Z3008">
        <v>264</v>
      </c>
      <c r="CH3008" t="str">
        <f t="shared" si="46"/>
        <v>D-0007</v>
      </c>
      <c r="CI3008" s="1" t="s">
        <v>102</v>
      </c>
    </row>
    <row r="3009" spans="1:87">
      <c r="A3009" t="s">
        <v>4714</v>
      </c>
      <c r="B3009">
        <v>4749</v>
      </c>
      <c r="C3009" t="s">
        <v>2704</v>
      </c>
      <c r="D3009" t="s">
        <v>116</v>
      </c>
      <c r="E3009" t="s">
        <v>974</v>
      </c>
      <c r="F3009" t="s">
        <v>632</v>
      </c>
      <c r="G3009" t="s">
        <v>2705</v>
      </c>
      <c r="M3009">
        <v>240</v>
      </c>
      <c r="N3009">
        <v>628</v>
      </c>
      <c r="O3009">
        <v>387</v>
      </c>
      <c r="P3009">
        <v>800</v>
      </c>
      <c r="Q3009">
        <v>429</v>
      </c>
      <c r="R3009">
        <v>881</v>
      </c>
      <c r="S3009">
        <v>512</v>
      </c>
      <c r="T3009">
        <v>872</v>
      </c>
      <c r="CH3009" t="str">
        <f t="shared" si="46"/>
        <v>D-0005</v>
      </c>
      <c r="CI3009" s="1" t="s">
        <v>102</v>
      </c>
    </row>
    <row r="3010" spans="1:87">
      <c r="A3010" t="s">
        <v>4715</v>
      </c>
      <c r="B3010">
        <v>5003</v>
      </c>
      <c r="C3010" t="s">
        <v>4716</v>
      </c>
      <c r="D3010" t="s">
        <v>118</v>
      </c>
      <c r="E3010" t="s">
        <v>696</v>
      </c>
      <c r="F3010" t="s">
        <v>630</v>
      </c>
      <c r="G3010" t="s">
        <v>3751</v>
      </c>
      <c r="H3010">
        <v>703</v>
      </c>
      <c r="I3010">
        <v>317</v>
      </c>
      <c r="J3010">
        <v>703</v>
      </c>
      <c r="K3010">
        <v>328</v>
      </c>
      <c r="L3010">
        <v>768</v>
      </c>
      <c r="AA3010">
        <v>132</v>
      </c>
      <c r="AB3010">
        <v>462</v>
      </c>
      <c r="AC3010">
        <v>124</v>
      </c>
      <c r="AD3010">
        <v>528</v>
      </c>
      <c r="AE3010">
        <v>145</v>
      </c>
      <c r="AF3010">
        <v>621</v>
      </c>
      <c r="AG3010">
        <v>172</v>
      </c>
      <c r="CH3010" t="str">
        <f t="shared" ref="CH3010:CH3073" si="47">TRIM(IFERROR(IFERROR(MID($D3010,FIND("(D-",$D3010)+1,6),LEFT($D3010,FIND("(",$D3010)-1)),$D3010))</f>
        <v>D-0006</v>
      </c>
      <c r="CI3010" s="1" t="s">
        <v>102</v>
      </c>
    </row>
    <row r="3011" spans="1:87">
      <c r="A3011" t="s">
        <v>4717</v>
      </c>
      <c r="B3011">
        <v>925</v>
      </c>
      <c r="C3011" t="s">
        <v>2707</v>
      </c>
      <c r="D3011" t="s">
        <v>118</v>
      </c>
      <c r="E3011" t="s">
        <v>696</v>
      </c>
      <c r="F3011" t="s">
        <v>630</v>
      </c>
      <c r="G3011" t="s">
        <v>2705</v>
      </c>
      <c r="H3011">
        <v>138</v>
      </c>
      <c r="I3011">
        <v>36</v>
      </c>
      <c r="J3011">
        <v>186</v>
      </c>
      <c r="K3011">
        <v>24</v>
      </c>
      <c r="L3011">
        <v>126</v>
      </c>
      <c r="AA3011">
        <v>24</v>
      </c>
      <c r="AB3011">
        <v>84</v>
      </c>
      <c r="AC3011">
        <v>12</v>
      </c>
      <c r="AD3011">
        <v>103</v>
      </c>
      <c r="AE3011">
        <v>24</v>
      </c>
      <c r="AF3011">
        <v>144</v>
      </c>
      <c r="AG3011">
        <v>24</v>
      </c>
      <c r="CH3011" t="str">
        <f t="shared" si="47"/>
        <v>D-0006</v>
      </c>
      <c r="CI3011" s="1" t="s">
        <v>102</v>
      </c>
    </row>
    <row r="3012" spans="1:87">
      <c r="A3012" t="s">
        <v>4718</v>
      </c>
      <c r="B3012">
        <v>2844</v>
      </c>
      <c r="C3012" t="s">
        <v>1029</v>
      </c>
      <c r="D3012" t="s">
        <v>397</v>
      </c>
      <c r="E3012" t="s">
        <v>696</v>
      </c>
      <c r="F3012" t="s">
        <v>716</v>
      </c>
      <c r="G3012" t="s">
        <v>2593</v>
      </c>
      <c r="H3012">
        <v>397</v>
      </c>
      <c r="I3012">
        <v>277</v>
      </c>
      <c r="J3012">
        <v>158</v>
      </c>
      <c r="K3012">
        <v>289</v>
      </c>
      <c r="L3012">
        <v>373</v>
      </c>
      <c r="AA3012">
        <v>21</v>
      </c>
      <c r="AB3012">
        <v>277</v>
      </c>
      <c r="AC3012">
        <v>21</v>
      </c>
      <c r="AD3012">
        <v>308</v>
      </c>
      <c r="AE3012">
        <v>193</v>
      </c>
      <c r="AF3012">
        <v>325</v>
      </c>
      <c r="AG3012">
        <v>205</v>
      </c>
      <c r="CH3012" t="str">
        <f t="shared" si="47"/>
        <v>D-0578</v>
      </c>
      <c r="CI3012" s="1" t="s">
        <v>102</v>
      </c>
    </row>
    <row r="3013" spans="1:87">
      <c r="A3013" t="s">
        <v>4719</v>
      </c>
      <c r="B3013">
        <v>2737</v>
      </c>
      <c r="C3013" t="s">
        <v>4720</v>
      </c>
      <c r="D3013" t="s">
        <v>397</v>
      </c>
      <c r="E3013" t="s">
        <v>696</v>
      </c>
      <c r="F3013" t="s">
        <v>716</v>
      </c>
      <c r="G3013" t="s">
        <v>3389</v>
      </c>
      <c r="H3013">
        <v>378</v>
      </c>
      <c r="I3013">
        <v>270</v>
      </c>
      <c r="J3013">
        <v>354</v>
      </c>
      <c r="K3013">
        <v>228</v>
      </c>
      <c r="L3013">
        <v>288</v>
      </c>
      <c r="AB3013">
        <v>234</v>
      </c>
      <c r="AD3013">
        <v>253</v>
      </c>
      <c r="AE3013">
        <v>186</v>
      </c>
      <c r="AF3013">
        <v>312</v>
      </c>
      <c r="AG3013">
        <v>234</v>
      </c>
      <c r="CH3013" t="str">
        <f t="shared" si="47"/>
        <v>D-0578</v>
      </c>
      <c r="CI3013" s="1" t="s">
        <v>102</v>
      </c>
    </row>
    <row r="3014" spans="1:87">
      <c r="A3014" t="s">
        <v>4721</v>
      </c>
      <c r="B3014">
        <v>542</v>
      </c>
      <c r="C3014" t="s">
        <v>1164</v>
      </c>
      <c r="D3014" t="s">
        <v>395</v>
      </c>
      <c r="E3014" t="s">
        <v>659</v>
      </c>
      <c r="F3014" t="s">
        <v>726</v>
      </c>
      <c r="G3014" t="s">
        <v>2732</v>
      </c>
      <c r="J3014">
        <v>4</v>
      </c>
      <c r="L3014">
        <v>4</v>
      </c>
      <c r="N3014">
        <v>10</v>
      </c>
      <c r="P3014">
        <v>28</v>
      </c>
      <c r="R3014">
        <v>39</v>
      </c>
      <c r="T3014">
        <v>76</v>
      </c>
      <c r="V3014">
        <v>108</v>
      </c>
      <c r="X3014">
        <v>133</v>
      </c>
      <c r="Z3014">
        <v>140</v>
      </c>
      <c r="CH3014" t="str">
        <f t="shared" si="47"/>
        <v>D-0577</v>
      </c>
      <c r="CI3014" s="1" t="s">
        <v>102</v>
      </c>
    </row>
    <row r="3015" spans="1:87">
      <c r="A3015" t="s">
        <v>4722</v>
      </c>
      <c r="B3015">
        <v>3019</v>
      </c>
      <c r="C3015" t="s">
        <v>1452</v>
      </c>
      <c r="D3015" t="s">
        <v>119</v>
      </c>
      <c r="E3015" t="s">
        <v>659</v>
      </c>
      <c r="F3015" t="s">
        <v>660</v>
      </c>
      <c r="G3015" t="s">
        <v>2693</v>
      </c>
      <c r="J3015">
        <v>18</v>
      </c>
      <c r="L3015">
        <v>33</v>
      </c>
      <c r="N3015">
        <v>122</v>
      </c>
      <c r="P3015">
        <v>117</v>
      </c>
      <c r="R3015">
        <v>369</v>
      </c>
      <c r="T3015">
        <v>512</v>
      </c>
      <c r="V3015">
        <v>573</v>
      </c>
      <c r="X3015">
        <v>640</v>
      </c>
      <c r="Z3015">
        <v>635</v>
      </c>
      <c r="CH3015" t="str">
        <f t="shared" si="47"/>
        <v>D-0007</v>
      </c>
      <c r="CI3015" s="1" t="s">
        <v>102</v>
      </c>
    </row>
    <row r="3016" spans="1:87">
      <c r="A3016" t="s">
        <v>4723</v>
      </c>
      <c r="B3016">
        <v>5002</v>
      </c>
      <c r="C3016" t="s">
        <v>3829</v>
      </c>
      <c r="D3016" t="s">
        <v>119</v>
      </c>
      <c r="E3016" t="s">
        <v>659</v>
      </c>
      <c r="F3016" t="s">
        <v>660</v>
      </c>
      <c r="G3016" t="s">
        <v>3830</v>
      </c>
      <c r="J3016">
        <v>97</v>
      </c>
      <c r="L3016">
        <v>127</v>
      </c>
      <c r="N3016">
        <v>270</v>
      </c>
      <c r="P3016">
        <v>415</v>
      </c>
      <c r="R3016">
        <v>585</v>
      </c>
      <c r="T3016">
        <v>719</v>
      </c>
      <c r="V3016">
        <v>879</v>
      </c>
      <c r="X3016">
        <v>957</v>
      </c>
      <c r="Z3016">
        <v>953</v>
      </c>
      <c r="CH3016" t="str">
        <f t="shared" si="47"/>
        <v>D-0007</v>
      </c>
      <c r="CI3016" s="1" t="s">
        <v>102</v>
      </c>
    </row>
    <row r="3017" spans="1:87">
      <c r="A3017" t="s">
        <v>4724</v>
      </c>
      <c r="B3017">
        <v>5163</v>
      </c>
      <c r="C3017" t="s">
        <v>1321</v>
      </c>
      <c r="D3017" t="s">
        <v>235</v>
      </c>
      <c r="E3017" t="s">
        <v>642</v>
      </c>
      <c r="F3017" t="s">
        <v>695</v>
      </c>
      <c r="G3017" t="s">
        <v>956</v>
      </c>
      <c r="Q3017">
        <v>204</v>
      </c>
      <c r="R3017">
        <v>336</v>
      </c>
      <c r="S3017">
        <v>480</v>
      </c>
      <c r="T3017">
        <v>661</v>
      </c>
      <c r="U3017">
        <v>660</v>
      </c>
      <c r="V3017">
        <v>864</v>
      </c>
      <c r="W3017">
        <v>696</v>
      </c>
      <c r="X3017">
        <v>458</v>
      </c>
      <c r="Y3017">
        <v>504</v>
      </c>
      <c r="Z3017">
        <v>300</v>
      </c>
      <c r="CH3017" t="str">
        <f t="shared" si="47"/>
        <v>D-0266</v>
      </c>
      <c r="CI3017" s="1" t="s">
        <v>102</v>
      </c>
    </row>
    <row r="3018" spans="1:87">
      <c r="A3018" t="s">
        <v>4725</v>
      </c>
      <c r="B3018">
        <v>3973</v>
      </c>
      <c r="C3018" t="s">
        <v>1321</v>
      </c>
      <c r="D3018" t="s">
        <v>235</v>
      </c>
      <c r="E3018" t="s">
        <v>642</v>
      </c>
      <c r="F3018" t="s">
        <v>695</v>
      </c>
      <c r="G3018" t="s">
        <v>956</v>
      </c>
      <c r="Q3018">
        <v>81</v>
      </c>
      <c r="R3018">
        <v>215</v>
      </c>
      <c r="S3018">
        <v>387</v>
      </c>
      <c r="T3018">
        <v>555</v>
      </c>
      <c r="U3018">
        <v>545</v>
      </c>
      <c r="V3018">
        <v>729</v>
      </c>
      <c r="W3018">
        <v>573</v>
      </c>
      <c r="X3018">
        <v>336</v>
      </c>
      <c r="Y3018">
        <v>384</v>
      </c>
      <c r="Z3018">
        <v>168</v>
      </c>
      <c r="CH3018" t="str">
        <f t="shared" si="47"/>
        <v>D-0266</v>
      </c>
      <c r="CI3018" s="1" t="s">
        <v>102</v>
      </c>
    </row>
    <row r="3019" spans="1:87">
      <c r="A3019" t="s">
        <v>4726</v>
      </c>
      <c r="B3019">
        <v>3798</v>
      </c>
      <c r="C3019" t="s">
        <v>1034</v>
      </c>
      <c r="D3019" t="s">
        <v>114</v>
      </c>
      <c r="E3019" t="s">
        <v>642</v>
      </c>
      <c r="F3019" t="s">
        <v>632</v>
      </c>
      <c r="G3019" t="s">
        <v>3364</v>
      </c>
      <c r="P3019">
        <v>3</v>
      </c>
      <c r="Q3019">
        <v>283</v>
      </c>
      <c r="R3019">
        <v>547</v>
      </c>
      <c r="S3019">
        <v>600</v>
      </c>
      <c r="T3019">
        <v>521</v>
      </c>
      <c r="U3019">
        <v>712</v>
      </c>
      <c r="V3019">
        <v>309</v>
      </c>
      <c r="W3019">
        <v>442</v>
      </c>
      <c r="X3019">
        <v>112</v>
      </c>
      <c r="Y3019">
        <v>198</v>
      </c>
      <c r="Z3019">
        <v>9</v>
      </c>
      <c r="AA3019">
        <v>48</v>
      </c>
      <c r="AB3019">
        <v>2</v>
      </c>
      <c r="AC3019">
        <v>12</v>
      </c>
      <c r="CH3019" t="str">
        <f t="shared" si="47"/>
        <v>D-0002</v>
      </c>
      <c r="CI3019" s="1" t="s">
        <v>102</v>
      </c>
    </row>
    <row r="3020" spans="1:87">
      <c r="A3020" t="s">
        <v>4728</v>
      </c>
      <c r="B3020">
        <v>44</v>
      </c>
      <c r="C3020" t="s">
        <v>1318</v>
      </c>
      <c r="D3020" t="s">
        <v>195</v>
      </c>
      <c r="E3020" t="s">
        <v>629</v>
      </c>
      <c r="F3020" t="s">
        <v>630</v>
      </c>
      <c r="G3020" t="s">
        <v>4280</v>
      </c>
      <c r="V3020">
        <v>4</v>
      </c>
      <c r="W3020">
        <v>4</v>
      </c>
      <c r="X3020">
        <v>9</v>
      </c>
      <c r="Y3020">
        <v>9</v>
      </c>
      <c r="Z3020">
        <v>8</v>
      </c>
      <c r="AA3020">
        <v>4</v>
      </c>
      <c r="AB3020">
        <v>3</v>
      </c>
      <c r="AD3020">
        <v>3</v>
      </c>
      <c r="CH3020" t="str">
        <f t="shared" si="47"/>
        <v>D-0189</v>
      </c>
      <c r="CI3020" s="1" t="s">
        <v>102</v>
      </c>
    </row>
    <row r="3021" spans="1:87">
      <c r="A3021" t="s">
        <v>4729</v>
      </c>
      <c r="B3021">
        <v>3373</v>
      </c>
      <c r="C3021" t="s">
        <v>994</v>
      </c>
      <c r="D3021" t="s">
        <v>195</v>
      </c>
      <c r="E3021" t="s">
        <v>642</v>
      </c>
      <c r="F3021" t="s">
        <v>630</v>
      </c>
      <c r="G3021" t="s">
        <v>2283</v>
      </c>
      <c r="P3021">
        <v>12</v>
      </c>
      <c r="Q3021">
        <v>72</v>
      </c>
      <c r="R3021">
        <v>440</v>
      </c>
      <c r="S3021">
        <v>662</v>
      </c>
      <c r="T3021">
        <v>855</v>
      </c>
      <c r="U3021">
        <v>680</v>
      </c>
      <c r="V3021">
        <v>464</v>
      </c>
      <c r="W3021">
        <v>120</v>
      </c>
      <c r="X3021">
        <v>38</v>
      </c>
      <c r="Y3021">
        <v>18</v>
      </c>
      <c r="AA3021">
        <v>12</v>
      </c>
      <c r="CH3021" t="str">
        <f t="shared" si="47"/>
        <v>D-0189</v>
      </c>
      <c r="CI3021" s="1" t="s">
        <v>102</v>
      </c>
    </row>
    <row r="3022" spans="1:87">
      <c r="A3022" t="s">
        <v>4730</v>
      </c>
      <c r="B3022">
        <v>266</v>
      </c>
      <c r="C3022" t="s">
        <v>1192</v>
      </c>
      <c r="D3022" t="s">
        <v>195</v>
      </c>
      <c r="E3022" t="s">
        <v>642</v>
      </c>
      <c r="F3022" t="s">
        <v>630</v>
      </c>
      <c r="G3022" t="s">
        <v>3474</v>
      </c>
      <c r="S3022">
        <v>30</v>
      </c>
      <c r="T3022">
        <v>37</v>
      </c>
      <c r="U3022">
        <v>42</v>
      </c>
      <c r="V3022">
        <v>48</v>
      </c>
      <c r="W3022">
        <v>48</v>
      </c>
      <c r="X3022">
        <v>37</v>
      </c>
      <c r="Y3022">
        <v>24</v>
      </c>
      <c r="CH3022" t="str">
        <f t="shared" si="47"/>
        <v>D-0189</v>
      </c>
      <c r="CI3022" s="1" t="s">
        <v>102</v>
      </c>
    </row>
    <row r="3023" spans="1:87">
      <c r="A3023" t="s">
        <v>4731</v>
      </c>
      <c r="B3023">
        <v>3311</v>
      </c>
      <c r="C3023" t="s">
        <v>995</v>
      </c>
      <c r="D3023" t="s">
        <v>350</v>
      </c>
      <c r="E3023" t="s">
        <v>642</v>
      </c>
      <c r="F3023" t="s">
        <v>645</v>
      </c>
      <c r="G3023" t="s">
        <v>2593</v>
      </c>
      <c r="Q3023">
        <v>26</v>
      </c>
      <c r="R3023">
        <v>386</v>
      </c>
      <c r="S3023">
        <v>546</v>
      </c>
      <c r="T3023">
        <v>676</v>
      </c>
      <c r="U3023">
        <v>544</v>
      </c>
      <c r="V3023">
        <v>191</v>
      </c>
      <c r="W3023">
        <v>194</v>
      </c>
      <c r="X3023">
        <v>130</v>
      </c>
      <c r="Y3023">
        <v>172</v>
      </c>
      <c r="Z3023">
        <v>124</v>
      </c>
      <c r="AA3023">
        <v>122</v>
      </c>
      <c r="AB3023">
        <v>98</v>
      </c>
      <c r="AC3023">
        <v>48</v>
      </c>
      <c r="AD3023">
        <v>48</v>
      </c>
      <c r="AF3023">
        <v>6</v>
      </c>
      <c r="CH3023" t="str">
        <f t="shared" si="47"/>
        <v>D-0515</v>
      </c>
      <c r="CI3023" s="1" t="s">
        <v>102</v>
      </c>
    </row>
    <row r="3024" spans="1:87">
      <c r="A3024" t="s">
        <v>4732</v>
      </c>
      <c r="B3024">
        <v>6917</v>
      </c>
      <c r="C3024" t="s">
        <v>1044</v>
      </c>
      <c r="D3024" t="s">
        <v>352</v>
      </c>
      <c r="E3024" t="s">
        <v>642</v>
      </c>
      <c r="F3024" t="s">
        <v>645</v>
      </c>
      <c r="G3024" t="s">
        <v>2693</v>
      </c>
      <c r="P3024">
        <v>186</v>
      </c>
      <c r="Q3024">
        <v>476</v>
      </c>
      <c r="R3024">
        <v>809</v>
      </c>
      <c r="S3024">
        <v>1221</v>
      </c>
      <c r="T3024">
        <v>1180</v>
      </c>
      <c r="U3024">
        <v>1082</v>
      </c>
      <c r="V3024">
        <v>791</v>
      </c>
      <c r="W3024">
        <v>555</v>
      </c>
      <c r="X3024">
        <v>253</v>
      </c>
      <c r="Y3024">
        <v>154</v>
      </c>
      <c r="Z3024">
        <v>86</v>
      </c>
      <c r="AA3024">
        <v>46</v>
      </c>
      <c r="AB3024">
        <v>37</v>
      </c>
      <c r="AC3024">
        <v>20</v>
      </c>
      <c r="AD3024">
        <v>21</v>
      </c>
      <c r="CH3024" t="str">
        <f t="shared" si="47"/>
        <v>D-0515</v>
      </c>
      <c r="CI3024" s="1" t="s">
        <v>102</v>
      </c>
    </row>
    <row r="3025" spans="1:87">
      <c r="A3025" t="s">
        <v>4733</v>
      </c>
      <c r="B3025">
        <v>35</v>
      </c>
      <c r="C3025" t="s">
        <v>2387</v>
      </c>
      <c r="D3025" t="s">
        <v>352</v>
      </c>
      <c r="E3025" t="s">
        <v>642</v>
      </c>
      <c r="F3025" t="s">
        <v>645</v>
      </c>
      <c r="G3025" t="s">
        <v>4734</v>
      </c>
      <c r="W3025">
        <v>13</v>
      </c>
      <c r="X3025">
        <v>8</v>
      </c>
      <c r="Y3025">
        <v>7</v>
      </c>
      <c r="Z3025">
        <v>7</v>
      </c>
      <c r="CH3025" t="str">
        <f t="shared" si="47"/>
        <v>D-0515</v>
      </c>
      <c r="CI3025" s="1" t="s">
        <v>102</v>
      </c>
    </row>
    <row r="3026" spans="1:87">
      <c r="A3026" t="s">
        <v>4735</v>
      </c>
      <c r="B3026">
        <v>2918</v>
      </c>
      <c r="C3026" t="s">
        <v>1328</v>
      </c>
      <c r="D3026" t="s">
        <v>352</v>
      </c>
      <c r="E3026" t="s">
        <v>642</v>
      </c>
      <c r="F3026" t="s">
        <v>645</v>
      </c>
      <c r="G3026" t="s">
        <v>2726</v>
      </c>
      <c r="P3026">
        <v>103</v>
      </c>
      <c r="Q3026">
        <v>270</v>
      </c>
      <c r="R3026">
        <v>310</v>
      </c>
      <c r="S3026">
        <v>538</v>
      </c>
      <c r="T3026">
        <v>443</v>
      </c>
      <c r="U3026">
        <v>458</v>
      </c>
      <c r="V3026">
        <v>342</v>
      </c>
      <c r="W3026">
        <v>191</v>
      </c>
      <c r="X3026">
        <v>94</v>
      </c>
      <c r="Y3026">
        <v>63</v>
      </c>
      <c r="Z3026">
        <v>42</v>
      </c>
      <c r="AA3026">
        <v>23</v>
      </c>
      <c r="AB3026">
        <v>21</v>
      </c>
      <c r="AC3026">
        <v>10</v>
      </c>
      <c r="AD3026">
        <v>10</v>
      </c>
      <c r="CH3026" t="str">
        <f t="shared" si="47"/>
        <v>D-0515</v>
      </c>
      <c r="CI3026" s="1" t="s">
        <v>102</v>
      </c>
    </row>
    <row r="3027" spans="1:87">
      <c r="A3027" t="s">
        <v>4736</v>
      </c>
      <c r="B3027">
        <v>6495</v>
      </c>
      <c r="C3027" t="s">
        <v>727</v>
      </c>
      <c r="D3027" t="s">
        <v>505</v>
      </c>
      <c r="E3027" t="s">
        <v>629</v>
      </c>
      <c r="F3027" t="s">
        <v>657</v>
      </c>
      <c r="G3027" t="s">
        <v>728</v>
      </c>
      <c r="T3027">
        <v>151</v>
      </c>
      <c r="U3027">
        <v>16</v>
      </c>
      <c r="V3027">
        <v>670</v>
      </c>
      <c r="W3027">
        <v>420</v>
      </c>
      <c r="X3027">
        <v>1042</v>
      </c>
      <c r="Y3027">
        <v>621</v>
      </c>
      <c r="Z3027">
        <v>1254</v>
      </c>
      <c r="AA3027">
        <v>341</v>
      </c>
      <c r="AB3027">
        <v>984</v>
      </c>
      <c r="AC3027">
        <v>190</v>
      </c>
      <c r="AD3027">
        <v>590</v>
      </c>
      <c r="AE3027">
        <v>16</v>
      </c>
      <c r="AF3027">
        <v>170</v>
      </c>
      <c r="AH3027">
        <v>30</v>
      </c>
      <c r="CH3027" t="str">
        <f t="shared" si="47"/>
        <v>QMR-2</v>
      </c>
      <c r="CI3027" s="1" t="s">
        <v>102</v>
      </c>
    </row>
    <row r="3028" spans="1:87">
      <c r="A3028" t="s">
        <v>4737</v>
      </c>
      <c r="B3028">
        <v>196</v>
      </c>
      <c r="C3028" t="s">
        <v>708</v>
      </c>
      <c r="D3028" t="s">
        <v>249</v>
      </c>
      <c r="E3028" t="s">
        <v>642</v>
      </c>
      <c r="F3028" t="s">
        <v>709</v>
      </c>
      <c r="G3028" t="s">
        <v>710</v>
      </c>
      <c r="S3028">
        <v>3</v>
      </c>
      <c r="T3028">
        <v>31</v>
      </c>
      <c r="U3028">
        <v>24</v>
      </c>
      <c r="V3028">
        <v>42</v>
      </c>
      <c r="W3028">
        <v>30</v>
      </c>
      <c r="X3028">
        <v>24</v>
      </c>
      <c r="Y3028">
        <v>24</v>
      </c>
      <c r="Z3028">
        <v>12</v>
      </c>
      <c r="AA3028">
        <v>6</v>
      </c>
      <c r="CH3028" t="str">
        <f t="shared" si="47"/>
        <v>D-0271</v>
      </c>
      <c r="CI3028" s="1" t="s">
        <v>102</v>
      </c>
    </row>
    <row r="3029" spans="1:87">
      <c r="A3029" t="s">
        <v>4738</v>
      </c>
      <c r="B3029">
        <v>269</v>
      </c>
      <c r="C3029" t="s">
        <v>1378</v>
      </c>
      <c r="D3029" t="s">
        <v>195</v>
      </c>
      <c r="E3029" t="s">
        <v>642</v>
      </c>
      <c r="F3029" t="s">
        <v>630</v>
      </c>
      <c r="G3029" t="s">
        <v>3371</v>
      </c>
      <c r="R3029">
        <v>5</v>
      </c>
      <c r="S3029">
        <v>6</v>
      </c>
      <c r="T3029">
        <v>32</v>
      </c>
      <c r="U3029">
        <v>36</v>
      </c>
      <c r="V3029">
        <v>54</v>
      </c>
      <c r="W3029">
        <v>47</v>
      </c>
      <c r="X3029">
        <v>33</v>
      </c>
      <c r="Y3029">
        <v>29</v>
      </c>
      <c r="Z3029">
        <v>18</v>
      </c>
      <c r="AA3029">
        <v>9</v>
      </c>
      <c r="CH3029" t="str">
        <f t="shared" si="47"/>
        <v>D-0189</v>
      </c>
      <c r="CI3029" s="1" t="s">
        <v>102</v>
      </c>
    </row>
    <row r="3030" spans="1:87">
      <c r="A3030" t="s">
        <v>4739</v>
      </c>
      <c r="B3030">
        <v>1</v>
      </c>
      <c r="C3030" t="s">
        <v>4549</v>
      </c>
      <c r="D3030" t="s">
        <v>238</v>
      </c>
      <c r="E3030" t="s">
        <v>629</v>
      </c>
      <c r="F3030" t="s">
        <v>632</v>
      </c>
      <c r="G3030" t="s">
        <v>3389</v>
      </c>
      <c r="AB3030">
        <v>1</v>
      </c>
      <c r="CH3030" t="str">
        <f t="shared" si="47"/>
        <v>D-0267</v>
      </c>
      <c r="CI3030" s="1" t="s">
        <v>102</v>
      </c>
    </row>
    <row r="3031" spans="1:87">
      <c r="A3031" t="s">
        <v>4740</v>
      </c>
      <c r="B3031">
        <v>1</v>
      </c>
      <c r="C3031" t="s">
        <v>4552</v>
      </c>
      <c r="D3031" t="s">
        <v>238</v>
      </c>
      <c r="E3031" t="s">
        <v>629</v>
      </c>
      <c r="F3031" t="s">
        <v>632</v>
      </c>
      <c r="G3031" t="s">
        <v>2283</v>
      </c>
      <c r="AB3031">
        <v>1</v>
      </c>
      <c r="CH3031" t="str">
        <f t="shared" si="47"/>
        <v>D-0267</v>
      </c>
      <c r="CI3031" s="1" t="s">
        <v>102</v>
      </c>
    </row>
    <row r="3032" spans="1:87">
      <c r="A3032" t="s">
        <v>4741</v>
      </c>
      <c r="B3032">
        <v>1</v>
      </c>
      <c r="C3032" t="s">
        <v>1156</v>
      </c>
      <c r="D3032" t="s">
        <v>238</v>
      </c>
      <c r="E3032" t="s">
        <v>629</v>
      </c>
      <c r="F3032" t="s">
        <v>632</v>
      </c>
      <c r="G3032" t="s">
        <v>3539</v>
      </c>
      <c r="AB3032">
        <v>1</v>
      </c>
      <c r="CH3032" t="str">
        <f t="shared" si="47"/>
        <v>D-0267</v>
      </c>
      <c r="CI3032" s="1" t="s">
        <v>102</v>
      </c>
    </row>
    <row r="3033" spans="1:87">
      <c r="A3033" t="s">
        <v>4742</v>
      </c>
      <c r="B3033">
        <v>1</v>
      </c>
      <c r="C3033" t="s">
        <v>4431</v>
      </c>
      <c r="D3033" t="s">
        <v>238</v>
      </c>
      <c r="E3033" t="s">
        <v>642</v>
      </c>
      <c r="F3033" t="s">
        <v>645</v>
      </c>
      <c r="G3033" t="s">
        <v>4432</v>
      </c>
      <c r="X3033">
        <v>1</v>
      </c>
      <c r="CH3033" t="str">
        <f t="shared" si="47"/>
        <v>D-0267</v>
      </c>
      <c r="CI3033" s="1" t="s">
        <v>102</v>
      </c>
    </row>
    <row r="3034" spans="1:87">
      <c r="A3034" t="s">
        <v>4743</v>
      </c>
      <c r="B3034">
        <v>1</v>
      </c>
      <c r="C3034" t="s">
        <v>4439</v>
      </c>
      <c r="D3034" t="s">
        <v>238</v>
      </c>
      <c r="E3034" t="s">
        <v>642</v>
      </c>
      <c r="F3034" t="s">
        <v>645</v>
      </c>
      <c r="G3034" t="s">
        <v>3448</v>
      </c>
      <c r="X3034">
        <v>1</v>
      </c>
      <c r="CH3034" t="str">
        <f t="shared" si="47"/>
        <v>D-0267</v>
      </c>
      <c r="CI3034" s="1" t="s">
        <v>102</v>
      </c>
    </row>
    <row r="3035" spans="1:87">
      <c r="A3035" t="s">
        <v>4744</v>
      </c>
      <c r="B3035">
        <v>1</v>
      </c>
      <c r="C3035" t="s">
        <v>4604</v>
      </c>
      <c r="D3035" t="s">
        <v>238</v>
      </c>
      <c r="E3035" t="s">
        <v>642</v>
      </c>
      <c r="F3035" t="s">
        <v>645</v>
      </c>
      <c r="G3035" t="s">
        <v>2283</v>
      </c>
      <c r="X3035">
        <v>1</v>
      </c>
      <c r="CH3035" t="str">
        <f t="shared" si="47"/>
        <v>D-0267</v>
      </c>
      <c r="CI3035" s="1" t="s">
        <v>102</v>
      </c>
    </row>
    <row r="3036" spans="1:87">
      <c r="A3036" t="s">
        <v>4745</v>
      </c>
      <c r="B3036">
        <v>1</v>
      </c>
      <c r="C3036" t="s">
        <v>1184</v>
      </c>
      <c r="D3036" t="s">
        <v>444</v>
      </c>
      <c r="E3036" t="s">
        <v>642</v>
      </c>
      <c r="F3036" t="s">
        <v>636</v>
      </c>
      <c r="G3036" t="s">
        <v>1185</v>
      </c>
      <c r="X3036">
        <v>1</v>
      </c>
      <c r="CH3036" t="str">
        <f t="shared" si="47"/>
        <v>D-0686</v>
      </c>
      <c r="CI3036" s="1" t="s">
        <v>102</v>
      </c>
    </row>
    <row r="3037" spans="1:87">
      <c r="A3037" t="s">
        <v>4746</v>
      </c>
      <c r="B3037">
        <v>45</v>
      </c>
      <c r="C3037" t="s">
        <v>752</v>
      </c>
      <c r="D3037" t="s">
        <v>210</v>
      </c>
      <c r="E3037" t="s">
        <v>642</v>
      </c>
      <c r="F3037" t="s">
        <v>633</v>
      </c>
      <c r="G3037" t="s">
        <v>2283</v>
      </c>
      <c r="U3037">
        <v>12</v>
      </c>
      <c r="W3037">
        <v>9</v>
      </c>
      <c r="X3037">
        <v>12</v>
      </c>
      <c r="Y3037">
        <v>9</v>
      </c>
      <c r="Z3037">
        <v>3</v>
      </c>
      <c r="CH3037" t="str">
        <f t="shared" si="47"/>
        <v>D-0256</v>
      </c>
      <c r="CI3037" s="1" t="s">
        <v>102</v>
      </c>
    </row>
    <row r="3038" spans="1:87">
      <c r="A3038" t="s">
        <v>4747</v>
      </c>
      <c r="B3038">
        <v>138</v>
      </c>
      <c r="C3038" t="s">
        <v>1181</v>
      </c>
      <c r="D3038" t="s">
        <v>444</v>
      </c>
      <c r="E3038" t="s">
        <v>642</v>
      </c>
      <c r="F3038" t="s">
        <v>636</v>
      </c>
      <c r="G3038" t="s">
        <v>664</v>
      </c>
      <c r="Q3038">
        <v>6</v>
      </c>
      <c r="R3038">
        <v>6</v>
      </c>
      <c r="S3038">
        <v>18</v>
      </c>
      <c r="T3038">
        <v>24</v>
      </c>
      <c r="U3038">
        <v>18</v>
      </c>
      <c r="V3038">
        <v>24</v>
      </c>
      <c r="W3038">
        <v>20</v>
      </c>
      <c r="X3038">
        <v>12</v>
      </c>
      <c r="Y3038">
        <v>8</v>
      </c>
      <c r="Z3038">
        <v>2</v>
      </c>
      <c r="CH3038" t="str">
        <f t="shared" si="47"/>
        <v>D-0686</v>
      </c>
      <c r="CI3038" s="1" t="s">
        <v>102</v>
      </c>
    </row>
    <row r="3039" spans="1:87">
      <c r="A3039" t="s">
        <v>4748</v>
      </c>
      <c r="B3039">
        <v>212</v>
      </c>
      <c r="C3039" t="s">
        <v>746</v>
      </c>
      <c r="D3039" t="s">
        <v>447</v>
      </c>
      <c r="E3039" t="s">
        <v>629</v>
      </c>
      <c r="F3039" t="s">
        <v>636</v>
      </c>
      <c r="G3039" t="s">
        <v>637</v>
      </c>
      <c r="U3039">
        <v>12</v>
      </c>
      <c r="V3039">
        <v>38</v>
      </c>
      <c r="W3039">
        <v>40</v>
      </c>
      <c r="X3039">
        <v>50</v>
      </c>
      <c r="Y3039">
        <v>68</v>
      </c>
      <c r="AH3039">
        <v>2</v>
      </c>
      <c r="AJ3039">
        <v>2</v>
      </c>
      <c r="CH3039" t="str">
        <f t="shared" si="47"/>
        <v>D-0686</v>
      </c>
      <c r="CI3039" s="1" t="s">
        <v>102</v>
      </c>
    </row>
    <row r="3040" spans="1:87">
      <c r="A3040" t="s">
        <v>4749</v>
      </c>
      <c r="B3040">
        <v>3003</v>
      </c>
      <c r="C3040" t="s">
        <v>746</v>
      </c>
      <c r="D3040" t="s">
        <v>447</v>
      </c>
      <c r="E3040" t="s">
        <v>629</v>
      </c>
      <c r="F3040" t="s">
        <v>636</v>
      </c>
      <c r="G3040" t="s">
        <v>637</v>
      </c>
      <c r="S3040">
        <v>86</v>
      </c>
      <c r="Z3040">
        <v>548</v>
      </c>
      <c r="AA3040">
        <v>370</v>
      </c>
      <c r="AB3040">
        <v>580</v>
      </c>
      <c r="AC3040">
        <v>465</v>
      </c>
      <c r="AD3040">
        <v>497</v>
      </c>
      <c r="AE3040">
        <v>416</v>
      </c>
      <c r="AF3040">
        <v>41</v>
      </c>
      <c r="CH3040" t="str">
        <f t="shared" si="47"/>
        <v>D-0686</v>
      </c>
      <c r="CI3040" s="1" t="s">
        <v>102</v>
      </c>
    </row>
    <row r="3041" spans="1:87">
      <c r="A3041" t="s">
        <v>4750</v>
      </c>
      <c r="B3041">
        <v>315</v>
      </c>
      <c r="C3041" t="s">
        <v>746</v>
      </c>
      <c r="D3041" t="s">
        <v>447</v>
      </c>
      <c r="E3041" t="s">
        <v>629</v>
      </c>
      <c r="F3041" t="s">
        <v>636</v>
      </c>
      <c r="G3041" t="s">
        <v>637</v>
      </c>
      <c r="X3041">
        <v>54</v>
      </c>
      <c r="Z3041">
        <v>59</v>
      </c>
      <c r="AA3041">
        <v>54</v>
      </c>
      <c r="AB3041">
        <v>42</v>
      </c>
      <c r="AC3041">
        <v>34</v>
      </c>
      <c r="AD3041">
        <v>30</v>
      </c>
      <c r="AE3041">
        <v>20</v>
      </c>
      <c r="AF3041">
        <v>18</v>
      </c>
      <c r="AH3041">
        <v>2</v>
      </c>
      <c r="AJ3041">
        <v>2</v>
      </c>
      <c r="CH3041" t="str">
        <f t="shared" si="47"/>
        <v>D-0686</v>
      </c>
      <c r="CI3041" s="1" t="s">
        <v>102</v>
      </c>
    </row>
    <row r="3042" spans="1:87">
      <c r="A3042" t="s">
        <v>4752</v>
      </c>
      <c r="B3042">
        <v>3441</v>
      </c>
      <c r="C3042" t="s">
        <v>715</v>
      </c>
      <c r="D3042" t="s">
        <v>308</v>
      </c>
      <c r="E3042" t="s">
        <v>629</v>
      </c>
      <c r="F3042" t="s">
        <v>633</v>
      </c>
      <c r="G3042" t="s">
        <v>2286</v>
      </c>
      <c r="T3042">
        <v>37</v>
      </c>
      <c r="U3042">
        <v>84</v>
      </c>
      <c r="V3042">
        <v>303</v>
      </c>
      <c r="W3042">
        <v>338</v>
      </c>
      <c r="X3042">
        <v>373</v>
      </c>
      <c r="Y3042">
        <v>402</v>
      </c>
      <c r="Z3042">
        <v>450</v>
      </c>
      <c r="AA3042">
        <v>449</v>
      </c>
      <c r="AB3042">
        <v>396</v>
      </c>
      <c r="AC3042">
        <v>189</v>
      </c>
      <c r="AD3042">
        <v>248</v>
      </c>
      <c r="AF3042">
        <v>172</v>
      </c>
      <c r="CH3042" t="str">
        <f t="shared" si="47"/>
        <v>D-0454</v>
      </c>
      <c r="CI3042" s="1" t="s">
        <v>102</v>
      </c>
    </row>
    <row r="3043" spans="1:87">
      <c r="A3043" t="s">
        <v>4753</v>
      </c>
      <c r="B3043">
        <v>10424</v>
      </c>
      <c r="C3043" t="s">
        <v>993</v>
      </c>
      <c r="D3043" t="s">
        <v>308</v>
      </c>
      <c r="E3043" t="s">
        <v>629</v>
      </c>
      <c r="F3043" t="s">
        <v>633</v>
      </c>
      <c r="G3043" t="s">
        <v>3241</v>
      </c>
      <c r="M3043">
        <v>114</v>
      </c>
      <c r="N3043">
        <v>192</v>
      </c>
      <c r="O3043">
        <v>810</v>
      </c>
      <c r="P3043">
        <v>1003</v>
      </c>
      <c r="Q3043">
        <v>1312</v>
      </c>
      <c r="R3043">
        <v>1211</v>
      </c>
      <c r="S3043">
        <v>1677</v>
      </c>
      <c r="T3043">
        <v>1253</v>
      </c>
      <c r="U3043">
        <v>1087</v>
      </c>
      <c r="V3043">
        <v>555</v>
      </c>
      <c r="W3043">
        <v>777</v>
      </c>
      <c r="Y3043">
        <v>391</v>
      </c>
      <c r="AA3043">
        <v>42</v>
      </c>
      <c r="CH3043" t="str">
        <f t="shared" si="47"/>
        <v>D-0454</v>
      </c>
      <c r="CI3043" s="1" t="s">
        <v>102</v>
      </c>
    </row>
    <row r="3044" spans="1:87">
      <c r="A3044" t="s">
        <v>4754</v>
      </c>
      <c r="B3044">
        <v>5620</v>
      </c>
      <c r="C3044" t="s">
        <v>3385</v>
      </c>
      <c r="D3044" t="s">
        <v>308</v>
      </c>
      <c r="E3044" t="s">
        <v>629</v>
      </c>
      <c r="F3044" t="s">
        <v>633</v>
      </c>
      <c r="G3044" t="s">
        <v>3386</v>
      </c>
      <c r="M3044">
        <v>48</v>
      </c>
      <c r="N3044">
        <v>84</v>
      </c>
      <c r="O3044">
        <v>453</v>
      </c>
      <c r="P3044">
        <v>568</v>
      </c>
      <c r="Q3044">
        <v>725</v>
      </c>
      <c r="R3044">
        <v>660</v>
      </c>
      <c r="S3044">
        <v>820</v>
      </c>
      <c r="T3044">
        <v>690</v>
      </c>
      <c r="U3044">
        <v>601</v>
      </c>
      <c r="V3044">
        <v>317</v>
      </c>
      <c r="W3044">
        <v>415</v>
      </c>
      <c r="Y3044">
        <v>227</v>
      </c>
      <c r="AA3044">
        <v>12</v>
      </c>
      <c r="CH3044" t="str">
        <f t="shared" si="47"/>
        <v>D-0454</v>
      </c>
      <c r="CI3044" s="1" t="s">
        <v>102</v>
      </c>
    </row>
    <row r="3045" spans="1:87">
      <c r="A3045" t="s">
        <v>4755</v>
      </c>
      <c r="B3045">
        <v>6408</v>
      </c>
      <c r="C3045" t="s">
        <v>3789</v>
      </c>
      <c r="D3045" t="s">
        <v>308</v>
      </c>
      <c r="E3045" t="s">
        <v>629</v>
      </c>
      <c r="F3045" t="s">
        <v>633</v>
      </c>
      <c r="G3045" t="s">
        <v>3790</v>
      </c>
      <c r="M3045">
        <v>39</v>
      </c>
      <c r="N3045">
        <v>45</v>
      </c>
      <c r="O3045">
        <v>432</v>
      </c>
      <c r="P3045">
        <v>642</v>
      </c>
      <c r="Q3045">
        <v>732</v>
      </c>
      <c r="R3045">
        <v>783</v>
      </c>
      <c r="S3045">
        <v>1008</v>
      </c>
      <c r="T3045">
        <v>906</v>
      </c>
      <c r="U3045">
        <v>648</v>
      </c>
      <c r="V3045">
        <v>474</v>
      </c>
      <c r="W3045">
        <v>456</v>
      </c>
      <c r="Y3045">
        <v>216</v>
      </c>
      <c r="AA3045">
        <v>27</v>
      </c>
      <c r="CH3045" t="str">
        <f t="shared" si="47"/>
        <v>D-0454</v>
      </c>
      <c r="CI3045" s="1" t="s">
        <v>102</v>
      </c>
    </row>
    <row r="3046" spans="1:87">
      <c r="A3046" t="s">
        <v>4756</v>
      </c>
      <c r="B3046">
        <v>3684</v>
      </c>
      <c r="C3046" t="s">
        <v>1642</v>
      </c>
      <c r="D3046" t="s">
        <v>533</v>
      </c>
      <c r="E3046" t="s">
        <v>629</v>
      </c>
      <c r="F3046" t="s">
        <v>1643</v>
      </c>
      <c r="L3046">
        <v>480</v>
      </c>
      <c r="N3046">
        <v>840</v>
      </c>
      <c r="P3046">
        <v>1344</v>
      </c>
      <c r="R3046">
        <v>564</v>
      </c>
      <c r="T3046">
        <v>456</v>
      </c>
      <c r="CH3046" t="str">
        <f t="shared" si="47"/>
        <v>D-0041</v>
      </c>
      <c r="CI3046" s="1" t="s">
        <v>102</v>
      </c>
    </row>
    <row r="3047" spans="1:87">
      <c r="A3047" t="s">
        <v>4757</v>
      </c>
      <c r="B3047">
        <v>360</v>
      </c>
      <c r="C3047" t="s">
        <v>1642</v>
      </c>
      <c r="D3047" t="s">
        <v>533</v>
      </c>
      <c r="E3047" t="s">
        <v>629</v>
      </c>
      <c r="F3047" t="s">
        <v>1643</v>
      </c>
      <c r="L3047">
        <v>30</v>
      </c>
      <c r="M3047">
        <v>60</v>
      </c>
      <c r="N3047">
        <v>60</v>
      </c>
      <c r="O3047">
        <v>60</v>
      </c>
      <c r="P3047">
        <v>60</v>
      </c>
      <c r="Q3047">
        <v>60</v>
      </c>
      <c r="R3047">
        <v>30</v>
      </c>
      <c r="CH3047" t="str">
        <f t="shared" si="47"/>
        <v>D-0041</v>
      </c>
      <c r="CI3047" s="1" t="s">
        <v>102</v>
      </c>
    </row>
    <row r="3048" spans="1:87">
      <c r="A3048" t="s">
        <v>4758</v>
      </c>
      <c r="B3048">
        <v>264</v>
      </c>
      <c r="C3048" t="s">
        <v>1642</v>
      </c>
      <c r="D3048" t="s">
        <v>533</v>
      </c>
      <c r="E3048" t="s">
        <v>629</v>
      </c>
      <c r="F3048" t="s">
        <v>1643</v>
      </c>
      <c r="L3048">
        <v>44</v>
      </c>
      <c r="M3048">
        <v>22</v>
      </c>
      <c r="N3048">
        <v>44</v>
      </c>
      <c r="O3048">
        <v>44</v>
      </c>
      <c r="P3048">
        <v>44</v>
      </c>
      <c r="R3048">
        <v>22</v>
      </c>
      <c r="S3048">
        <v>22</v>
      </c>
      <c r="U3048">
        <v>22</v>
      </c>
      <c r="CH3048" t="str">
        <f t="shared" si="47"/>
        <v>D-0041</v>
      </c>
      <c r="CI3048" s="1" t="s">
        <v>102</v>
      </c>
    </row>
    <row r="3049" spans="1:87">
      <c r="A3049" t="s">
        <v>5172</v>
      </c>
      <c r="B3049">
        <v>1002</v>
      </c>
      <c r="C3049" t="s">
        <v>1680</v>
      </c>
      <c r="D3049" t="s">
        <v>261</v>
      </c>
      <c r="E3049" t="s">
        <v>629</v>
      </c>
      <c r="F3049" t="s">
        <v>635</v>
      </c>
      <c r="G3049" t="s">
        <v>1647</v>
      </c>
      <c r="M3049">
        <v>36</v>
      </c>
      <c r="N3049">
        <v>36</v>
      </c>
      <c r="O3049">
        <v>48</v>
      </c>
      <c r="P3049">
        <v>96</v>
      </c>
      <c r="Q3049">
        <v>96</v>
      </c>
      <c r="R3049">
        <v>96</v>
      </c>
      <c r="S3049">
        <v>60</v>
      </c>
      <c r="T3049">
        <v>84</v>
      </c>
      <c r="U3049">
        <v>48</v>
      </c>
      <c r="V3049">
        <v>48</v>
      </c>
      <c r="W3049">
        <v>60</v>
      </c>
      <c r="X3049">
        <v>60</v>
      </c>
      <c r="Y3049">
        <v>60</v>
      </c>
      <c r="Z3049">
        <v>48</v>
      </c>
      <c r="AA3049">
        <v>24</v>
      </c>
      <c r="AB3049">
        <v>36</v>
      </c>
      <c r="AC3049">
        <v>12</v>
      </c>
      <c r="AD3049">
        <v>24</v>
      </c>
      <c r="AF3049">
        <v>12</v>
      </c>
      <c r="AH3049">
        <v>12</v>
      </c>
      <c r="AJ3049">
        <v>6</v>
      </c>
      <c r="CH3049" t="str">
        <f t="shared" si="47"/>
        <v>D-0310</v>
      </c>
      <c r="CI3049" s="1" t="s">
        <v>102</v>
      </c>
    </row>
    <row r="3050" spans="1:87">
      <c r="A3050" t="s">
        <v>4759</v>
      </c>
      <c r="B3050">
        <v>3930</v>
      </c>
      <c r="C3050" t="s">
        <v>1680</v>
      </c>
      <c r="D3050" t="s">
        <v>261</v>
      </c>
      <c r="E3050" t="s">
        <v>629</v>
      </c>
      <c r="F3050" t="s">
        <v>635</v>
      </c>
      <c r="G3050" t="s">
        <v>1647</v>
      </c>
      <c r="M3050">
        <v>120</v>
      </c>
      <c r="N3050">
        <v>120</v>
      </c>
      <c r="O3050">
        <v>216</v>
      </c>
      <c r="P3050">
        <v>408</v>
      </c>
      <c r="Q3050">
        <v>408</v>
      </c>
      <c r="R3050">
        <v>444</v>
      </c>
      <c r="S3050">
        <v>228</v>
      </c>
      <c r="T3050">
        <v>336</v>
      </c>
      <c r="U3050">
        <v>216</v>
      </c>
      <c r="V3050">
        <v>156</v>
      </c>
      <c r="W3050">
        <v>216</v>
      </c>
      <c r="X3050">
        <v>276</v>
      </c>
      <c r="Y3050">
        <v>240</v>
      </c>
      <c r="Z3050">
        <v>216</v>
      </c>
      <c r="AA3050">
        <v>72</v>
      </c>
      <c r="AB3050">
        <v>144</v>
      </c>
      <c r="AC3050">
        <v>48</v>
      </c>
      <c r="AD3050">
        <v>48</v>
      </c>
      <c r="AF3050">
        <v>12</v>
      </c>
      <c r="AH3050">
        <v>6</v>
      </c>
      <c r="CH3050" t="str">
        <f t="shared" si="47"/>
        <v>D-0310</v>
      </c>
      <c r="CI3050" s="1" t="s">
        <v>102</v>
      </c>
    </row>
    <row r="3051" spans="1:87">
      <c r="A3051" t="s">
        <v>4760</v>
      </c>
      <c r="B3051">
        <v>468</v>
      </c>
      <c r="C3051" t="s">
        <v>650</v>
      </c>
      <c r="D3051" t="s">
        <v>261</v>
      </c>
      <c r="E3051" t="s">
        <v>629</v>
      </c>
      <c r="F3051" t="s">
        <v>635</v>
      </c>
      <c r="G3051" t="s">
        <v>651</v>
      </c>
      <c r="L3051">
        <v>12</v>
      </c>
      <c r="M3051">
        <v>36</v>
      </c>
      <c r="N3051">
        <v>24</v>
      </c>
      <c r="O3051">
        <v>48</v>
      </c>
      <c r="P3051">
        <v>36</v>
      </c>
      <c r="Q3051">
        <v>72</v>
      </c>
      <c r="R3051">
        <v>84</v>
      </c>
      <c r="S3051">
        <v>24</v>
      </c>
      <c r="T3051">
        <v>48</v>
      </c>
      <c r="U3051">
        <v>36</v>
      </c>
      <c r="V3051">
        <v>12</v>
      </c>
      <c r="W3051">
        <v>12</v>
      </c>
      <c r="X3051">
        <v>12</v>
      </c>
      <c r="Y3051">
        <v>12</v>
      </c>
      <c r="CH3051" t="str">
        <f t="shared" si="47"/>
        <v>D-0310</v>
      </c>
      <c r="CI3051" s="1" t="s">
        <v>102</v>
      </c>
    </row>
    <row r="3052" spans="1:87">
      <c r="A3052" t="s">
        <v>4761</v>
      </c>
      <c r="B3052">
        <v>1920</v>
      </c>
      <c r="C3052" t="s">
        <v>650</v>
      </c>
      <c r="D3052" t="s">
        <v>261</v>
      </c>
      <c r="E3052" t="s">
        <v>629</v>
      </c>
      <c r="F3052" t="s">
        <v>635</v>
      </c>
      <c r="G3052" t="s">
        <v>651</v>
      </c>
      <c r="L3052">
        <v>60</v>
      </c>
      <c r="M3052">
        <v>144</v>
      </c>
      <c r="N3052">
        <v>84</v>
      </c>
      <c r="O3052">
        <v>240</v>
      </c>
      <c r="P3052">
        <v>168</v>
      </c>
      <c r="Q3052">
        <v>360</v>
      </c>
      <c r="R3052">
        <v>384</v>
      </c>
      <c r="S3052">
        <v>72</v>
      </c>
      <c r="T3052">
        <v>228</v>
      </c>
      <c r="U3052">
        <v>132</v>
      </c>
      <c r="V3052">
        <v>24</v>
      </c>
      <c r="W3052">
        <v>24</v>
      </c>
      <c r="CH3052" t="str">
        <f t="shared" si="47"/>
        <v>D-0310</v>
      </c>
      <c r="CI3052" s="1" t="s">
        <v>102</v>
      </c>
    </row>
    <row r="3053" spans="1:87">
      <c r="A3053" t="s">
        <v>4762</v>
      </c>
      <c r="B3053">
        <v>624</v>
      </c>
      <c r="C3053" t="s">
        <v>650</v>
      </c>
      <c r="D3053" t="s">
        <v>261</v>
      </c>
      <c r="E3053" t="s">
        <v>629</v>
      </c>
      <c r="F3053" t="s">
        <v>635</v>
      </c>
      <c r="G3053" t="s">
        <v>651</v>
      </c>
      <c r="L3053">
        <v>48</v>
      </c>
      <c r="M3053">
        <v>48</v>
      </c>
      <c r="N3053">
        <v>156</v>
      </c>
      <c r="O3053">
        <v>108</v>
      </c>
      <c r="P3053">
        <v>108</v>
      </c>
      <c r="Q3053">
        <v>108</v>
      </c>
      <c r="S3053">
        <v>48</v>
      </c>
      <c r="CH3053" t="str">
        <f t="shared" si="47"/>
        <v>D-0310</v>
      </c>
      <c r="CI3053" s="1" t="s">
        <v>102</v>
      </c>
    </row>
    <row r="3054" spans="1:87">
      <c r="A3054" t="s">
        <v>4763</v>
      </c>
      <c r="B3054">
        <v>420</v>
      </c>
      <c r="C3054" t="s">
        <v>650</v>
      </c>
      <c r="D3054" t="s">
        <v>261</v>
      </c>
      <c r="E3054" t="s">
        <v>629</v>
      </c>
      <c r="F3054" t="s">
        <v>635</v>
      </c>
      <c r="G3054" t="s">
        <v>651</v>
      </c>
      <c r="L3054">
        <v>70</v>
      </c>
      <c r="M3054">
        <v>35</v>
      </c>
      <c r="N3054">
        <v>70</v>
      </c>
      <c r="O3054">
        <v>70</v>
      </c>
      <c r="P3054">
        <v>70</v>
      </c>
      <c r="R3054">
        <v>35</v>
      </c>
      <c r="S3054">
        <v>35</v>
      </c>
      <c r="U3054">
        <v>35</v>
      </c>
      <c r="CH3054" t="str">
        <f t="shared" si="47"/>
        <v>D-0310</v>
      </c>
      <c r="CI3054" s="1" t="s">
        <v>102</v>
      </c>
    </row>
    <row r="3055" spans="1:87">
      <c r="A3055" t="s">
        <v>4764</v>
      </c>
      <c r="B3055">
        <v>600</v>
      </c>
      <c r="C3055" t="s">
        <v>650</v>
      </c>
      <c r="D3055" t="s">
        <v>261</v>
      </c>
      <c r="E3055" t="s">
        <v>629</v>
      </c>
      <c r="F3055" t="s">
        <v>635</v>
      </c>
      <c r="G3055" t="s">
        <v>651</v>
      </c>
      <c r="L3055">
        <v>50</v>
      </c>
      <c r="M3055">
        <v>100</v>
      </c>
      <c r="N3055">
        <v>100</v>
      </c>
      <c r="O3055">
        <v>100</v>
      </c>
      <c r="P3055">
        <v>100</v>
      </c>
      <c r="Q3055">
        <v>100</v>
      </c>
      <c r="R3055">
        <v>50</v>
      </c>
      <c r="CH3055" t="str">
        <f t="shared" si="47"/>
        <v>D-0310</v>
      </c>
      <c r="CI3055" s="1" t="s">
        <v>102</v>
      </c>
    </row>
    <row r="3056" spans="1:87">
      <c r="A3056" t="s">
        <v>4765</v>
      </c>
      <c r="B3056">
        <v>360</v>
      </c>
      <c r="C3056" t="s">
        <v>650</v>
      </c>
      <c r="D3056" t="s">
        <v>261</v>
      </c>
      <c r="E3056" t="s">
        <v>629</v>
      </c>
      <c r="F3056" t="s">
        <v>635</v>
      </c>
      <c r="G3056" t="s">
        <v>651</v>
      </c>
      <c r="L3056">
        <v>60</v>
      </c>
      <c r="M3056">
        <v>24</v>
      </c>
      <c r="N3056">
        <v>72</v>
      </c>
      <c r="O3056">
        <v>60</v>
      </c>
      <c r="P3056">
        <v>60</v>
      </c>
      <c r="Q3056">
        <v>36</v>
      </c>
      <c r="R3056">
        <v>24</v>
      </c>
      <c r="T3056">
        <v>24</v>
      </c>
      <c r="CH3056" t="str">
        <f t="shared" si="47"/>
        <v>D-0310</v>
      </c>
      <c r="CI3056" s="1" t="s">
        <v>102</v>
      </c>
    </row>
    <row r="3057" spans="1:87">
      <c r="A3057" t="s">
        <v>4766</v>
      </c>
      <c r="B3057">
        <v>600</v>
      </c>
      <c r="C3057" t="s">
        <v>650</v>
      </c>
      <c r="D3057" t="s">
        <v>261</v>
      </c>
      <c r="E3057" t="s">
        <v>629</v>
      </c>
      <c r="F3057" t="s">
        <v>635</v>
      </c>
      <c r="G3057" t="s">
        <v>651</v>
      </c>
      <c r="L3057">
        <v>120</v>
      </c>
      <c r="N3057">
        <v>216</v>
      </c>
      <c r="P3057">
        <v>180</v>
      </c>
      <c r="R3057">
        <v>84</v>
      </c>
      <c r="CH3057" t="str">
        <f t="shared" si="47"/>
        <v>D-0310</v>
      </c>
      <c r="CI3057" s="1" t="s">
        <v>102</v>
      </c>
    </row>
    <row r="3058" spans="1:87">
      <c r="A3058" t="s">
        <v>4767</v>
      </c>
      <c r="B3058">
        <v>4806</v>
      </c>
      <c r="C3058" t="s">
        <v>1065</v>
      </c>
      <c r="D3058" t="s">
        <v>261</v>
      </c>
      <c r="E3058" t="s">
        <v>629</v>
      </c>
      <c r="F3058" t="s">
        <v>635</v>
      </c>
      <c r="G3058" t="s">
        <v>651</v>
      </c>
      <c r="P3058">
        <v>801</v>
      </c>
      <c r="Q3058">
        <v>801</v>
      </c>
      <c r="R3058">
        <v>801</v>
      </c>
      <c r="S3058">
        <v>801</v>
      </c>
      <c r="T3058">
        <v>801</v>
      </c>
      <c r="U3058">
        <v>801</v>
      </c>
      <c r="CH3058" t="str">
        <f t="shared" si="47"/>
        <v>D-0310</v>
      </c>
      <c r="CI3058" s="1" t="s">
        <v>102</v>
      </c>
    </row>
    <row r="3059" spans="1:87">
      <c r="A3059" t="s">
        <v>4768</v>
      </c>
      <c r="B3059">
        <v>1200</v>
      </c>
      <c r="C3059" t="s">
        <v>1065</v>
      </c>
      <c r="D3059" t="s">
        <v>261</v>
      </c>
      <c r="E3059" t="s">
        <v>629</v>
      </c>
      <c r="F3059" t="s">
        <v>635</v>
      </c>
      <c r="G3059" t="s">
        <v>651</v>
      </c>
      <c r="N3059">
        <v>100</v>
      </c>
      <c r="O3059">
        <v>100</v>
      </c>
      <c r="P3059">
        <v>100</v>
      </c>
      <c r="Q3059">
        <v>100</v>
      </c>
      <c r="R3059">
        <v>100</v>
      </c>
      <c r="S3059">
        <v>100</v>
      </c>
      <c r="T3059">
        <v>100</v>
      </c>
      <c r="U3059">
        <v>100</v>
      </c>
      <c r="V3059">
        <v>100</v>
      </c>
      <c r="W3059">
        <v>100</v>
      </c>
      <c r="X3059">
        <v>100</v>
      </c>
      <c r="Z3059">
        <v>100</v>
      </c>
      <c r="CH3059" t="str">
        <f t="shared" si="47"/>
        <v>D-0310</v>
      </c>
      <c r="CI3059" s="1" t="s">
        <v>102</v>
      </c>
    </row>
    <row r="3060" spans="1:87">
      <c r="A3060" t="s">
        <v>4769</v>
      </c>
      <c r="B3060">
        <v>804</v>
      </c>
      <c r="C3060" t="s">
        <v>1065</v>
      </c>
      <c r="D3060" t="s">
        <v>261</v>
      </c>
      <c r="E3060" t="s">
        <v>629</v>
      </c>
      <c r="F3060" t="s">
        <v>635</v>
      </c>
      <c r="G3060" t="s">
        <v>651</v>
      </c>
      <c r="N3060">
        <v>48</v>
      </c>
      <c r="O3060">
        <v>84</v>
      </c>
      <c r="P3060">
        <v>132</v>
      </c>
      <c r="Q3060">
        <v>132</v>
      </c>
      <c r="R3060">
        <v>132</v>
      </c>
      <c r="S3060">
        <v>84</v>
      </c>
      <c r="T3060">
        <v>84</v>
      </c>
      <c r="U3060">
        <v>48</v>
      </c>
      <c r="V3060">
        <v>48</v>
      </c>
      <c r="X3060">
        <v>12</v>
      </c>
      <c r="CH3060" t="str">
        <f t="shared" si="47"/>
        <v>D-0310</v>
      </c>
      <c r="CI3060" s="1" t="s">
        <v>102</v>
      </c>
    </row>
    <row r="3061" spans="1:87">
      <c r="A3061" t="s">
        <v>4770</v>
      </c>
      <c r="B3061">
        <v>1704</v>
      </c>
      <c r="C3061" t="s">
        <v>4771</v>
      </c>
      <c r="D3061" t="s">
        <v>261</v>
      </c>
      <c r="E3061" t="s">
        <v>629</v>
      </c>
      <c r="F3061" t="s">
        <v>635</v>
      </c>
      <c r="G3061" t="s">
        <v>1516</v>
      </c>
      <c r="L3061">
        <v>24</v>
      </c>
      <c r="M3061">
        <v>12</v>
      </c>
      <c r="N3061">
        <v>132</v>
      </c>
      <c r="O3061">
        <v>72</v>
      </c>
      <c r="P3061">
        <v>300</v>
      </c>
      <c r="Q3061">
        <v>156</v>
      </c>
      <c r="R3061">
        <v>384</v>
      </c>
      <c r="S3061">
        <v>144</v>
      </c>
      <c r="T3061">
        <v>264</v>
      </c>
      <c r="U3061">
        <v>60</v>
      </c>
      <c r="V3061">
        <v>120</v>
      </c>
      <c r="X3061">
        <v>36</v>
      </c>
      <c r="CH3061" t="str">
        <f t="shared" si="47"/>
        <v>D-0310</v>
      </c>
      <c r="CI3061" s="1" t="s">
        <v>102</v>
      </c>
    </row>
    <row r="3062" spans="1:87">
      <c r="A3062" t="s">
        <v>4772</v>
      </c>
      <c r="B3062">
        <v>2292</v>
      </c>
      <c r="C3062" t="s">
        <v>4771</v>
      </c>
      <c r="D3062" t="s">
        <v>261</v>
      </c>
      <c r="E3062" t="s">
        <v>629</v>
      </c>
      <c r="F3062" t="s">
        <v>635</v>
      </c>
      <c r="G3062" t="s">
        <v>1516</v>
      </c>
      <c r="L3062">
        <v>24</v>
      </c>
      <c r="M3062">
        <v>12</v>
      </c>
      <c r="N3062">
        <v>180</v>
      </c>
      <c r="O3062">
        <v>84</v>
      </c>
      <c r="P3062">
        <v>420</v>
      </c>
      <c r="Q3062">
        <v>204</v>
      </c>
      <c r="R3062">
        <v>540</v>
      </c>
      <c r="S3062">
        <v>192</v>
      </c>
      <c r="T3062">
        <v>360</v>
      </c>
      <c r="U3062">
        <v>72</v>
      </c>
      <c r="V3062">
        <v>168</v>
      </c>
      <c r="X3062">
        <v>36</v>
      </c>
      <c r="CH3062" t="str">
        <f t="shared" si="47"/>
        <v>D-0310</v>
      </c>
      <c r="CI3062" s="1" t="s">
        <v>102</v>
      </c>
    </row>
    <row r="3063" spans="1:87">
      <c r="A3063" t="s">
        <v>4773</v>
      </c>
      <c r="B3063">
        <v>1116</v>
      </c>
      <c r="C3063" t="s">
        <v>4771</v>
      </c>
      <c r="D3063" t="s">
        <v>261</v>
      </c>
      <c r="E3063" t="s">
        <v>629</v>
      </c>
      <c r="F3063" t="s">
        <v>635</v>
      </c>
      <c r="G3063" t="s">
        <v>1516</v>
      </c>
      <c r="N3063">
        <v>36</v>
      </c>
      <c r="O3063">
        <v>36</v>
      </c>
      <c r="P3063">
        <v>228</v>
      </c>
      <c r="Q3063">
        <v>84</v>
      </c>
      <c r="R3063">
        <v>348</v>
      </c>
      <c r="S3063">
        <v>96</v>
      </c>
      <c r="T3063">
        <v>144</v>
      </c>
      <c r="U3063">
        <v>36</v>
      </c>
      <c r="V3063">
        <v>84</v>
      </c>
      <c r="X3063">
        <v>24</v>
      </c>
      <c r="CH3063" t="str">
        <f t="shared" si="47"/>
        <v>D-0310</v>
      </c>
      <c r="CI3063" s="1" t="s">
        <v>102</v>
      </c>
    </row>
    <row r="3064" spans="1:87">
      <c r="A3064" t="s">
        <v>4774</v>
      </c>
      <c r="B3064">
        <v>1380</v>
      </c>
      <c r="C3064" t="s">
        <v>4771</v>
      </c>
      <c r="D3064" t="s">
        <v>261</v>
      </c>
      <c r="E3064" t="s">
        <v>629</v>
      </c>
      <c r="F3064" t="s">
        <v>635</v>
      </c>
      <c r="G3064" t="s">
        <v>1516</v>
      </c>
      <c r="L3064">
        <v>12</v>
      </c>
      <c r="M3064">
        <v>12</v>
      </c>
      <c r="N3064">
        <v>48</v>
      </c>
      <c r="O3064">
        <v>48</v>
      </c>
      <c r="P3064">
        <v>276</v>
      </c>
      <c r="Q3064">
        <v>96</v>
      </c>
      <c r="R3064">
        <v>432</v>
      </c>
      <c r="S3064">
        <v>120</v>
      </c>
      <c r="T3064">
        <v>168</v>
      </c>
      <c r="U3064">
        <v>48</v>
      </c>
      <c r="V3064">
        <v>96</v>
      </c>
      <c r="X3064">
        <v>24</v>
      </c>
      <c r="CH3064" t="str">
        <f t="shared" si="47"/>
        <v>D-0310</v>
      </c>
      <c r="CI3064" s="1" t="s">
        <v>102</v>
      </c>
    </row>
    <row r="3065" spans="1:87">
      <c r="A3065" t="s">
        <v>4775</v>
      </c>
      <c r="B3065">
        <v>1152</v>
      </c>
      <c r="C3065" t="s">
        <v>4771</v>
      </c>
      <c r="D3065" t="s">
        <v>261</v>
      </c>
      <c r="E3065" t="s">
        <v>629</v>
      </c>
      <c r="F3065" t="s">
        <v>635</v>
      </c>
      <c r="G3065" t="s">
        <v>1516</v>
      </c>
      <c r="L3065">
        <v>24</v>
      </c>
      <c r="M3065">
        <v>12</v>
      </c>
      <c r="N3065">
        <v>96</v>
      </c>
      <c r="O3065">
        <v>48</v>
      </c>
      <c r="P3065">
        <v>204</v>
      </c>
      <c r="Q3065">
        <v>96</v>
      </c>
      <c r="R3065">
        <v>264</v>
      </c>
      <c r="S3065">
        <v>96</v>
      </c>
      <c r="T3065">
        <v>168</v>
      </c>
      <c r="U3065">
        <v>36</v>
      </c>
      <c r="V3065">
        <v>84</v>
      </c>
      <c r="X3065">
        <v>24</v>
      </c>
      <c r="CH3065" t="str">
        <f t="shared" si="47"/>
        <v>D-0310</v>
      </c>
      <c r="CI3065" s="1" t="s">
        <v>102</v>
      </c>
    </row>
    <row r="3066" spans="1:87">
      <c r="A3066" t="s">
        <v>4776</v>
      </c>
      <c r="B3066">
        <v>1056</v>
      </c>
      <c r="C3066" t="s">
        <v>4771</v>
      </c>
      <c r="D3066" t="s">
        <v>261</v>
      </c>
      <c r="E3066" t="s">
        <v>629</v>
      </c>
      <c r="F3066" t="s">
        <v>635</v>
      </c>
      <c r="G3066" t="s">
        <v>1516</v>
      </c>
      <c r="L3066">
        <v>12</v>
      </c>
      <c r="N3066">
        <v>84</v>
      </c>
      <c r="O3066">
        <v>48</v>
      </c>
      <c r="P3066">
        <v>204</v>
      </c>
      <c r="Q3066">
        <v>96</v>
      </c>
      <c r="R3066">
        <v>252</v>
      </c>
      <c r="S3066">
        <v>84</v>
      </c>
      <c r="T3066">
        <v>156</v>
      </c>
      <c r="U3066">
        <v>36</v>
      </c>
      <c r="V3066">
        <v>72</v>
      </c>
      <c r="X3066">
        <v>12</v>
      </c>
      <c r="CH3066" t="str">
        <f t="shared" si="47"/>
        <v>D-0310</v>
      </c>
      <c r="CI3066" s="1" t="s">
        <v>102</v>
      </c>
    </row>
    <row r="3067" spans="1:87">
      <c r="A3067" t="s">
        <v>4777</v>
      </c>
      <c r="B3067">
        <v>3816</v>
      </c>
      <c r="C3067" t="s">
        <v>4778</v>
      </c>
      <c r="D3067" t="s">
        <v>261</v>
      </c>
      <c r="E3067" t="s">
        <v>629</v>
      </c>
      <c r="F3067" t="s">
        <v>635</v>
      </c>
      <c r="G3067" t="s">
        <v>1516</v>
      </c>
      <c r="L3067">
        <v>36</v>
      </c>
      <c r="M3067">
        <v>36</v>
      </c>
      <c r="N3067">
        <v>252</v>
      </c>
      <c r="O3067">
        <v>252</v>
      </c>
      <c r="P3067">
        <v>564</v>
      </c>
      <c r="Q3067">
        <v>540</v>
      </c>
      <c r="R3067">
        <v>756</v>
      </c>
      <c r="S3067">
        <v>432</v>
      </c>
      <c r="T3067">
        <v>540</v>
      </c>
      <c r="U3067">
        <v>144</v>
      </c>
      <c r="V3067">
        <v>240</v>
      </c>
      <c r="X3067">
        <v>24</v>
      </c>
      <c r="CH3067" t="str">
        <f t="shared" si="47"/>
        <v>D-0310</v>
      </c>
      <c r="CI3067" s="1" t="s">
        <v>102</v>
      </c>
    </row>
    <row r="3068" spans="1:87">
      <c r="A3068" t="s">
        <v>4779</v>
      </c>
      <c r="B3068">
        <v>1692</v>
      </c>
      <c r="C3068" t="s">
        <v>3493</v>
      </c>
      <c r="D3068" t="s">
        <v>3494</v>
      </c>
      <c r="E3068" t="s">
        <v>629</v>
      </c>
      <c r="F3068" t="s">
        <v>635</v>
      </c>
      <c r="G3068" t="s">
        <v>1647</v>
      </c>
      <c r="N3068">
        <v>24</v>
      </c>
      <c r="O3068">
        <v>24</v>
      </c>
      <c r="P3068">
        <v>36</v>
      </c>
      <c r="Q3068">
        <v>24</v>
      </c>
      <c r="R3068">
        <v>36</v>
      </c>
      <c r="S3068">
        <v>36</v>
      </c>
      <c r="T3068">
        <v>48</v>
      </c>
      <c r="U3068">
        <v>24</v>
      </c>
      <c r="V3068">
        <v>168</v>
      </c>
      <c r="W3068">
        <v>108</v>
      </c>
      <c r="X3068">
        <v>204</v>
      </c>
      <c r="Y3068">
        <v>144</v>
      </c>
      <c r="Z3068">
        <v>216</v>
      </c>
      <c r="AA3068">
        <v>156</v>
      </c>
      <c r="AB3068">
        <v>168</v>
      </c>
      <c r="AC3068">
        <v>72</v>
      </c>
      <c r="AD3068">
        <v>120</v>
      </c>
      <c r="AF3068">
        <v>84</v>
      </c>
      <c r="CH3068" t="str">
        <f t="shared" si="47"/>
        <v>D-0493</v>
      </c>
      <c r="CI3068" s="1" t="s">
        <v>102</v>
      </c>
    </row>
    <row r="3069" spans="1:87">
      <c r="A3069" t="s">
        <v>4780</v>
      </c>
      <c r="B3069">
        <v>804</v>
      </c>
      <c r="C3069" t="s">
        <v>3493</v>
      </c>
      <c r="D3069" t="s">
        <v>3494</v>
      </c>
      <c r="E3069" t="s">
        <v>629</v>
      </c>
      <c r="F3069" t="s">
        <v>635</v>
      </c>
      <c r="G3069" t="s">
        <v>1647</v>
      </c>
      <c r="N3069">
        <v>204</v>
      </c>
      <c r="O3069">
        <v>36</v>
      </c>
      <c r="P3069">
        <v>192</v>
      </c>
      <c r="Q3069">
        <v>36</v>
      </c>
      <c r="R3069">
        <v>180</v>
      </c>
      <c r="S3069">
        <v>48</v>
      </c>
      <c r="T3069">
        <v>108</v>
      </c>
      <c r="CH3069" t="str">
        <f t="shared" si="47"/>
        <v>D-0493</v>
      </c>
      <c r="CI3069" s="1" t="s">
        <v>102</v>
      </c>
    </row>
    <row r="3070" spans="1:87">
      <c r="A3070" t="s">
        <v>4782</v>
      </c>
      <c r="B3070">
        <v>156</v>
      </c>
      <c r="C3070" t="s">
        <v>1741</v>
      </c>
      <c r="D3070" t="s">
        <v>261</v>
      </c>
      <c r="E3070" t="s">
        <v>629</v>
      </c>
      <c r="F3070" t="s">
        <v>652</v>
      </c>
      <c r="G3070" t="s">
        <v>1742</v>
      </c>
      <c r="O3070">
        <v>36</v>
      </c>
      <c r="P3070">
        <v>72</v>
      </c>
      <c r="V3070">
        <v>12</v>
      </c>
      <c r="AA3070">
        <v>24</v>
      </c>
      <c r="AB3070">
        <v>12</v>
      </c>
      <c r="CH3070" t="str">
        <f t="shared" si="47"/>
        <v>D-0310</v>
      </c>
      <c r="CI3070" s="1" t="s">
        <v>102</v>
      </c>
    </row>
    <row r="3071" spans="1:87">
      <c r="A3071" t="s">
        <v>4783</v>
      </c>
      <c r="B3071">
        <v>1068</v>
      </c>
      <c r="C3071" t="s">
        <v>1741</v>
      </c>
      <c r="D3071" t="s">
        <v>261</v>
      </c>
      <c r="E3071" t="s">
        <v>629</v>
      </c>
      <c r="F3071" t="s">
        <v>652</v>
      </c>
      <c r="G3071" t="s">
        <v>1742</v>
      </c>
      <c r="L3071">
        <v>12</v>
      </c>
      <c r="P3071">
        <v>72</v>
      </c>
      <c r="R3071">
        <v>156</v>
      </c>
      <c r="T3071">
        <v>144</v>
      </c>
      <c r="V3071">
        <v>156</v>
      </c>
      <c r="X3071">
        <v>192</v>
      </c>
      <c r="Z3071">
        <v>192</v>
      </c>
      <c r="AB3071">
        <v>60</v>
      </c>
      <c r="AD3071">
        <v>48</v>
      </c>
      <c r="AF3071">
        <v>36</v>
      </c>
      <c r="CH3071" t="str">
        <f t="shared" si="47"/>
        <v>D-0310</v>
      </c>
      <c r="CI3071" s="1" t="s">
        <v>102</v>
      </c>
    </row>
    <row r="3072" spans="1:87">
      <c r="A3072" t="s">
        <v>4784</v>
      </c>
      <c r="B3072">
        <v>180</v>
      </c>
      <c r="C3072" t="s">
        <v>1741</v>
      </c>
      <c r="D3072" t="s">
        <v>261</v>
      </c>
      <c r="E3072" t="s">
        <v>629</v>
      </c>
      <c r="F3072" t="s">
        <v>652</v>
      </c>
      <c r="G3072" t="s">
        <v>1742</v>
      </c>
      <c r="M3072">
        <v>12</v>
      </c>
      <c r="N3072">
        <v>36</v>
      </c>
      <c r="O3072">
        <v>60</v>
      </c>
      <c r="P3072">
        <v>36</v>
      </c>
      <c r="Q3072">
        <v>12</v>
      </c>
      <c r="R3072">
        <v>24</v>
      </c>
      <c r="CH3072" t="str">
        <f t="shared" si="47"/>
        <v>D-0310</v>
      </c>
      <c r="CI3072" s="1" t="s">
        <v>102</v>
      </c>
    </row>
    <row r="3073" spans="1:87">
      <c r="A3073" t="s">
        <v>4785</v>
      </c>
      <c r="B3073">
        <v>180</v>
      </c>
      <c r="C3073" t="s">
        <v>1741</v>
      </c>
      <c r="D3073" t="s">
        <v>261</v>
      </c>
      <c r="E3073" t="s">
        <v>629</v>
      </c>
      <c r="F3073" t="s">
        <v>652</v>
      </c>
      <c r="G3073" t="s">
        <v>1742</v>
      </c>
      <c r="S3073">
        <v>24</v>
      </c>
      <c r="T3073">
        <v>12</v>
      </c>
      <c r="U3073">
        <v>36</v>
      </c>
      <c r="V3073">
        <v>24</v>
      </c>
      <c r="W3073">
        <v>12</v>
      </c>
      <c r="X3073">
        <v>12</v>
      </c>
      <c r="Y3073">
        <v>24</v>
      </c>
      <c r="Z3073">
        <v>36</v>
      </c>
      <c r="CH3073" t="str">
        <f t="shared" si="47"/>
        <v>D-0310</v>
      </c>
      <c r="CI3073" s="1" t="s">
        <v>102</v>
      </c>
    </row>
    <row r="3074" spans="1:87">
      <c r="A3074" t="s">
        <v>4786</v>
      </c>
      <c r="B3074">
        <v>516</v>
      </c>
      <c r="C3074" t="s">
        <v>1741</v>
      </c>
      <c r="D3074" t="s">
        <v>261</v>
      </c>
      <c r="E3074" t="s">
        <v>629</v>
      </c>
      <c r="F3074" t="s">
        <v>652</v>
      </c>
      <c r="G3074" t="s">
        <v>1742</v>
      </c>
      <c r="S3074">
        <v>36</v>
      </c>
      <c r="V3074">
        <v>12</v>
      </c>
      <c r="W3074">
        <v>96</v>
      </c>
      <c r="X3074">
        <v>180</v>
      </c>
      <c r="Y3074">
        <v>132</v>
      </c>
      <c r="Z3074">
        <v>12</v>
      </c>
      <c r="AB3074">
        <v>48</v>
      </c>
      <c r="CH3074" t="str">
        <f t="shared" ref="CH3074:CH3137" si="48">TRIM(IFERROR(IFERROR(MID($D3074,FIND("(D-",$D3074)+1,6),LEFT($D3074,FIND("(",$D3074)-1)),$D3074))</f>
        <v>D-0310</v>
      </c>
      <c r="CI3074" s="1" t="s">
        <v>102</v>
      </c>
    </row>
    <row r="3075" spans="1:87">
      <c r="A3075" t="s">
        <v>4787</v>
      </c>
      <c r="B3075">
        <v>1488</v>
      </c>
      <c r="C3075" t="s">
        <v>2097</v>
      </c>
      <c r="D3075" t="s">
        <v>410</v>
      </c>
      <c r="E3075" t="s">
        <v>629</v>
      </c>
      <c r="F3075" t="s">
        <v>652</v>
      </c>
      <c r="G3075" t="s">
        <v>2098</v>
      </c>
      <c r="N3075">
        <v>228</v>
      </c>
      <c r="O3075">
        <v>180</v>
      </c>
      <c r="P3075">
        <v>300</v>
      </c>
      <c r="Q3075">
        <v>240</v>
      </c>
      <c r="R3075">
        <v>360</v>
      </c>
      <c r="S3075">
        <v>180</v>
      </c>
      <c r="CH3075" t="str">
        <f t="shared" si="48"/>
        <v>D-0591</v>
      </c>
      <c r="CI3075" s="1" t="s">
        <v>102</v>
      </c>
    </row>
    <row r="3076" spans="1:87">
      <c r="A3076" t="s">
        <v>4788</v>
      </c>
      <c r="B3076">
        <v>312</v>
      </c>
      <c r="C3076" t="s">
        <v>2097</v>
      </c>
      <c r="D3076" t="s">
        <v>410</v>
      </c>
      <c r="E3076" t="s">
        <v>629</v>
      </c>
      <c r="F3076" t="s">
        <v>652</v>
      </c>
      <c r="G3076" t="s">
        <v>2098</v>
      </c>
      <c r="N3076">
        <v>72</v>
      </c>
      <c r="P3076">
        <v>120</v>
      </c>
      <c r="R3076">
        <v>120</v>
      </c>
      <c r="CH3076" t="str">
        <f t="shared" si="48"/>
        <v>D-0591</v>
      </c>
      <c r="CI3076" s="1" t="s">
        <v>102</v>
      </c>
    </row>
    <row r="3077" spans="1:87">
      <c r="A3077" t="s">
        <v>4789</v>
      </c>
      <c r="B3077">
        <v>600</v>
      </c>
      <c r="C3077" t="s">
        <v>2099</v>
      </c>
      <c r="D3077" t="s">
        <v>410</v>
      </c>
      <c r="E3077" t="s">
        <v>629</v>
      </c>
      <c r="F3077" t="s">
        <v>652</v>
      </c>
      <c r="G3077" t="s">
        <v>1736</v>
      </c>
      <c r="M3077">
        <v>24</v>
      </c>
      <c r="N3077">
        <v>24</v>
      </c>
      <c r="O3077">
        <v>24</v>
      </c>
      <c r="P3077">
        <v>24</v>
      </c>
      <c r="Q3077">
        <v>24</v>
      </c>
      <c r="R3077">
        <v>24</v>
      </c>
      <c r="S3077">
        <v>24</v>
      </c>
      <c r="T3077">
        <v>24</v>
      </c>
      <c r="U3077">
        <v>24</v>
      </c>
      <c r="V3077">
        <v>24</v>
      </c>
      <c r="W3077">
        <v>36</v>
      </c>
      <c r="X3077">
        <v>36</v>
      </c>
      <c r="Y3077">
        <v>48</v>
      </c>
      <c r="Z3077">
        <v>48</v>
      </c>
      <c r="AA3077">
        <v>48</v>
      </c>
      <c r="AB3077">
        <v>48</v>
      </c>
      <c r="AC3077">
        <v>24</v>
      </c>
      <c r="AD3077">
        <v>24</v>
      </c>
      <c r="AE3077">
        <v>24</v>
      </c>
      <c r="AG3077">
        <v>24</v>
      </c>
      <c r="CH3077" t="str">
        <f t="shared" si="48"/>
        <v>D-0591</v>
      </c>
      <c r="CI3077" s="1" t="s">
        <v>102</v>
      </c>
    </row>
    <row r="3078" spans="1:87">
      <c r="A3078" t="s">
        <v>4790</v>
      </c>
      <c r="B3078">
        <v>444</v>
      </c>
      <c r="C3078" t="s">
        <v>2099</v>
      </c>
      <c r="D3078" t="s">
        <v>410</v>
      </c>
      <c r="E3078" t="s">
        <v>629</v>
      </c>
      <c r="F3078" t="s">
        <v>652</v>
      </c>
      <c r="G3078" t="s">
        <v>1736</v>
      </c>
      <c r="M3078">
        <v>24</v>
      </c>
      <c r="N3078">
        <v>24</v>
      </c>
      <c r="O3078">
        <v>24</v>
      </c>
      <c r="P3078">
        <v>24</v>
      </c>
      <c r="Q3078">
        <v>24</v>
      </c>
      <c r="R3078">
        <v>24</v>
      </c>
      <c r="S3078">
        <v>24</v>
      </c>
      <c r="T3078">
        <v>24</v>
      </c>
      <c r="U3078">
        <v>24</v>
      </c>
      <c r="V3078">
        <v>12</v>
      </c>
      <c r="W3078">
        <v>24</v>
      </c>
      <c r="X3078">
        <v>24</v>
      </c>
      <c r="Y3078">
        <v>24</v>
      </c>
      <c r="Z3078">
        <v>36</v>
      </c>
      <c r="AA3078">
        <v>36</v>
      </c>
      <c r="AB3078">
        <v>24</v>
      </c>
      <c r="AC3078">
        <v>12</v>
      </c>
      <c r="AD3078">
        <v>12</v>
      </c>
      <c r="AE3078">
        <v>12</v>
      </c>
      <c r="AG3078">
        <v>12</v>
      </c>
      <c r="CH3078" t="str">
        <f t="shared" si="48"/>
        <v>D-0591</v>
      </c>
      <c r="CI3078" s="1" t="s">
        <v>102</v>
      </c>
    </row>
    <row r="3079" spans="1:87">
      <c r="A3079" t="s">
        <v>4791</v>
      </c>
      <c r="B3079">
        <v>216</v>
      </c>
      <c r="C3079" t="s">
        <v>2099</v>
      </c>
      <c r="D3079" t="s">
        <v>410</v>
      </c>
      <c r="E3079" t="s">
        <v>629</v>
      </c>
      <c r="F3079" t="s">
        <v>652</v>
      </c>
      <c r="G3079" t="s">
        <v>1736</v>
      </c>
      <c r="U3079">
        <v>12</v>
      </c>
      <c r="V3079">
        <v>12</v>
      </c>
      <c r="W3079">
        <v>24</v>
      </c>
      <c r="X3079">
        <v>24</v>
      </c>
      <c r="Y3079">
        <v>24</v>
      </c>
      <c r="Z3079">
        <v>24</v>
      </c>
      <c r="AA3079">
        <v>24</v>
      </c>
      <c r="AB3079">
        <v>12</v>
      </c>
      <c r="AC3079">
        <v>24</v>
      </c>
      <c r="AD3079">
        <v>12</v>
      </c>
      <c r="AE3079">
        <v>12</v>
      </c>
      <c r="AG3079">
        <v>12</v>
      </c>
      <c r="CH3079" t="str">
        <f t="shared" si="48"/>
        <v>D-0591</v>
      </c>
      <c r="CI3079" s="1" t="s">
        <v>102</v>
      </c>
    </row>
    <row r="3080" spans="1:87">
      <c r="A3080" t="s">
        <v>4792</v>
      </c>
      <c r="B3080">
        <v>1668</v>
      </c>
      <c r="C3080" t="s">
        <v>2099</v>
      </c>
      <c r="D3080" t="s">
        <v>410</v>
      </c>
      <c r="E3080" t="s">
        <v>629</v>
      </c>
      <c r="F3080" t="s">
        <v>652</v>
      </c>
      <c r="G3080" t="s">
        <v>1736</v>
      </c>
      <c r="U3080">
        <v>48</v>
      </c>
      <c r="V3080">
        <v>108</v>
      </c>
      <c r="W3080">
        <v>216</v>
      </c>
      <c r="X3080">
        <v>264</v>
      </c>
      <c r="Y3080">
        <v>264</v>
      </c>
      <c r="Z3080">
        <v>252</v>
      </c>
      <c r="AA3080">
        <v>252</v>
      </c>
      <c r="AB3080">
        <v>24</v>
      </c>
      <c r="AC3080">
        <v>180</v>
      </c>
      <c r="AD3080">
        <v>24</v>
      </c>
      <c r="AE3080">
        <v>24</v>
      </c>
      <c r="AG3080">
        <v>12</v>
      </c>
      <c r="CH3080" t="str">
        <f t="shared" si="48"/>
        <v>D-0591</v>
      </c>
      <c r="CI3080" s="1" t="s">
        <v>102</v>
      </c>
    </row>
    <row r="3081" spans="1:87">
      <c r="A3081" t="s">
        <v>4793</v>
      </c>
      <c r="B3081">
        <v>192</v>
      </c>
      <c r="C3081" t="s">
        <v>2099</v>
      </c>
      <c r="D3081" t="s">
        <v>410</v>
      </c>
      <c r="E3081" t="s">
        <v>629</v>
      </c>
      <c r="F3081" t="s">
        <v>652</v>
      </c>
      <c r="G3081" t="s">
        <v>1736</v>
      </c>
      <c r="V3081">
        <v>24</v>
      </c>
      <c r="W3081">
        <v>12</v>
      </c>
      <c r="X3081">
        <v>12</v>
      </c>
      <c r="Y3081">
        <v>12</v>
      </c>
      <c r="Z3081">
        <v>12</v>
      </c>
      <c r="AA3081">
        <v>24</v>
      </c>
      <c r="AB3081">
        <v>24</v>
      </c>
      <c r="AC3081">
        <v>36</v>
      </c>
      <c r="AD3081">
        <v>12</v>
      </c>
      <c r="AE3081">
        <v>12</v>
      </c>
      <c r="AG3081">
        <v>12</v>
      </c>
      <c r="CH3081" t="str">
        <f t="shared" si="48"/>
        <v>D-0591</v>
      </c>
      <c r="CI3081" s="1" t="s">
        <v>102</v>
      </c>
    </row>
    <row r="3082" spans="1:87">
      <c r="A3082" t="s">
        <v>4794</v>
      </c>
      <c r="B3082">
        <v>1380</v>
      </c>
      <c r="C3082" t="s">
        <v>2099</v>
      </c>
      <c r="D3082" t="s">
        <v>410</v>
      </c>
      <c r="E3082" t="s">
        <v>629</v>
      </c>
      <c r="F3082" t="s">
        <v>652</v>
      </c>
      <c r="G3082" t="s">
        <v>1736</v>
      </c>
      <c r="V3082">
        <v>84</v>
      </c>
      <c r="W3082">
        <v>84</v>
      </c>
      <c r="X3082">
        <v>120</v>
      </c>
      <c r="Y3082">
        <v>168</v>
      </c>
      <c r="Z3082">
        <v>156</v>
      </c>
      <c r="AA3082">
        <v>168</v>
      </c>
      <c r="AB3082">
        <v>168</v>
      </c>
      <c r="AC3082">
        <v>168</v>
      </c>
      <c r="AD3082">
        <v>72</v>
      </c>
      <c r="AE3082">
        <v>120</v>
      </c>
      <c r="AG3082">
        <v>60</v>
      </c>
      <c r="AI3082">
        <v>12</v>
      </c>
      <c r="CH3082" t="str">
        <f t="shared" si="48"/>
        <v>D-0591</v>
      </c>
      <c r="CI3082" s="1" t="s">
        <v>102</v>
      </c>
    </row>
    <row r="3083" spans="1:87">
      <c r="A3083" t="s">
        <v>4795</v>
      </c>
      <c r="B3083">
        <v>228</v>
      </c>
      <c r="C3083" t="s">
        <v>2099</v>
      </c>
      <c r="D3083" t="s">
        <v>410</v>
      </c>
      <c r="E3083" t="s">
        <v>629</v>
      </c>
      <c r="F3083" t="s">
        <v>652</v>
      </c>
      <c r="G3083" t="s">
        <v>1736</v>
      </c>
      <c r="W3083">
        <v>48</v>
      </c>
      <c r="Y3083">
        <v>60</v>
      </c>
      <c r="AA3083">
        <v>48</v>
      </c>
      <c r="AC3083">
        <v>48</v>
      </c>
      <c r="AE3083">
        <v>24</v>
      </c>
      <c r="CH3083" t="str">
        <f t="shared" si="48"/>
        <v>D-0591</v>
      </c>
      <c r="CI3083" s="1" t="s">
        <v>102</v>
      </c>
    </row>
    <row r="3084" spans="1:87">
      <c r="A3084" t="s">
        <v>4796</v>
      </c>
      <c r="B3084">
        <v>516</v>
      </c>
      <c r="C3084" t="s">
        <v>2099</v>
      </c>
      <c r="D3084" t="s">
        <v>410</v>
      </c>
      <c r="E3084" t="s">
        <v>629</v>
      </c>
      <c r="F3084" t="s">
        <v>652</v>
      </c>
      <c r="G3084" t="s">
        <v>1736</v>
      </c>
      <c r="Q3084">
        <v>12</v>
      </c>
      <c r="R3084">
        <v>12</v>
      </c>
      <c r="S3084">
        <v>48</v>
      </c>
      <c r="T3084">
        <v>12</v>
      </c>
      <c r="U3084">
        <v>48</v>
      </c>
      <c r="V3084">
        <v>12</v>
      </c>
      <c r="W3084">
        <v>48</v>
      </c>
      <c r="X3084">
        <v>12</v>
      </c>
      <c r="Y3084">
        <v>48</v>
      </c>
      <c r="Z3084">
        <v>48</v>
      </c>
      <c r="AA3084">
        <v>48</v>
      </c>
      <c r="AB3084">
        <v>48</v>
      </c>
      <c r="AC3084">
        <v>48</v>
      </c>
      <c r="AD3084">
        <v>12</v>
      </c>
      <c r="AE3084">
        <v>48</v>
      </c>
      <c r="AG3084">
        <v>12</v>
      </c>
      <c r="CH3084" t="str">
        <f t="shared" si="48"/>
        <v>D-0591</v>
      </c>
      <c r="CI3084" s="1" t="s">
        <v>102</v>
      </c>
    </row>
    <row r="3085" spans="1:87">
      <c r="A3085" t="s">
        <v>4797</v>
      </c>
      <c r="B3085">
        <v>588</v>
      </c>
      <c r="C3085" t="s">
        <v>2099</v>
      </c>
      <c r="D3085" t="s">
        <v>410</v>
      </c>
      <c r="E3085" t="s">
        <v>629</v>
      </c>
      <c r="F3085" t="s">
        <v>652</v>
      </c>
      <c r="G3085" t="s">
        <v>1736</v>
      </c>
      <c r="U3085">
        <v>12</v>
      </c>
      <c r="V3085">
        <v>12</v>
      </c>
      <c r="W3085">
        <v>60</v>
      </c>
      <c r="X3085">
        <v>60</v>
      </c>
      <c r="Y3085">
        <v>60</v>
      </c>
      <c r="Z3085">
        <v>72</v>
      </c>
      <c r="AA3085">
        <v>96</v>
      </c>
      <c r="AB3085">
        <v>60</v>
      </c>
      <c r="AC3085">
        <v>48</v>
      </c>
      <c r="AD3085">
        <v>48</v>
      </c>
      <c r="AE3085">
        <v>48</v>
      </c>
      <c r="AG3085">
        <v>12</v>
      </c>
      <c r="CH3085" t="str">
        <f t="shared" si="48"/>
        <v>D-0591</v>
      </c>
      <c r="CI3085" s="1" t="s">
        <v>102</v>
      </c>
    </row>
    <row r="3086" spans="1:87">
      <c r="A3086" t="s">
        <v>4798</v>
      </c>
      <c r="B3086">
        <v>1500</v>
      </c>
      <c r="C3086" t="s">
        <v>2099</v>
      </c>
      <c r="D3086" t="s">
        <v>410</v>
      </c>
      <c r="E3086" t="s">
        <v>629</v>
      </c>
      <c r="F3086" t="s">
        <v>652</v>
      </c>
      <c r="G3086" t="s">
        <v>1736</v>
      </c>
      <c r="W3086">
        <v>276</v>
      </c>
      <c r="Y3086">
        <v>396</v>
      </c>
      <c r="AA3086">
        <v>420</v>
      </c>
      <c r="AC3086">
        <v>264</v>
      </c>
      <c r="AE3086">
        <v>120</v>
      </c>
      <c r="AG3086">
        <v>24</v>
      </c>
      <c r="CH3086" t="str">
        <f t="shared" si="48"/>
        <v>D-0591</v>
      </c>
      <c r="CI3086" s="1" t="s">
        <v>102</v>
      </c>
    </row>
    <row r="3087" spans="1:87">
      <c r="A3087" t="s">
        <v>4799</v>
      </c>
      <c r="B3087">
        <v>24</v>
      </c>
      <c r="C3087" t="s">
        <v>2099</v>
      </c>
      <c r="D3087" t="s">
        <v>410</v>
      </c>
      <c r="E3087" t="s">
        <v>629</v>
      </c>
      <c r="F3087" t="s">
        <v>652</v>
      </c>
      <c r="G3087" t="s">
        <v>1736</v>
      </c>
      <c r="V3087">
        <v>12</v>
      </c>
      <c r="AD3087">
        <v>12</v>
      </c>
      <c r="CH3087" t="str">
        <f t="shared" si="48"/>
        <v>D-0591</v>
      </c>
      <c r="CI3087" s="1" t="s">
        <v>102</v>
      </c>
    </row>
    <row r="3088" spans="1:87">
      <c r="A3088" t="s">
        <v>4800</v>
      </c>
      <c r="B3088">
        <v>24</v>
      </c>
      <c r="C3088" t="s">
        <v>2099</v>
      </c>
      <c r="D3088" t="s">
        <v>410</v>
      </c>
      <c r="E3088" t="s">
        <v>629</v>
      </c>
      <c r="F3088" t="s">
        <v>652</v>
      </c>
      <c r="G3088" t="s">
        <v>1736</v>
      </c>
      <c r="AA3088">
        <v>12</v>
      </c>
      <c r="AD3088">
        <v>12</v>
      </c>
      <c r="CH3088" t="str">
        <f t="shared" si="48"/>
        <v>D-0591</v>
      </c>
      <c r="CI3088" s="1" t="s">
        <v>102</v>
      </c>
    </row>
    <row r="3089" spans="1:87">
      <c r="A3089" t="s">
        <v>4801</v>
      </c>
      <c r="B3089">
        <v>120</v>
      </c>
      <c r="C3089" t="s">
        <v>2099</v>
      </c>
      <c r="D3089" t="s">
        <v>410</v>
      </c>
      <c r="E3089" t="s">
        <v>629</v>
      </c>
      <c r="F3089" t="s">
        <v>652</v>
      </c>
      <c r="G3089" t="s">
        <v>1736</v>
      </c>
      <c r="S3089">
        <v>12</v>
      </c>
      <c r="U3089">
        <v>24</v>
      </c>
      <c r="W3089">
        <v>24</v>
      </c>
      <c r="Y3089">
        <v>24</v>
      </c>
      <c r="AA3089">
        <v>24</v>
      </c>
      <c r="AC3089">
        <v>12</v>
      </c>
      <c r="CH3089" t="str">
        <f t="shared" si="48"/>
        <v>D-0591</v>
      </c>
      <c r="CI3089" s="1" t="s">
        <v>102</v>
      </c>
    </row>
    <row r="3090" spans="1:87">
      <c r="A3090" t="s">
        <v>4802</v>
      </c>
      <c r="B3090">
        <v>87</v>
      </c>
      <c r="C3090" t="s">
        <v>2099</v>
      </c>
      <c r="D3090" t="s">
        <v>410</v>
      </c>
      <c r="E3090" t="s">
        <v>629</v>
      </c>
      <c r="F3090" t="s">
        <v>652</v>
      </c>
      <c r="G3090" t="s">
        <v>1736</v>
      </c>
      <c r="S3090">
        <v>8</v>
      </c>
      <c r="U3090">
        <v>15</v>
      </c>
      <c r="W3090">
        <v>22</v>
      </c>
      <c r="Y3090">
        <v>21</v>
      </c>
      <c r="AA3090">
        <v>14</v>
      </c>
      <c r="AC3090">
        <v>7</v>
      </c>
      <c r="CH3090" t="str">
        <f t="shared" si="48"/>
        <v>D-0591</v>
      </c>
      <c r="CI3090" s="1" t="s">
        <v>102</v>
      </c>
    </row>
    <row r="3091" spans="1:87">
      <c r="A3091" t="s">
        <v>4803</v>
      </c>
      <c r="B3091">
        <v>87</v>
      </c>
      <c r="C3091" t="s">
        <v>2099</v>
      </c>
      <c r="D3091" t="s">
        <v>410</v>
      </c>
      <c r="E3091" t="s">
        <v>629</v>
      </c>
      <c r="F3091" t="s">
        <v>652</v>
      </c>
      <c r="G3091" t="s">
        <v>1736</v>
      </c>
      <c r="S3091">
        <v>8</v>
      </c>
      <c r="U3091">
        <v>15</v>
      </c>
      <c r="W3091">
        <v>22</v>
      </c>
      <c r="Y3091">
        <v>21</v>
      </c>
      <c r="AA3091">
        <v>14</v>
      </c>
      <c r="AC3091">
        <v>7</v>
      </c>
      <c r="CH3091" t="str">
        <f t="shared" si="48"/>
        <v>D-0591</v>
      </c>
      <c r="CI3091" s="1" t="s">
        <v>102</v>
      </c>
    </row>
    <row r="3092" spans="1:87">
      <c r="A3092" t="s">
        <v>4804</v>
      </c>
      <c r="B3092">
        <v>90</v>
      </c>
      <c r="C3092" t="s">
        <v>2099</v>
      </c>
      <c r="D3092" t="s">
        <v>410</v>
      </c>
      <c r="E3092" t="s">
        <v>629</v>
      </c>
      <c r="F3092" t="s">
        <v>652</v>
      </c>
      <c r="G3092" t="s">
        <v>1736</v>
      </c>
      <c r="V3092">
        <v>10</v>
      </c>
      <c r="X3092">
        <v>20</v>
      </c>
      <c r="Y3092">
        <v>10</v>
      </c>
      <c r="Z3092">
        <v>20</v>
      </c>
      <c r="AA3092">
        <v>10</v>
      </c>
      <c r="AC3092">
        <v>10</v>
      </c>
      <c r="AD3092">
        <v>10</v>
      </c>
      <c r="CH3092" t="str">
        <f t="shared" si="48"/>
        <v>D-0591</v>
      </c>
      <c r="CI3092" s="1" t="s">
        <v>102</v>
      </c>
    </row>
    <row r="3093" spans="1:87">
      <c r="A3093" t="s">
        <v>4805</v>
      </c>
      <c r="B3093">
        <v>90</v>
      </c>
      <c r="C3093" t="s">
        <v>2099</v>
      </c>
      <c r="D3093" t="s">
        <v>410</v>
      </c>
      <c r="E3093" t="s">
        <v>629</v>
      </c>
      <c r="F3093" t="s">
        <v>652</v>
      </c>
      <c r="G3093" t="s">
        <v>1736</v>
      </c>
      <c r="V3093">
        <v>10</v>
      </c>
      <c r="X3093">
        <v>20</v>
      </c>
      <c r="Y3093">
        <v>10</v>
      </c>
      <c r="Z3093">
        <v>20</v>
      </c>
      <c r="AA3093">
        <v>10</v>
      </c>
      <c r="AC3093">
        <v>10</v>
      </c>
      <c r="AD3093">
        <v>10</v>
      </c>
      <c r="CH3093" t="str">
        <f t="shared" si="48"/>
        <v>D-0591</v>
      </c>
      <c r="CI3093" s="1" t="s">
        <v>102</v>
      </c>
    </row>
    <row r="3094" spans="1:87">
      <c r="A3094" t="s">
        <v>4806</v>
      </c>
      <c r="B3094">
        <v>204</v>
      </c>
      <c r="C3094" t="s">
        <v>2099</v>
      </c>
      <c r="D3094" t="s">
        <v>410</v>
      </c>
      <c r="E3094" t="s">
        <v>629</v>
      </c>
      <c r="F3094" t="s">
        <v>652</v>
      </c>
      <c r="G3094" t="s">
        <v>1736</v>
      </c>
      <c r="T3094">
        <v>17</v>
      </c>
      <c r="U3094">
        <v>34</v>
      </c>
      <c r="V3094">
        <v>34</v>
      </c>
      <c r="W3094">
        <v>34</v>
      </c>
      <c r="X3094">
        <v>34</v>
      </c>
      <c r="Y3094">
        <v>17</v>
      </c>
      <c r="Z3094">
        <v>17</v>
      </c>
      <c r="AA3094">
        <v>17</v>
      </c>
      <c r="CH3094" t="str">
        <f t="shared" si="48"/>
        <v>D-0591</v>
      </c>
      <c r="CI3094" s="1" t="s">
        <v>102</v>
      </c>
    </row>
    <row r="3095" spans="1:87">
      <c r="A3095" t="s">
        <v>4807</v>
      </c>
      <c r="B3095">
        <v>192</v>
      </c>
      <c r="C3095" t="s">
        <v>2099</v>
      </c>
      <c r="D3095" t="s">
        <v>410</v>
      </c>
      <c r="E3095" t="s">
        <v>629</v>
      </c>
      <c r="F3095" t="s">
        <v>652</v>
      </c>
      <c r="G3095" t="s">
        <v>1736</v>
      </c>
      <c r="T3095">
        <v>16</v>
      </c>
      <c r="U3095">
        <v>32</v>
      </c>
      <c r="V3095">
        <v>32</v>
      </c>
      <c r="W3095">
        <v>32</v>
      </c>
      <c r="X3095">
        <v>32</v>
      </c>
      <c r="Y3095">
        <v>16</v>
      </c>
      <c r="Z3095">
        <v>16</v>
      </c>
      <c r="AA3095">
        <v>16</v>
      </c>
      <c r="CH3095" t="str">
        <f t="shared" si="48"/>
        <v>D-0591</v>
      </c>
      <c r="CI3095" s="1" t="s">
        <v>102</v>
      </c>
    </row>
    <row r="3096" spans="1:87">
      <c r="A3096" t="s">
        <v>4808</v>
      </c>
      <c r="B3096">
        <v>72</v>
      </c>
      <c r="C3096" t="s">
        <v>2099</v>
      </c>
      <c r="D3096" t="s">
        <v>410</v>
      </c>
      <c r="E3096" t="s">
        <v>629</v>
      </c>
      <c r="F3096" t="s">
        <v>652</v>
      </c>
      <c r="G3096" t="s">
        <v>1736</v>
      </c>
      <c r="V3096">
        <v>12</v>
      </c>
      <c r="W3096">
        <v>12</v>
      </c>
      <c r="X3096">
        <v>12</v>
      </c>
      <c r="Y3096">
        <v>12</v>
      </c>
      <c r="Z3096">
        <v>12</v>
      </c>
      <c r="AA3096">
        <v>12</v>
      </c>
      <c r="CH3096" t="str">
        <f t="shared" si="48"/>
        <v>D-0591</v>
      </c>
      <c r="CI3096" s="1" t="s">
        <v>102</v>
      </c>
    </row>
    <row r="3097" spans="1:87">
      <c r="A3097" t="s">
        <v>4809</v>
      </c>
      <c r="B3097">
        <v>72</v>
      </c>
      <c r="C3097" t="s">
        <v>2099</v>
      </c>
      <c r="D3097" t="s">
        <v>410</v>
      </c>
      <c r="E3097" t="s">
        <v>629</v>
      </c>
      <c r="F3097" t="s">
        <v>652</v>
      </c>
      <c r="G3097" t="s">
        <v>1736</v>
      </c>
      <c r="V3097">
        <v>12</v>
      </c>
      <c r="W3097">
        <v>12</v>
      </c>
      <c r="X3097">
        <v>12</v>
      </c>
      <c r="Y3097">
        <v>12</v>
      </c>
      <c r="Z3097">
        <v>12</v>
      </c>
      <c r="AA3097">
        <v>12</v>
      </c>
      <c r="CH3097" t="str">
        <f t="shared" si="48"/>
        <v>D-0591</v>
      </c>
      <c r="CI3097" s="1" t="s">
        <v>102</v>
      </c>
    </row>
    <row r="3098" spans="1:87">
      <c r="A3098" t="s">
        <v>4810</v>
      </c>
      <c r="B3098">
        <v>3684</v>
      </c>
      <c r="C3098" t="s">
        <v>2014</v>
      </c>
      <c r="D3098" t="s">
        <v>133</v>
      </c>
      <c r="E3098" t="s">
        <v>629</v>
      </c>
      <c r="F3098" t="s">
        <v>635</v>
      </c>
      <c r="G3098" t="s">
        <v>2015</v>
      </c>
      <c r="L3098">
        <v>480</v>
      </c>
      <c r="N3098">
        <v>840</v>
      </c>
      <c r="P3098">
        <v>1344</v>
      </c>
      <c r="R3098">
        <v>564</v>
      </c>
      <c r="T3098">
        <v>456</v>
      </c>
      <c r="CH3098" t="str">
        <f t="shared" si="48"/>
        <v>D-0036</v>
      </c>
      <c r="CI3098" s="1" t="s">
        <v>102</v>
      </c>
    </row>
    <row r="3099" spans="1:87">
      <c r="A3099" t="s">
        <v>4811</v>
      </c>
      <c r="B3099">
        <v>360</v>
      </c>
      <c r="C3099" t="s">
        <v>2014</v>
      </c>
      <c r="D3099" t="s">
        <v>133</v>
      </c>
      <c r="E3099" t="s">
        <v>629</v>
      </c>
      <c r="F3099" t="s">
        <v>635</v>
      </c>
      <c r="G3099" t="s">
        <v>2015</v>
      </c>
      <c r="L3099">
        <v>30</v>
      </c>
      <c r="M3099">
        <v>60</v>
      </c>
      <c r="N3099">
        <v>60</v>
      </c>
      <c r="O3099">
        <v>60</v>
      </c>
      <c r="P3099">
        <v>60</v>
      </c>
      <c r="Q3099">
        <v>60</v>
      </c>
      <c r="R3099">
        <v>30</v>
      </c>
      <c r="CH3099" t="str">
        <f t="shared" si="48"/>
        <v>D-0036</v>
      </c>
      <c r="CI3099" s="1" t="s">
        <v>102</v>
      </c>
    </row>
    <row r="3100" spans="1:87">
      <c r="A3100" t="s">
        <v>4812</v>
      </c>
      <c r="B3100">
        <v>264</v>
      </c>
      <c r="C3100" t="s">
        <v>2014</v>
      </c>
      <c r="D3100" t="s">
        <v>133</v>
      </c>
      <c r="E3100" t="s">
        <v>629</v>
      </c>
      <c r="F3100" t="s">
        <v>635</v>
      </c>
      <c r="G3100" t="s">
        <v>2015</v>
      </c>
      <c r="L3100">
        <v>44</v>
      </c>
      <c r="M3100">
        <v>22</v>
      </c>
      <c r="N3100">
        <v>44</v>
      </c>
      <c r="O3100">
        <v>44</v>
      </c>
      <c r="P3100">
        <v>44</v>
      </c>
      <c r="R3100">
        <v>22</v>
      </c>
      <c r="S3100">
        <v>22</v>
      </c>
      <c r="U3100">
        <v>22</v>
      </c>
      <c r="CH3100" t="str">
        <f t="shared" si="48"/>
        <v>D-0036</v>
      </c>
      <c r="CI3100" s="1" t="s">
        <v>102</v>
      </c>
    </row>
    <row r="3101" spans="1:87">
      <c r="A3101" t="s">
        <v>4813</v>
      </c>
      <c r="B3101">
        <v>1124</v>
      </c>
      <c r="C3101" t="s">
        <v>4814</v>
      </c>
      <c r="D3101" t="s">
        <v>119</v>
      </c>
      <c r="E3101" t="s">
        <v>659</v>
      </c>
      <c r="F3101" t="s">
        <v>4815</v>
      </c>
      <c r="G3101" t="s">
        <v>3836</v>
      </c>
      <c r="J3101">
        <v>45</v>
      </c>
      <c r="L3101">
        <v>56</v>
      </c>
      <c r="N3101">
        <v>89</v>
      </c>
      <c r="P3101">
        <v>130</v>
      </c>
      <c r="R3101">
        <v>156</v>
      </c>
      <c r="T3101">
        <v>168</v>
      </c>
      <c r="V3101">
        <v>168</v>
      </c>
      <c r="X3101">
        <v>168</v>
      </c>
      <c r="Z3101">
        <v>144</v>
      </c>
      <c r="CH3101" t="str">
        <f t="shared" si="48"/>
        <v>D-0007</v>
      </c>
      <c r="CI3101" s="1" t="s">
        <v>102</v>
      </c>
    </row>
    <row r="3102" spans="1:87">
      <c r="A3102" t="s">
        <v>4816</v>
      </c>
      <c r="B3102">
        <v>1709</v>
      </c>
      <c r="C3102" t="s">
        <v>4814</v>
      </c>
      <c r="D3102" t="s">
        <v>119</v>
      </c>
      <c r="E3102" t="s">
        <v>659</v>
      </c>
      <c r="F3102" t="s">
        <v>4815</v>
      </c>
      <c r="G3102" t="s">
        <v>3836</v>
      </c>
      <c r="J3102">
        <v>68</v>
      </c>
      <c r="L3102">
        <v>85</v>
      </c>
      <c r="N3102">
        <v>136</v>
      </c>
      <c r="P3102">
        <v>194</v>
      </c>
      <c r="R3102">
        <v>238</v>
      </c>
      <c r="T3102">
        <v>255</v>
      </c>
      <c r="V3102">
        <v>255</v>
      </c>
      <c r="X3102">
        <v>255</v>
      </c>
      <c r="Z3102">
        <v>223</v>
      </c>
      <c r="CH3102" t="str">
        <f t="shared" si="48"/>
        <v>D-0007</v>
      </c>
      <c r="CI3102" s="1" t="s">
        <v>102</v>
      </c>
    </row>
    <row r="3103" spans="1:87">
      <c r="A3103" t="s">
        <v>4817</v>
      </c>
      <c r="B3103">
        <v>371</v>
      </c>
      <c r="C3103" t="s">
        <v>1166</v>
      </c>
      <c r="D3103" t="s">
        <v>457</v>
      </c>
      <c r="E3103" t="s">
        <v>629</v>
      </c>
      <c r="F3103" t="s">
        <v>672</v>
      </c>
      <c r="G3103" t="s">
        <v>673</v>
      </c>
      <c r="N3103">
        <v>12</v>
      </c>
      <c r="O3103">
        <v>12</v>
      </c>
      <c r="P3103">
        <v>24</v>
      </c>
      <c r="Q3103">
        <v>30</v>
      </c>
      <c r="R3103">
        <v>36</v>
      </c>
      <c r="S3103">
        <v>36</v>
      </c>
      <c r="T3103">
        <v>30</v>
      </c>
      <c r="U3103">
        <v>24</v>
      </c>
      <c r="V3103">
        <v>29</v>
      </c>
      <c r="W3103">
        <v>18</v>
      </c>
      <c r="X3103">
        <v>18</v>
      </c>
      <c r="Y3103">
        <v>18</v>
      </c>
      <c r="Z3103">
        <v>24</v>
      </c>
      <c r="AA3103">
        <v>18</v>
      </c>
      <c r="AB3103">
        <v>18</v>
      </c>
      <c r="AC3103">
        <v>6</v>
      </c>
      <c r="AD3103">
        <v>12</v>
      </c>
      <c r="AF3103">
        <v>6</v>
      </c>
      <c r="CH3103" t="str">
        <f t="shared" si="48"/>
        <v>JV1-0695-3</v>
      </c>
      <c r="CI3103" s="1" t="s">
        <v>102</v>
      </c>
    </row>
    <row r="3104" spans="1:87">
      <c r="A3104" t="s">
        <v>4818</v>
      </c>
      <c r="B3104">
        <v>983</v>
      </c>
      <c r="C3104" t="s">
        <v>1166</v>
      </c>
      <c r="D3104" t="s">
        <v>457</v>
      </c>
      <c r="E3104" t="s">
        <v>629</v>
      </c>
      <c r="F3104" t="s">
        <v>672</v>
      </c>
      <c r="G3104" t="s">
        <v>673</v>
      </c>
      <c r="N3104">
        <v>24</v>
      </c>
      <c r="O3104">
        <v>60</v>
      </c>
      <c r="P3104">
        <v>90</v>
      </c>
      <c r="Q3104">
        <v>144</v>
      </c>
      <c r="R3104">
        <v>150</v>
      </c>
      <c r="S3104">
        <v>150</v>
      </c>
      <c r="T3104">
        <v>120</v>
      </c>
      <c r="U3104">
        <v>96</v>
      </c>
      <c r="V3104">
        <v>77</v>
      </c>
      <c r="W3104">
        <v>54</v>
      </c>
      <c r="Y3104">
        <v>18</v>
      </c>
      <c r="CH3104" t="str">
        <f t="shared" si="48"/>
        <v>JV1-0695-3</v>
      </c>
      <c r="CI3104" s="1" t="s">
        <v>102</v>
      </c>
    </row>
    <row r="3105" spans="1:87">
      <c r="A3105" t="s">
        <v>4819</v>
      </c>
      <c r="B3105">
        <v>1805</v>
      </c>
      <c r="C3105" t="s">
        <v>3766</v>
      </c>
      <c r="D3105" t="s">
        <v>457</v>
      </c>
      <c r="E3105" t="s">
        <v>629</v>
      </c>
      <c r="F3105" t="s">
        <v>672</v>
      </c>
      <c r="G3105" t="s">
        <v>686</v>
      </c>
      <c r="V3105">
        <v>155</v>
      </c>
      <c r="W3105">
        <v>150</v>
      </c>
      <c r="X3105">
        <v>150</v>
      </c>
      <c r="Y3105">
        <v>300</v>
      </c>
      <c r="Z3105">
        <v>300</v>
      </c>
      <c r="AA3105">
        <v>300</v>
      </c>
      <c r="AB3105">
        <v>150</v>
      </c>
      <c r="AC3105">
        <v>150</v>
      </c>
      <c r="AD3105">
        <v>150</v>
      </c>
      <c r="CH3105" t="str">
        <f t="shared" si="48"/>
        <v>JV1-0695-3</v>
      </c>
      <c r="CI3105" s="1" t="s">
        <v>102</v>
      </c>
    </row>
    <row r="3106" spans="1:87">
      <c r="A3106" t="s">
        <v>4820</v>
      </c>
      <c r="B3106">
        <v>617</v>
      </c>
      <c r="C3106" t="s">
        <v>3766</v>
      </c>
      <c r="D3106" t="s">
        <v>457</v>
      </c>
      <c r="E3106" t="s">
        <v>629</v>
      </c>
      <c r="F3106" t="s">
        <v>672</v>
      </c>
      <c r="G3106" t="s">
        <v>686</v>
      </c>
      <c r="V3106">
        <v>107</v>
      </c>
      <c r="W3106">
        <v>102</v>
      </c>
      <c r="X3106">
        <v>102</v>
      </c>
      <c r="Y3106">
        <v>102</v>
      </c>
      <c r="Z3106">
        <v>102</v>
      </c>
      <c r="AA3106">
        <v>102</v>
      </c>
      <c r="CH3106" t="str">
        <f t="shared" si="48"/>
        <v>JV1-0695-3</v>
      </c>
      <c r="CI3106" s="1" t="s">
        <v>102</v>
      </c>
    </row>
    <row r="3107" spans="1:87">
      <c r="A3107" t="s">
        <v>4821</v>
      </c>
      <c r="B3107">
        <v>1979</v>
      </c>
      <c r="C3107" t="s">
        <v>3766</v>
      </c>
      <c r="D3107" t="s">
        <v>457</v>
      </c>
      <c r="E3107" t="s">
        <v>629</v>
      </c>
      <c r="F3107" t="s">
        <v>672</v>
      </c>
      <c r="G3107" t="s">
        <v>686</v>
      </c>
      <c r="U3107">
        <v>84</v>
      </c>
      <c r="V3107">
        <v>185</v>
      </c>
      <c r="W3107">
        <v>204</v>
      </c>
      <c r="X3107">
        <v>324</v>
      </c>
      <c r="Y3107">
        <v>216</v>
      </c>
      <c r="Z3107">
        <v>240</v>
      </c>
      <c r="AA3107">
        <v>168</v>
      </c>
      <c r="AB3107">
        <v>216</v>
      </c>
      <c r="AC3107">
        <v>72</v>
      </c>
      <c r="AD3107">
        <v>120</v>
      </c>
      <c r="AF3107">
        <v>132</v>
      </c>
      <c r="AH3107">
        <v>18</v>
      </c>
      <c r="CH3107" t="str">
        <f t="shared" si="48"/>
        <v>JV1-0695-3</v>
      </c>
      <c r="CI3107" s="1" t="s">
        <v>102</v>
      </c>
    </row>
    <row r="3108" spans="1:87">
      <c r="A3108" t="s">
        <v>4822</v>
      </c>
      <c r="B3108">
        <v>2297</v>
      </c>
      <c r="C3108" t="s">
        <v>3766</v>
      </c>
      <c r="D3108" t="s">
        <v>457</v>
      </c>
      <c r="E3108" t="s">
        <v>629</v>
      </c>
      <c r="F3108" t="s">
        <v>672</v>
      </c>
      <c r="G3108" t="s">
        <v>686</v>
      </c>
      <c r="U3108">
        <v>96</v>
      </c>
      <c r="V3108">
        <v>215</v>
      </c>
      <c r="W3108">
        <v>252</v>
      </c>
      <c r="X3108">
        <v>384</v>
      </c>
      <c r="Y3108">
        <v>252</v>
      </c>
      <c r="Z3108">
        <v>276</v>
      </c>
      <c r="AA3108">
        <v>204</v>
      </c>
      <c r="AB3108">
        <v>192</v>
      </c>
      <c r="AC3108">
        <v>84</v>
      </c>
      <c r="AD3108">
        <v>156</v>
      </c>
      <c r="AF3108">
        <v>156</v>
      </c>
      <c r="AH3108">
        <v>30</v>
      </c>
      <c r="CH3108" t="str">
        <f t="shared" si="48"/>
        <v>JV1-0695-3</v>
      </c>
      <c r="CI3108" s="1" t="s">
        <v>102</v>
      </c>
    </row>
    <row r="3109" spans="1:87">
      <c r="A3109" t="s">
        <v>4823</v>
      </c>
      <c r="B3109">
        <v>2453</v>
      </c>
      <c r="C3109" t="s">
        <v>3766</v>
      </c>
      <c r="D3109" t="s">
        <v>457</v>
      </c>
      <c r="E3109" t="s">
        <v>629</v>
      </c>
      <c r="F3109" t="s">
        <v>672</v>
      </c>
      <c r="G3109" t="s">
        <v>686</v>
      </c>
      <c r="V3109">
        <v>209</v>
      </c>
      <c r="W3109">
        <v>204</v>
      </c>
      <c r="X3109">
        <v>204</v>
      </c>
      <c r="Y3109">
        <v>408</v>
      </c>
      <c r="Z3109">
        <v>408</v>
      </c>
      <c r="AA3109">
        <v>408</v>
      </c>
      <c r="AB3109">
        <v>204</v>
      </c>
      <c r="AC3109">
        <v>204</v>
      </c>
      <c r="AD3109">
        <v>204</v>
      </c>
      <c r="CH3109" t="str">
        <f t="shared" si="48"/>
        <v>JV1-0695-3</v>
      </c>
      <c r="CI3109" s="1" t="s">
        <v>102</v>
      </c>
    </row>
    <row r="3110" spans="1:87">
      <c r="A3110" t="s">
        <v>4824</v>
      </c>
      <c r="B3110">
        <v>1229</v>
      </c>
      <c r="C3110" t="s">
        <v>3766</v>
      </c>
      <c r="D3110" t="s">
        <v>457</v>
      </c>
      <c r="E3110" t="s">
        <v>629</v>
      </c>
      <c r="F3110" t="s">
        <v>672</v>
      </c>
      <c r="G3110" t="s">
        <v>686</v>
      </c>
      <c r="V3110">
        <v>107</v>
      </c>
      <c r="W3110">
        <v>102</v>
      </c>
      <c r="X3110">
        <v>102</v>
      </c>
      <c r="Y3110">
        <v>204</v>
      </c>
      <c r="Z3110">
        <v>204</v>
      </c>
      <c r="AA3110">
        <v>204</v>
      </c>
      <c r="AB3110">
        <v>102</v>
      </c>
      <c r="AC3110">
        <v>102</v>
      </c>
      <c r="AD3110">
        <v>102</v>
      </c>
      <c r="CH3110" t="str">
        <f t="shared" si="48"/>
        <v>JV1-0695-3</v>
      </c>
      <c r="CI3110" s="1" t="s">
        <v>102</v>
      </c>
    </row>
    <row r="3111" spans="1:87">
      <c r="A3111" t="s">
        <v>4825</v>
      </c>
      <c r="B3111">
        <v>3659</v>
      </c>
      <c r="C3111" t="s">
        <v>3766</v>
      </c>
      <c r="D3111" t="s">
        <v>457</v>
      </c>
      <c r="E3111" t="s">
        <v>629</v>
      </c>
      <c r="F3111" t="s">
        <v>672</v>
      </c>
      <c r="G3111" t="s">
        <v>686</v>
      </c>
      <c r="U3111">
        <v>144</v>
      </c>
      <c r="V3111">
        <v>305</v>
      </c>
      <c r="W3111">
        <v>372</v>
      </c>
      <c r="X3111">
        <v>576</v>
      </c>
      <c r="Y3111">
        <v>384</v>
      </c>
      <c r="Z3111">
        <v>420</v>
      </c>
      <c r="AA3111">
        <v>312</v>
      </c>
      <c r="AB3111">
        <v>384</v>
      </c>
      <c r="AC3111">
        <v>132</v>
      </c>
      <c r="AD3111">
        <v>240</v>
      </c>
      <c r="AF3111">
        <v>300</v>
      </c>
      <c r="AH3111">
        <v>90</v>
      </c>
      <c r="CH3111" t="str">
        <f t="shared" si="48"/>
        <v>JV1-0695-3</v>
      </c>
      <c r="CI3111" s="1" t="s">
        <v>102</v>
      </c>
    </row>
    <row r="3112" spans="1:87">
      <c r="A3112" t="s">
        <v>4826</v>
      </c>
      <c r="B3112">
        <v>5968</v>
      </c>
      <c r="C3112" t="s">
        <v>4827</v>
      </c>
      <c r="D3112" t="s">
        <v>210</v>
      </c>
      <c r="E3112" t="s">
        <v>642</v>
      </c>
      <c r="F3112" t="s">
        <v>633</v>
      </c>
      <c r="G3112" t="s">
        <v>4828</v>
      </c>
      <c r="P3112">
        <v>54</v>
      </c>
      <c r="Q3112">
        <v>96</v>
      </c>
      <c r="R3112">
        <v>498</v>
      </c>
      <c r="S3112">
        <v>609</v>
      </c>
      <c r="T3112">
        <v>721</v>
      </c>
      <c r="U3112">
        <v>716</v>
      </c>
      <c r="V3112">
        <v>876</v>
      </c>
      <c r="W3112">
        <v>700</v>
      </c>
      <c r="X3112">
        <v>676</v>
      </c>
      <c r="Y3112">
        <v>334</v>
      </c>
      <c r="Z3112">
        <v>460</v>
      </c>
      <c r="AB3112">
        <v>216</v>
      </c>
      <c r="AD3112">
        <v>12</v>
      </c>
      <c r="CH3112" t="str">
        <f t="shared" si="48"/>
        <v>D-0256</v>
      </c>
      <c r="CI3112" s="1" t="s">
        <v>102</v>
      </c>
    </row>
    <row r="3113" spans="1:87">
      <c r="A3113" t="s">
        <v>4829</v>
      </c>
      <c r="B3113">
        <v>7430</v>
      </c>
      <c r="C3113" t="s">
        <v>3490</v>
      </c>
      <c r="D3113" t="s">
        <v>210</v>
      </c>
      <c r="E3113" t="s">
        <v>642</v>
      </c>
      <c r="F3113" t="s">
        <v>633</v>
      </c>
      <c r="G3113" t="s">
        <v>3389</v>
      </c>
      <c r="P3113">
        <v>180</v>
      </c>
      <c r="Q3113">
        <v>78</v>
      </c>
      <c r="R3113">
        <v>646</v>
      </c>
      <c r="S3113">
        <v>724</v>
      </c>
      <c r="T3113">
        <v>1258</v>
      </c>
      <c r="U3113">
        <v>943</v>
      </c>
      <c r="V3113">
        <v>1240</v>
      </c>
      <c r="W3113">
        <v>771</v>
      </c>
      <c r="X3113">
        <v>730</v>
      </c>
      <c r="Y3113">
        <v>235</v>
      </c>
      <c r="Z3113">
        <v>493</v>
      </c>
      <c r="AA3113">
        <v>12</v>
      </c>
      <c r="AB3113">
        <v>114</v>
      </c>
      <c r="AD3113">
        <v>6</v>
      </c>
      <c r="CH3113" t="str">
        <f t="shared" si="48"/>
        <v>D-0256</v>
      </c>
      <c r="CI3113" s="1" t="s">
        <v>102</v>
      </c>
    </row>
    <row r="3114" spans="1:87">
      <c r="A3114" t="s">
        <v>4830</v>
      </c>
      <c r="B3114">
        <v>4</v>
      </c>
      <c r="C3114" t="s">
        <v>4827</v>
      </c>
      <c r="D3114" t="s">
        <v>210</v>
      </c>
      <c r="E3114" t="s">
        <v>642</v>
      </c>
      <c r="F3114" t="s">
        <v>633</v>
      </c>
      <c r="G3114" t="s">
        <v>4828</v>
      </c>
      <c r="T3114">
        <v>4</v>
      </c>
      <c r="CH3114" t="str">
        <f t="shared" si="48"/>
        <v>D-0256</v>
      </c>
      <c r="CI3114" s="1" t="s">
        <v>102</v>
      </c>
    </row>
    <row r="3115" spans="1:87">
      <c r="A3115" t="s">
        <v>4831</v>
      </c>
      <c r="B3115">
        <v>10441</v>
      </c>
      <c r="C3115" t="s">
        <v>752</v>
      </c>
      <c r="D3115" t="s">
        <v>210</v>
      </c>
      <c r="E3115" t="s">
        <v>642</v>
      </c>
      <c r="F3115" t="s">
        <v>633</v>
      </c>
      <c r="G3115" t="s">
        <v>2283</v>
      </c>
      <c r="P3115">
        <v>5</v>
      </c>
      <c r="Q3115">
        <v>465</v>
      </c>
      <c r="R3115">
        <v>372</v>
      </c>
      <c r="S3115">
        <v>1240</v>
      </c>
      <c r="T3115">
        <v>1549</v>
      </c>
      <c r="U3115">
        <v>1049</v>
      </c>
      <c r="V3115">
        <v>1876</v>
      </c>
      <c r="W3115">
        <v>1544</v>
      </c>
      <c r="X3115">
        <v>553</v>
      </c>
      <c r="Y3115">
        <v>970</v>
      </c>
      <c r="Z3115">
        <v>397</v>
      </c>
      <c r="AA3115">
        <v>253</v>
      </c>
      <c r="AB3115">
        <v>98</v>
      </c>
      <c r="AC3115">
        <v>70</v>
      </c>
      <c r="CH3115" t="str">
        <f t="shared" si="48"/>
        <v>D-0256</v>
      </c>
      <c r="CI3115" s="1" t="s">
        <v>102</v>
      </c>
    </row>
    <row r="3116" spans="1:87">
      <c r="A3116" t="s">
        <v>4832</v>
      </c>
      <c r="B3116">
        <v>624</v>
      </c>
      <c r="C3116" t="s">
        <v>4833</v>
      </c>
      <c r="D3116" t="s">
        <v>261</v>
      </c>
      <c r="E3116" t="s">
        <v>629</v>
      </c>
      <c r="F3116" t="s">
        <v>635</v>
      </c>
      <c r="G3116" t="s">
        <v>1516</v>
      </c>
      <c r="L3116">
        <v>24</v>
      </c>
      <c r="M3116">
        <v>24</v>
      </c>
      <c r="N3116">
        <v>48</v>
      </c>
      <c r="O3116">
        <v>48</v>
      </c>
      <c r="P3116">
        <v>72</v>
      </c>
      <c r="Q3116">
        <v>72</v>
      </c>
      <c r="R3116">
        <v>84</v>
      </c>
      <c r="S3116">
        <v>72</v>
      </c>
      <c r="T3116">
        <v>72</v>
      </c>
      <c r="U3116">
        <v>36</v>
      </c>
      <c r="V3116">
        <v>48</v>
      </c>
      <c r="W3116">
        <v>12</v>
      </c>
      <c r="X3116">
        <v>12</v>
      </c>
      <c r="CH3116" t="str">
        <f t="shared" si="48"/>
        <v>D-0310</v>
      </c>
      <c r="CI3116" s="1" t="s">
        <v>102</v>
      </c>
    </row>
    <row r="3117" spans="1:87">
      <c r="A3117" t="s">
        <v>4834</v>
      </c>
      <c r="B3117">
        <v>4320</v>
      </c>
      <c r="C3117" t="s">
        <v>4833</v>
      </c>
      <c r="D3117" t="s">
        <v>261</v>
      </c>
      <c r="E3117" t="s">
        <v>629</v>
      </c>
      <c r="F3117" t="s">
        <v>635</v>
      </c>
      <c r="G3117" t="s">
        <v>1516</v>
      </c>
      <c r="N3117">
        <v>720</v>
      </c>
      <c r="P3117">
        <v>1440</v>
      </c>
      <c r="R3117">
        <v>1440</v>
      </c>
      <c r="T3117">
        <v>720</v>
      </c>
      <c r="CH3117" t="str">
        <f t="shared" si="48"/>
        <v>D-0310</v>
      </c>
      <c r="CI3117" s="1" t="s">
        <v>102</v>
      </c>
    </row>
    <row r="3118" spans="1:87">
      <c r="A3118" t="s">
        <v>4835</v>
      </c>
      <c r="B3118">
        <v>7680</v>
      </c>
      <c r="C3118" t="s">
        <v>4833</v>
      </c>
      <c r="D3118" t="s">
        <v>261</v>
      </c>
      <c r="E3118" t="s">
        <v>629</v>
      </c>
      <c r="F3118" t="s">
        <v>635</v>
      </c>
      <c r="G3118" t="s">
        <v>1516</v>
      </c>
      <c r="M3118">
        <v>192</v>
      </c>
      <c r="N3118">
        <v>1032</v>
      </c>
      <c r="O3118">
        <v>624</v>
      </c>
      <c r="P3118">
        <v>984</v>
      </c>
      <c r="Q3118">
        <v>792</v>
      </c>
      <c r="R3118">
        <v>1116</v>
      </c>
      <c r="S3118">
        <v>720</v>
      </c>
      <c r="T3118">
        <v>780</v>
      </c>
      <c r="U3118">
        <v>324</v>
      </c>
      <c r="V3118">
        <v>720</v>
      </c>
      <c r="W3118">
        <v>84</v>
      </c>
      <c r="X3118">
        <v>144</v>
      </c>
      <c r="Y3118">
        <v>84</v>
      </c>
      <c r="Z3118">
        <v>84</v>
      </c>
      <c r="CH3118" t="str">
        <f t="shared" si="48"/>
        <v>D-0310</v>
      </c>
      <c r="CI3118" s="1" t="s">
        <v>102</v>
      </c>
    </row>
    <row r="3119" spans="1:87">
      <c r="A3119" t="s">
        <v>4836</v>
      </c>
      <c r="B3119">
        <v>336</v>
      </c>
      <c r="C3119" t="s">
        <v>4833</v>
      </c>
      <c r="D3119" t="s">
        <v>261</v>
      </c>
      <c r="E3119" t="s">
        <v>629</v>
      </c>
      <c r="F3119" t="s">
        <v>635</v>
      </c>
      <c r="G3119" t="s">
        <v>1516</v>
      </c>
      <c r="L3119">
        <v>12</v>
      </c>
      <c r="M3119">
        <v>24</v>
      </c>
      <c r="N3119">
        <v>12</v>
      </c>
      <c r="O3119">
        <v>36</v>
      </c>
      <c r="P3119">
        <v>24</v>
      </c>
      <c r="Q3119">
        <v>60</v>
      </c>
      <c r="R3119">
        <v>48</v>
      </c>
      <c r="S3119">
        <v>24</v>
      </c>
      <c r="T3119">
        <v>36</v>
      </c>
      <c r="U3119">
        <v>24</v>
      </c>
      <c r="V3119">
        <v>12</v>
      </c>
      <c r="W3119">
        <v>12</v>
      </c>
      <c r="X3119">
        <v>12</v>
      </c>
      <c r="CH3119" t="str">
        <f t="shared" si="48"/>
        <v>D-0310</v>
      </c>
      <c r="CI3119" s="1" t="s">
        <v>102</v>
      </c>
    </row>
    <row r="3120" spans="1:87">
      <c r="A3120" t="s">
        <v>4837</v>
      </c>
      <c r="B3120">
        <v>10</v>
      </c>
      <c r="C3120" t="s">
        <v>1741</v>
      </c>
      <c r="D3120" t="s">
        <v>261</v>
      </c>
      <c r="E3120" t="s">
        <v>629</v>
      </c>
      <c r="F3120" t="s">
        <v>652</v>
      </c>
      <c r="G3120" t="s">
        <v>1742</v>
      </c>
      <c r="V3120">
        <v>5</v>
      </c>
      <c r="X3120">
        <v>5</v>
      </c>
      <c r="CH3120" t="str">
        <f t="shared" si="48"/>
        <v>D-0310</v>
      </c>
      <c r="CI3120" s="1" t="s">
        <v>102</v>
      </c>
    </row>
    <row r="3121" spans="1:87">
      <c r="A3121" t="s">
        <v>4838</v>
      </c>
      <c r="B3121">
        <v>24</v>
      </c>
      <c r="C3121" t="s">
        <v>1680</v>
      </c>
      <c r="D3121" t="s">
        <v>261</v>
      </c>
      <c r="E3121" t="s">
        <v>629</v>
      </c>
      <c r="F3121" t="s">
        <v>635</v>
      </c>
      <c r="G3121" t="s">
        <v>1647</v>
      </c>
      <c r="V3121">
        <v>12</v>
      </c>
      <c r="X3121">
        <v>12</v>
      </c>
      <c r="CH3121" t="str">
        <f t="shared" si="48"/>
        <v>D-0310</v>
      </c>
      <c r="CI3121" s="1" t="s">
        <v>102</v>
      </c>
    </row>
    <row r="3122" spans="1:87">
      <c r="A3122" t="s">
        <v>4839</v>
      </c>
      <c r="B3122">
        <v>20</v>
      </c>
      <c r="C3122" t="s">
        <v>4778</v>
      </c>
      <c r="D3122" t="s">
        <v>261</v>
      </c>
      <c r="E3122" t="s">
        <v>629</v>
      </c>
      <c r="F3122" t="s">
        <v>635</v>
      </c>
      <c r="G3122" t="s">
        <v>1516</v>
      </c>
      <c r="V3122">
        <v>10</v>
      </c>
      <c r="X3122">
        <v>10</v>
      </c>
      <c r="CH3122" t="str">
        <f t="shared" si="48"/>
        <v>D-0310</v>
      </c>
      <c r="CI3122" s="1" t="s">
        <v>102</v>
      </c>
    </row>
    <row r="3123" spans="1:87">
      <c r="A3123" t="s">
        <v>4840</v>
      </c>
      <c r="B3123">
        <v>42</v>
      </c>
      <c r="C3123" t="s">
        <v>4771</v>
      </c>
      <c r="D3123" t="s">
        <v>261</v>
      </c>
      <c r="E3123" t="s">
        <v>629</v>
      </c>
      <c r="F3123" t="s">
        <v>635</v>
      </c>
      <c r="G3123" t="s">
        <v>1516</v>
      </c>
      <c r="V3123">
        <v>21</v>
      </c>
      <c r="X3123">
        <v>21</v>
      </c>
      <c r="CH3123" t="str">
        <f t="shared" si="48"/>
        <v>D-0310</v>
      </c>
      <c r="CI3123" s="1" t="s">
        <v>102</v>
      </c>
    </row>
    <row r="3124" spans="1:87">
      <c r="A3124" t="s">
        <v>4841</v>
      </c>
      <c r="B3124">
        <v>12</v>
      </c>
      <c r="C3124" t="s">
        <v>650</v>
      </c>
      <c r="D3124" t="s">
        <v>261</v>
      </c>
      <c r="E3124" t="s">
        <v>629</v>
      </c>
      <c r="F3124" t="s">
        <v>635</v>
      </c>
      <c r="G3124" t="s">
        <v>651</v>
      </c>
      <c r="V3124">
        <v>6</v>
      </c>
      <c r="X3124">
        <v>6</v>
      </c>
      <c r="CH3124" t="str">
        <f t="shared" si="48"/>
        <v>D-0310</v>
      </c>
      <c r="CI3124" s="1" t="s">
        <v>102</v>
      </c>
    </row>
    <row r="3125" spans="1:87">
      <c r="A3125" t="s">
        <v>4842</v>
      </c>
      <c r="B3125">
        <v>34</v>
      </c>
      <c r="C3125" t="s">
        <v>1065</v>
      </c>
      <c r="D3125" t="s">
        <v>261</v>
      </c>
      <c r="E3125" t="s">
        <v>629</v>
      </c>
      <c r="F3125" t="s">
        <v>635</v>
      </c>
      <c r="G3125" t="s">
        <v>651</v>
      </c>
      <c r="V3125">
        <v>17</v>
      </c>
      <c r="X3125">
        <v>17</v>
      </c>
      <c r="CH3125" t="str">
        <f t="shared" si="48"/>
        <v>D-0310</v>
      </c>
      <c r="CI3125" s="1" t="s">
        <v>102</v>
      </c>
    </row>
    <row r="3126" spans="1:87">
      <c r="A3126" t="s">
        <v>4843</v>
      </c>
      <c r="B3126">
        <v>12</v>
      </c>
      <c r="C3126" t="s">
        <v>650</v>
      </c>
      <c r="D3126" t="s">
        <v>261</v>
      </c>
      <c r="E3126" t="s">
        <v>629</v>
      </c>
      <c r="F3126" t="s">
        <v>635</v>
      </c>
      <c r="G3126" t="s">
        <v>651</v>
      </c>
      <c r="V3126">
        <v>6</v>
      </c>
      <c r="X3126">
        <v>6</v>
      </c>
      <c r="CH3126" t="str">
        <f t="shared" si="48"/>
        <v>D-0310</v>
      </c>
      <c r="CI3126" s="1" t="s">
        <v>102</v>
      </c>
    </row>
    <row r="3127" spans="1:87">
      <c r="A3127" t="s">
        <v>4844</v>
      </c>
      <c r="B3127">
        <v>10</v>
      </c>
      <c r="C3127" t="s">
        <v>2099</v>
      </c>
      <c r="D3127" t="s">
        <v>410</v>
      </c>
      <c r="E3127" t="s">
        <v>629</v>
      </c>
      <c r="F3127" t="s">
        <v>652</v>
      </c>
      <c r="G3127" t="s">
        <v>1736</v>
      </c>
      <c r="V3127">
        <v>5</v>
      </c>
      <c r="X3127">
        <v>5</v>
      </c>
      <c r="CH3127" t="str">
        <f t="shared" si="48"/>
        <v>D-0591</v>
      </c>
      <c r="CI3127" s="1" t="s">
        <v>102</v>
      </c>
    </row>
    <row r="3128" spans="1:87">
      <c r="A3128" t="s">
        <v>4845</v>
      </c>
      <c r="B3128">
        <v>20</v>
      </c>
      <c r="C3128" t="s">
        <v>1642</v>
      </c>
      <c r="D3128" t="s">
        <v>533</v>
      </c>
      <c r="E3128" t="s">
        <v>629</v>
      </c>
      <c r="F3128" t="s">
        <v>1643</v>
      </c>
      <c r="P3128">
        <v>10</v>
      </c>
      <c r="R3128">
        <v>10</v>
      </c>
      <c r="CH3128" t="str">
        <f t="shared" si="48"/>
        <v>D-0041</v>
      </c>
      <c r="CI3128" s="1" t="s">
        <v>102</v>
      </c>
    </row>
    <row r="3129" spans="1:87">
      <c r="A3129" t="s">
        <v>4846</v>
      </c>
      <c r="B3129">
        <v>20</v>
      </c>
      <c r="C3129" t="s">
        <v>2014</v>
      </c>
      <c r="D3129" t="s">
        <v>133</v>
      </c>
      <c r="E3129" t="s">
        <v>629</v>
      </c>
      <c r="F3129" t="s">
        <v>635</v>
      </c>
      <c r="G3129" t="s">
        <v>2015</v>
      </c>
      <c r="V3129">
        <v>10</v>
      </c>
      <c r="X3129">
        <v>10</v>
      </c>
      <c r="CH3129" t="str">
        <f t="shared" si="48"/>
        <v>D-0036</v>
      </c>
      <c r="CI3129" s="1" t="s">
        <v>102</v>
      </c>
    </row>
    <row r="3130" spans="1:87">
      <c r="A3130" t="s">
        <v>4847</v>
      </c>
      <c r="B3130">
        <v>64</v>
      </c>
      <c r="C3130" t="s">
        <v>4833</v>
      </c>
      <c r="D3130" t="s">
        <v>261</v>
      </c>
      <c r="E3130" t="s">
        <v>629</v>
      </c>
      <c r="F3130" t="s">
        <v>635</v>
      </c>
      <c r="G3130" t="s">
        <v>1516</v>
      </c>
      <c r="V3130">
        <v>32</v>
      </c>
      <c r="X3130">
        <v>32</v>
      </c>
      <c r="CH3130" t="str">
        <f t="shared" si="48"/>
        <v>D-0310</v>
      </c>
      <c r="CI3130" s="1" t="s">
        <v>102</v>
      </c>
    </row>
    <row r="3131" spans="1:87">
      <c r="A3131" t="s">
        <v>4848</v>
      </c>
      <c r="B3131">
        <v>22</v>
      </c>
      <c r="C3131" t="s">
        <v>2099</v>
      </c>
      <c r="D3131" t="s">
        <v>410</v>
      </c>
      <c r="E3131" t="s">
        <v>629</v>
      </c>
      <c r="F3131" t="s">
        <v>652</v>
      </c>
      <c r="G3131" t="s">
        <v>1736</v>
      </c>
      <c r="V3131">
        <v>11</v>
      </c>
      <c r="X3131">
        <v>11</v>
      </c>
      <c r="CH3131" t="str">
        <f t="shared" si="48"/>
        <v>D-0591</v>
      </c>
      <c r="CI3131" s="1" t="s">
        <v>102</v>
      </c>
    </row>
    <row r="3132" spans="1:87">
      <c r="A3132" t="s">
        <v>4849</v>
      </c>
      <c r="B3132">
        <v>10</v>
      </c>
      <c r="C3132" t="s">
        <v>2099</v>
      </c>
      <c r="D3132" t="s">
        <v>410</v>
      </c>
      <c r="E3132" t="s">
        <v>629</v>
      </c>
      <c r="F3132" t="s">
        <v>652</v>
      </c>
      <c r="G3132" t="s">
        <v>1736</v>
      </c>
      <c r="V3132">
        <v>5</v>
      </c>
      <c r="X3132">
        <v>5</v>
      </c>
      <c r="CH3132" t="str">
        <f t="shared" si="48"/>
        <v>D-0591</v>
      </c>
      <c r="CI3132" s="1" t="s">
        <v>102</v>
      </c>
    </row>
    <row r="3133" spans="1:87">
      <c r="A3133" t="s">
        <v>4850</v>
      </c>
      <c r="B3133">
        <v>10</v>
      </c>
      <c r="C3133" t="s">
        <v>2097</v>
      </c>
      <c r="D3133" t="s">
        <v>410</v>
      </c>
      <c r="E3133" t="s">
        <v>629</v>
      </c>
      <c r="F3133" t="s">
        <v>652</v>
      </c>
      <c r="G3133" t="s">
        <v>2098</v>
      </c>
      <c r="V3133">
        <v>5</v>
      </c>
      <c r="X3133">
        <v>5</v>
      </c>
      <c r="CH3133" t="str">
        <f t="shared" si="48"/>
        <v>D-0591</v>
      </c>
      <c r="CI3133" s="1" t="s">
        <v>102</v>
      </c>
    </row>
    <row r="3134" spans="1:87">
      <c r="A3134" t="s">
        <v>4852</v>
      </c>
      <c r="B3134">
        <v>1008</v>
      </c>
      <c r="C3134" t="s">
        <v>753</v>
      </c>
      <c r="D3134" t="s">
        <v>308</v>
      </c>
      <c r="E3134" t="s">
        <v>629</v>
      </c>
      <c r="F3134" t="s">
        <v>633</v>
      </c>
      <c r="G3134" t="s">
        <v>3247</v>
      </c>
      <c r="V3134">
        <v>90</v>
      </c>
      <c r="W3134">
        <v>84</v>
      </c>
      <c r="X3134">
        <v>96</v>
      </c>
      <c r="Y3134">
        <v>102</v>
      </c>
      <c r="Z3134">
        <v>108</v>
      </c>
      <c r="AA3134">
        <v>132</v>
      </c>
      <c r="AB3134">
        <v>114</v>
      </c>
      <c r="AC3134">
        <v>96</v>
      </c>
      <c r="AD3134">
        <v>96</v>
      </c>
      <c r="AF3134">
        <v>90</v>
      </c>
      <c r="CH3134" t="str">
        <f t="shared" si="48"/>
        <v>D-0454</v>
      </c>
      <c r="CI3134" s="1" t="s">
        <v>102</v>
      </c>
    </row>
    <row r="3135" spans="1:87">
      <c r="A3135" t="s">
        <v>4853</v>
      </c>
      <c r="B3135">
        <v>3118</v>
      </c>
      <c r="C3135" t="s">
        <v>1208</v>
      </c>
      <c r="D3135" t="s">
        <v>308</v>
      </c>
      <c r="E3135" t="s">
        <v>629</v>
      </c>
      <c r="F3135" t="s">
        <v>633</v>
      </c>
      <c r="G3135" t="s">
        <v>3245</v>
      </c>
      <c r="R3135">
        <v>25</v>
      </c>
      <c r="S3135">
        <v>25</v>
      </c>
      <c r="T3135">
        <v>136</v>
      </c>
      <c r="U3135">
        <v>148</v>
      </c>
      <c r="V3135">
        <v>227</v>
      </c>
      <c r="W3135">
        <v>238</v>
      </c>
      <c r="X3135">
        <v>298</v>
      </c>
      <c r="Y3135">
        <v>308</v>
      </c>
      <c r="Z3135">
        <v>336</v>
      </c>
      <c r="AA3135">
        <v>354</v>
      </c>
      <c r="AB3135">
        <v>309</v>
      </c>
      <c r="AC3135">
        <v>202</v>
      </c>
      <c r="AD3135">
        <v>260</v>
      </c>
      <c r="AE3135">
        <v>22</v>
      </c>
      <c r="AF3135">
        <v>177</v>
      </c>
      <c r="AH3135">
        <v>35</v>
      </c>
      <c r="AJ3135">
        <v>18</v>
      </c>
      <c r="CH3135" t="str">
        <f t="shared" si="48"/>
        <v>D-0454</v>
      </c>
      <c r="CI3135" s="1" t="s">
        <v>102</v>
      </c>
    </row>
    <row r="3136" spans="1:87">
      <c r="A3136" t="s">
        <v>4854</v>
      </c>
      <c r="B3136">
        <v>2149</v>
      </c>
      <c r="C3136" t="s">
        <v>1209</v>
      </c>
      <c r="D3136" t="s">
        <v>308</v>
      </c>
      <c r="E3136" t="s">
        <v>629</v>
      </c>
      <c r="F3136" t="s">
        <v>633</v>
      </c>
      <c r="G3136" t="s">
        <v>4855</v>
      </c>
      <c r="R3136">
        <v>16</v>
      </c>
      <c r="S3136">
        <v>15</v>
      </c>
      <c r="T3136">
        <v>63</v>
      </c>
      <c r="U3136">
        <v>74</v>
      </c>
      <c r="V3136">
        <v>140</v>
      </c>
      <c r="W3136">
        <v>148</v>
      </c>
      <c r="X3136">
        <v>193</v>
      </c>
      <c r="Y3136">
        <v>206</v>
      </c>
      <c r="Z3136">
        <v>244</v>
      </c>
      <c r="AA3136">
        <v>241</v>
      </c>
      <c r="AB3136">
        <v>234</v>
      </c>
      <c r="AC3136">
        <v>148</v>
      </c>
      <c r="AD3136">
        <v>188</v>
      </c>
      <c r="AE3136">
        <v>28</v>
      </c>
      <c r="AF3136">
        <v>141</v>
      </c>
      <c r="AH3136">
        <v>46</v>
      </c>
      <c r="AJ3136">
        <v>24</v>
      </c>
      <c r="CH3136" t="str">
        <f t="shared" si="48"/>
        <v>D-0454</v>
      </c>
      <c r="CI3136" s="1" t="s">
        <v>102</v>
      </c>
    </row>
    <row r="3137" spans="1:87">
      <c r="A3137" t="s">
        <v>4856</v>
      </c>
      <c r="B3137">
        <v>7805</v>
      </c>
      <c r="C3137" t="s">
        <v>4857</v>
      </c>
      <c r="D3137" t="s">
        <v>308</v>
      </c>
      <c r="E3137" t="s">
        <v>629</v>
      </c>
      <c r="F3137" t="s">
        <v>633</v>
      </c>
      <c r="G3137" t="s">
        <v>4858</v>
      </c>
      <c r="M3137">
        <v>9</v>
      </c>
      <c r="N3137">
        <v>51</v>
      </c>
      <c r="O3137">
        <v>487</v>
      </c>
      <c r="P3137">
        <v>736</v>
      </c>
      <c r="Q3137">
        <v>921</v>
      </c>
      <c r="R3137">
        <v>973</v>
      </c>
      <c r="S3137">
        <v>1143</v>
      </c>
      <c r="T3137">
        <v>1016</v>
      </c>
      <c r="U3137">
        <v>916</v>
      </c>
      <c r="V3137">
        <v>551</v>
      </c>
      <c r="W3137">
        <v>645</v>
      </c>
      <c r="Y3137">
        <v>330</v>
      </c>
      <c r="AA3137">
        <v>27</v>
      </c>
      <c r="CH3137" t="str">
        <f t="shared" si="48"/>
        <v>D-0454</v>
      </c>
      <c r="CI3137" s="1" t="s">
        <v>102</v>
      </c>
    </row>
    <row r="3138" spans="1:87">
      <c r="A3138" t="s">
        <v>4859</v>
      </c>
      <c r="B3138">
        <v>1109</v>
      </c>
      <c r="C3138" t="s">
        <v>1209</v>
      </c>
      <c r="D3138" t="s">
        <v>308</v>
      </c>
      <c r="E3138" t="s">
        <v>629</v>
      </c>
      <c r="F3138" t="s">
        <v>633</v>
      </c>
      <c r="G3138" t="s">
        <v>4855</v>
      </c>
      <c r="R3138">
        <v>8</v>
      </c>
      <c r="S3138">
        <v>9</v>
      </c>
      <c r="T3138">
        <v>32</v>
      </c>
      <c r="U3138">
        <v>52</v>
      </c>
      <c r="V3138">
        <v>80</v>
      </c>
      <c r="W3138">
        <v>83</v>
      </c>
      <c r="X3138">
        <v>105</v>
      </c>
      <c r="Y3138">
        <v>106</v>
      </c>
      <c r="Z3138">
        <v>116</v>
      </c>
      <c r="AA3138">
        <v>129</v>
      </c>
      <c r="AB3138">
        <v>109</v>
      </c>
      <c r="AC3138">
        <v>66</v>
      </c>
      <c r="AD3138">
        <v>92</v>
      </c>
      <c r="AE3138">
        <v>3</v>
      </c>
      <c r="AF3138">
        <v>66</v>
      </c>
      <c r="AH3138">
        <v>32</v>
      </c>
      <c r="AJ3138">
        <v>21</v>
      </c>
      <c r="CH3138" t="str">
        <f t="shared" ref="CH3138:CH3201" si="49">TRIM(IFERROR(IFERROR(MID($D3138,FIND("(D-",$D3138)+1,6),LEFT($D3138,FIND("(",$D3138)-1)),$D3138))</f>
        <v>D-0454</v>
      </c>
      <c r="CI3138" s="1" t="s">
        <v>102</v>
      </c>
    </row>
    <row r="3139" spans="1:87">
      <c r="A3139" t="s">
        <v>4860</v>
      </c>
      <c r="B3139">
        <v>2</v>
      </c>
      <c r="C3139" t="s">
        <v>993</v>
      </c>
      <c r="D3139" t="s">
        <v>308</v>
      </c>
      <c r="E3139" t="s">
        <v>629</v>
      </c>
      <c r="F3139" t="s">
        <v>633</v>
      </c>
      <c r="G3139" t="s">
        <v>3241</v>
      </c>
      <c r="W3139">
        <v>2</v>
      </c>
      <c r="CH3139" t="str">
        <f t="shared" si="49"/>
        <v>D-0454</v>
      </c>
      <c r="CI3139" s="1" t="s">
        <v>102</v>
      </c>
    </row>
    <row r="3140" spans="1:87">
      <c r="A3140" t="s">
        <v>4861</v>
      </c>
      <c r="B3140">
        <v>7389</v>
      </c>
      <c r="C3140" t="s">
        <v>1188</v>
      </c>
      <c r="D3140" t="s">
        <v>308</v>
      </c>
      <c r="E3140" t="s">
        <v>629</v>
      </c>
      <c r="F3140" t="s">
        <v>633</v>
      </c>
      <c r="G3140" t="s">
        <v>3243</v>
      </c>
      <c r="M3140">
        <v>6</v>
      </c>
      <c r="N3140">
        <v>24</v>
      </c>
      <c r="O3140">
        <v>277</v>
      </c>
      <c r="P3140">
        <v>786</v>
      </c>
      <c r="Q3140">
        <v>1218</v>
      </c>
      <c r="R3140">
        <v>1218</v>
      </c>
      <c r="S3140">
        <v>1320</v>
      </c>
      <c r="T3140">
        <v>1146</v>
      </c>
      <c r="U3140">
        <v>852</v>
      </c>
      <c r="V3140">
        <v>253</v>
      </c>
      <c r="W3140">
        <v>199</v>
      </c>
      <c r="Y3140">
        <v>90</v>
      </c>
      <c r="CH3140" t="str">
        <f t="shared" si="49"/>
        <v>D-0454</v>
      </c>
      <c r="CI3140" s="1" t="s">
        <v>102</v>
      </c>
    </row>
    <row r="3141" spans="1:87">
      <c r="A3141" t="s">
        <v>4862</v>
      </c>
      <c r="B3141">
        <v>13891</v>
      </c>
      <c r="C3141" t="s">
        <v>987</v>
      </c>
      <c r="D3141" t="s">
        <v>308</v>
      </c>
      <c r="E3141" t="s">
        <v>629</v>
      </c>
      <c r="F3141" t="s">
        <v>633</v>
      </c>
      <c r="G3141" t="s">
        <v>2593</v>
      </c>
      <c r="M3141">
        <v>37</v>
      </c>
      <c r="N3141">
        <v>48</v>
      </c>
      <c r="O3141">
        <v>164</v>
      </c>
      <c r="P3141">
        <v>197</v>
      </c>
      <c r="Q3141">
        <v>312</v>
      </c>
      <c r="R3141">
        <v>369</v>
      </c>
      <c r="S3141">
        <v>453</v>
      </c>
      <c r="T3141">
        <v>858</v>
      </c>
      <c r="U3141">
        <v>1068</v>
      </c>
      <c r="V3141">
        <v>1137</v>
      </c>
      <c r="W3141">
        <v>1078</v>
      </c>
      <c r="X3141">
        <v>1128</v>
      </c>
      <c r="Y3141">
        <v>1119</v>
      </c>
      <c r="Z3141">
        <v>1340</v>
      </c>
      <c r="AA3141">
        <v>1339</v>
      </c>
      <c r="AB3141">
        <v>1276</v>
      </c>
      <c r="AC3141">
        <v>459</v>
      </c>
      <c r="AD3141">
        <v>860</v>
      </c>
      <c r="AF3141">
        <v>553</v>
      </c>
      <c r="AH3141">
        <v>96</v>
      </c>
      <c r="CH3141" t="str">
        <f t="shared" si="49"/>
        <v>D-0454</v>
      </c>
      <c r="CI3141" s="1" t="s">
        <v>102</v>
      </c>
    </row>
    <row r="3142" spans="1:87">
      <c r="A3142" t="s">
        <v>4863</v>
      </c>
      <c r="B3142">
        <v>5187</v>
      </c>
      <c r="C3142" t="s">
        <v>3782</v>
      </c>
      <c r="D3142" t="s">
        <v>308</v>
      </c>
      <c r="E3142" t="s">
        <v>629</v>
      </c>
      <c r="F3142" t="s">
        <v>633</v>
      </c>
      <c r="G3142" t="s">
        <v>3783</v>
      </c>
      <c r="R3142">
        <v>70</v>
      </c>
      <c r="S3142">
        <v>86</v>
      </c>
      <c r="T3142">
        <v>162</v>
      </c>
      <c r="U3142">
        <v>206</v>
      </c>
      <c r="V3142">
        <v>337</v>
      </c>
      <c r="W3142">
        <v>381</v>
      </c>
      <c r="X3142">
        <v>454</v>
      </c>
      <c r="Y3142">
        <v>506</v>
      </c>
      <c r="Z3142">
        <v>565</v>
      </c>
      <c r="AA3142">
        <v>583</v>
      </c>
      <c r="AB3142">
        <v>525</v>
      </c>
      <c r="AC3142">
        <v>306</v>
      </c>
      <c r="AD3142">
        <v>403</v>
      </c>
      <c r="AE3142">
        <v>87</v>
      </c>
      <c r="AF3142">
        <v>299</v>
      </c>
      <c r="AH3142">
        <v>132</v>
      </c>
      <c r="AJ3142">
        <v>85</v>
      </c>
      <c r="CH3142" t="str">
        <f t="shared" si="49"/>
        <v>D-0454</v>
      </c>
      <c r="CI3142" s="1" t="s">
        <v>102</v>
      </c>
    </row>
    <row r="3143" spans="1:87">
      <c r="A3143" t="s">
        <v>4864</v>
      </c>
      <c r="B3143">
        <v>4318</v>
      </c>
      <c r="C3143" t="s">
        <v>3785</v>
      </c>
      <c r="D3143" t="s">
        <v>308</v>
      </c>
      <c r="E3143" t="s">
        <v>629</v>
      </c>
      <c r="F3143" t="s">
        <v>633</v>
      </c>
      <c r="G3143" t="s">
        <v>3786</v>
      </c>
      <c r="R3143">
        <v>55</v>
      </c>
      <c r="S3143">
        <v>64</v>
      </c>
      <c r="T3143">
        <v>129</v>
      </c>
      <c r="U3143">
        <v>152</v>
      </c>
      <c r="V3143">
        <v>265</v>
      </c>
      <c r="W3143">
        <v>289</v>
      </c>
      <c r="X3143">
        <v>380</v>
      </c>
      <c r="Y3143">
        <v>409</v>
      </c>
      <c r="Z3143">
        <v>471</v>
      </c>
      <c r="AA3143">
        <v>482</v>
      </c>
      <c r="AB3143">
        <v>456</v>
      </c>
      <c r="AC3143">
        <v>268</v>
      </c>
      <c r="AD3143">
        <v>367</v>
      </c>
      <c r="AE3143">
        <v>68</v>
      </c>
      <c r="AF3143">
        <v>272</v>
      </c>
      <c r="AH3143">
        <v>117</v>
      </c>
      <c r="AJ3143">
        <v>74</v>
      </c>
      <c r="CH3143" t="str">
        <f t="shared" si="49"/>
        <v>D-0454</v>
      </c>
      <c r="CI3143" s="1" t="s">
        <v>102</v>
      </c>
    </row>
    <row r="3144" spans="1:87">
      <c r="A3144" t="s">
        <v>4865</v>
      </c>
      <c r="B3144">
        <v>10152</v>
      </c>
      <c r="C3144" t="s">
        <v>987</v>
      </c>
      <c r="D3144" t="s">
        <v>308</v>
      </c>
      <c r="E3144" t="s">
        <v>629</v>
      </c>
      <c r="F3144" t="s">
        <v>633</v>
      </c>
      <c r="G3144" t="s">
        <v>2593</v>
      </c>
      <c r="M3144">
        <v>57</v>
      </c>
      <c r="N3144">
        <v>62</v>
      </c>
      <c r="O3144">
        <v>255</v>
      </c>
      <c r="P3144">
        <v>284</v>
      </c>
      <c r="Q3144">
        <v>482</v>
      </c>
      <c r="R3144">
        <v>521</v>
      </c>
      <c r="S3144">
        <v>668</v>
      </c>
      <c r="T3144">
        <v>742</v>
      </c>
      <c r="U3144">
        <v>714</v>
      </c>
      <c r="V3144">
        <v>780</v>
      </c>
      <c r="W3144">
        <v>792</v>
      </c>
      <c r="X3144">
        <v>773</v>
      </c>
      <c r="Y3144">
        <v>912</v>
      </c>
      <c r="Z3144">
        <v>858</v>
      </c>
      <c r="AA3144">
        <v>755</v>
      </c>
      <c r="AB3144">
        <v>583</v>
      </c>
      <c r="AC3144">
        <v>233</v>
      </c>
      <c r="AD3144">
        <v>423</v>
      </c>
      <c r="AF3144">
        <v>222</v>
      </c>
      <c r="AH3144">
        <v>36</v>
      </c>
      <c r="CH3144" t="str">
        <f t="shared" si="49"/>
        <v>D-0454</v>
      </c>
      <c r="CI3144" s="1" t="s">
        <v>102</v>
      </c>
    </row>
    <row r="3145" spans="1:87">
      <c r="A3145" t="s">
        <v>4866</v>
      </c>
      <c r="B3145">
        <v>6136</v>
      </c>
      <c r="C3145" t="s">
        <v>987</v>
      </c>
      <c r="D3145" t="s">
        <v>308</v>
      </c>
      <c r="E3145" t="s">
        <v>629</v>
      </c>
      <c r="F3145" t="s">
        <v>633</v>
      </c>
      <c r="G3145" t="s">
        <v>2593</v>
      </c>
      <c r="R3145">
        <v>6</v>
      </c>
      <c r="S3145">
        <v>6</v>
      </c>
      <c r="T3145">
        <v>159</v>
      </c>
      <c r="U3145">
        <v>291</v>
      </c>
      <c r="V3145">
        <v>682</v>
      </c>
      <c r="W3145">
        <v>675</v>
      </c>
      <c r="X3145">
        <v>960</v>
      </c>
      <c r="Y3145">
        <v>904</v>
      </c>
      <c r="Z3145">
        <v>1005</v>
      </c>
      <c r="AA3145">
        <v>492</v>
      </c>
      <c r="AB3145">
        <v>482</v>
      </c>
      <c r="AC3145">
        <v>105</v>
      </c>
      <c r="AD3145">
        <v>308</v>
      </c>
      <c r="AE3145">
        <v>16</v>
      </c>
      <c r="AF3145">
        <v>45</v>
      </c>
      <c r="CH3145" t="str">
        <f t="shared" si="49"/>
        <v>D-0454</v>
      </c>
      <c r="CI3145" s="1" t="s">
        <v>102</v>
      </c>
    </row>
    <row r="3146" spans="1:87">
      <c r="A3146" t="s">
        <v>4867</v>
      </c>
      <c r="B3146">
        <v>1225</v>
      </c>
      <c r="C3146" t="s">
        <v>1200</v>
      </c>
      <c r="D3146" t="s">
        <v>291</v>
      </c>
      <c r="E3146" t="s">
        <v>629</v>
      </c>
      <c r="F3146" t="s">
        <v>661</v>
      </c>
      <c r="G3146" t="s">
        <v>3420</v>
      </c>
      <c r="R3146">
        <v>6</v>
      </c>
      <c r="S3146">
        <v>13</v>
      </c>
      <c r="T3146">
        <v>170</v>
      </c>
      <c r="U3146">
        <v>17</v>
      </c>
      <c r="V3146">
        <v>272</v>
      </c>
      <c r="W3146">
        <v>39</v>
      </c>
      <c r="X3146">
        <v>288</v>
      </c>
      <c r="Y3146">
        <v>55</v>
      </c>
      <c r="Z3146">
        <v>185</v>
      </c>
      <c r="AA3146">
        <v>27</v>
      </c>
      <c r="AB3146">
        <v>81</v>
      </c>
      <c r="AC3146">
        <v>15</v>
      </c>
      <c r="AD3146">
        <v>44</v>
      </c>
      <c r="AE3146">
        <v>6</v>
      </c>
      <c r="AF3146">
        <v>7</v>
      </c>
      <c r="CH3146" t="str">
        <f t="shared" si="49"/>
        <v>D-0419</v>
      </c>
      <c r="CI3146" s="1" t="s">
        <v>102</v>
      </c>
    </row>
    <row r="3147" spans="1:87">
      <c r="A3147" t="s">
        <v>5173</v>
      </c>
      <c r="B3147">
        <v>186</v>
      </c>
      <c r="C3147" t="s">
        <v>5152</v>
      </c>
      <c r="D3147" t="s">
        <v>5153</v>
      </c>
      <c r="E3147" t="s">
        <v>642</v>
      </c>
      <c r="F3147" t="s">
        <v>5146</v>
      </c>
      <c r="G3147" t="s">
        <v>2702</v>
      </c>
      <c r="AA3147">
        <v>33</v>
      </c>
      <c r="AC3147">
        <v>36</v>
      </c>
      <c r="AD3147">
        <v>32</v>
      </c>
      <c r="AE3147">
        <v>17</v>
      </c>
      <c r="AF3147">
        <v>17</v>
      </c>
      <c r="AG3147">
        <v>17</v>
      </c>
      <c r="AI3147">
        <v>17</v>
      </c>
      <c r="AK3147">
        <v>17</v>
      </c>
      <c r="CH3147" t="str">
        <f t="shared" si="49"/>
        <v>D-0514</v>
      </c>
      <c r="CI3147" s="1" t="s">
        <v>102</v>
      </c>
    </row>
    <row r="3148" spans="1:87">
      <c r="A3148" t="s">
        <v>5174</v>
      </c>
      <c r="B3148">
        <v>150</v>
      </c>
      <c r="C3148" t="s">
        <v>5152</v>
      </c>
      <c r="D3148" t="s">
        <v>5153</v>
      </c>
      <c r="E3148" t="s">
        <v>642</v>
      </c>
      <c r="F3148" t="s">
        <v>5146</v>
      </c>
      <c r="G3148" t="s">
        <v>2702</v>
      </c>
      <c r="P3148">
        <v>2</v>
      </c>
      <c r="Q3148">
        <v>2</v>
      </c>
      <c r="R3148">
        <v>12</v>
      </c>
      <c r="S3148">
        <v>15</v>
      </c>
      <c r="T3148">
        <v>20</v>
      </c>
      <c r="U3148">
        <v>17</v>
      </c>
      <c r="V3148">
        <v>19</v>
      </c>
      <c r="W3148">
        <v>15</v>
      </c>
      <c r="X3148">
        <v>13</v>
      </c>
      <c r="Y3148">
        <v>10</v>
      </c>
      <c r="Z3148">
        <v>8</v>
      </c>
      <c r="AB3148">
        <v>17</v>
      </c>
      <c r="CH3148" t="str">
        <f t="shared" si="49"/>
        <v>D-0514</v>
      </c>
      <c r="CI3148" s="1" t="s">
        <v>102</v>
      </c>
    </row>
    <row r="3149" spans="1:87">
      <c r="A3149" t="s">
        <v>4868</v>
      </c>
      <c r="B3149">
        <v>2505</v>
      </c>
      <c r="C3149" t="s">
        <v>4869</v>
      </c>
      <c r="D3149" t="s">
        <v>291</v>
      </c>
      <c r="E3149" t="s">
        <v>629</v>
      </c>
      <c r="F3149" t="s">
        <v>661</v>
      </c>
      <c r="G3149" t="s">
        <v>3420</v>
      </c>
      <c r="R3149">
        <v>31</v>
      </c>
      <c r="S3149">
        <v>38</v>
      </c>
      <c r="T3149">
        <v>104</v>
      </c>
      <c r="U3149">
        <v>85</v>
      </c>
      <c r="V3149">
        <v>221</v>
      </c>
      <c r="W3149">
        <v>231</v>
      </c>
      <c r="X3149">
        <v>367</v>
      </c>
      <c r="Y3149">
        <v>304</v>
      </c>
      <c r="Z3149">
        <v>364</v>
      </c>
      <c r="AA3149">
        <v>179</v>
      </c>
      <c r="AB3149">
        <v>245</v>
      </c>
      <c r="AC3149">
        <v>96</v>
      </c>
      <c r="AD3149">
        <v>148</v>
      </c>
      <c r="AE3149">
        <v>22</v>
      </c>
      <c r="AF3149">
        <v>61</v>
      </c>
      <c r="AH3149">
        <v>8</v>
      </c>
      <c r="AJ3149">
        <v>1</v>
      </c>
      <c r="CH3149" t="str">
        <f t="shared" si="49"/>
        <v>D-0419</v>
      </c>
      <c r="CI3149" s="1" t="s">
        <v>102</v>
      </c>
    </row>
    <row r="3150" spans="1:87">
      <c r="A3150" t="s">
        <v>4870</v>
      </c>
      <c r="B3150">
        <v>2519</v>
      </c>
      <c r="C3150" t="s">
        <v>4869</v>
      </c>
      <c r="D3150" t="s">
        <v>291</v>
      </c>
      <c r="E3150" t="s">
        <v>629</v>
      </c>
      <c r="F3150" t="s">
        <v>661</v>
      </c>
      <c r="G3150" t="s">
        <v>3420</v>
      </c>
      <c r="R3150">
        <v>60</v>
      </c>
      <c r="S3150">
        <v>96</v>
      </c>
      <c r="T3150">
        <v>114</v>
      </c>
      <c r="U3150">
        <v>102</v>
      </c>
      <c r="V3150">
        <v>198</v>
      </c>
      <c r="W3150">
        <v>252</v>
      </c>
      <c r="X3150">
        <v>245</v>
      </c>
      <c r="Y3150">
        <v>342</v>
      </c>
      <c r="Z3150">
        <v>270</v>
      </c>
      <c r="AA3150">
        <v>192</v>
      </c>
      <c r="AB3150">
        <v>186</v>
      </c>
      <c r="AC3150">
        <v>114</v>
      </c>
      <c r="AD3150">
        <v>156</v>
      </c>
      <c r="AE3150">
        <v>72</v>
      </c>
      <c r="AF3150">
        <v>60</v>
      </c>
      <c r="AH3150">
        <v>36</v>
      </c>
      <c r="AJ3150">
        <v>24</v>
      </c>
      <c r="CH3150" t="str">
        <f t="shared" si="49"/>
        <v>D-0419</v>
      </c>
      <c r="CI3150" s="1" t="s">
        <v>102</v>
      </c>
    </row>
    <row r="3151" spans="1:87">
      <c r="A3151" t="s">
        <v>4871</v>
      </c>
      <c r="B3151">
        <v>1812</v>
      </c>
      <c r="C3151" t="s">
        <v>4869</v>
      </c>
      <c r="D3151" t="s">
        <v>291</v>
      </c>
      <c r="E3151" t="s">
        <v>629</v>
      </c>
      <c r="F3151" t="s">
        <v>661</v>
      </c>
      <c r="G3151" t="s">
        <v>3420</v>
      </c>
      <c r="R3151">
        <v>36</v>
      </c>
      <c r="S3151">
        <v>37</v>
      </c>
      <c r="T3151">
        <v>49</v>
      </c>
      <c r="U3151">
        <v>66</v>
      </c>
      <c r="V3151">
        <v>176</v>
      </c>
      <c r="W3151">
        <v>256</v>
      </c>
      <c r="X3151">
        <v>300</v>
      </c>
      <c r="Y3151">
        <v>299</v>
      </c>
      <c r="Z3151">
        <v>246</v>
      </c>
      <c r="AA3151">
        <v>123</v>
      </c>
      <c r="AB3151">
        <v>128</v>
      </c>
      <c r="AC3151">
        <v>29</v>
      </c>
      <c r="AD3151">
        <v>58</v>
      </c>
      <c r="AE3151">
        <v>6</v>
      </c>
      <c r="AF3151">
        <v>2</v>
      </c>
      <c r="AH3151">
        <v>1</v>
      </c>
      <c r="CH3151" t="str">
        <f t="shared" si="49"/>
        <v>D-0419</v>
      </c>
      <c r="CI3151" s="1" t="s">
        <v>102</v>
      </c>
    </row>
    <row r="3152" spans="1:87">
      <c r="A3152" t="s">
        <v>4872</v>
      </c>
      <c r="B3152">
        <v>240</v>
      </c>
      <c r="C3152" t="s">
        <v>1202</v>
      </c>
      <c r="D3152" t="s">
        <v>291</v>
      </c>
      <c r="E3152" t="s">
        <v>629</v>
      </c>
      <c r="F3152" t="s">
        <v>661</v>
      </c>
      <c r="G3152" t="s">
        <v>2557</v>
      </c>
      <c r="S3152">
        <v>6</v>
      </c>
      <c r="T3152">
        <v>6</v>
      </c>
      <c r="U3152">
        <v>6</v>
      </c>
      <c r="V3152">
        <v>24</v>
      </c>
      <c r="W3152">
        <v>30</v>
      </c>
      <c r="X3152">
        <v>30</v>
      </c>
      <c r="Y3152">
        <v>42</v>
      </c>
      <c r="Z3152">
        <v>36</v>
      </c>
      <c r="AA3152">
        <v>18</v>
      </c>
      <c r="AB3152">
        <v>18</v>
      </c>
      <c r="AC3152">
        <v>12</v>
      </c>
      <c r="AD3152">
        <v>12</v>
      </c>
      <c r="CH3152" t="str">
        <f t="shared" si="49"/>
        <v>D-0419</v>
      </c>
      <c r="CI3152" s="1" t="s">
        <v>102</v>
      </c>
    </row>
    <row r="3153" spans="1:87">
      <c r="A3153" t="s">
        <v>4873</v>
      </c>
      <c r="B3153">
        <v>4673</v>
      </c>
      <c r="C3153" t="s">
        <v>4874</v>
      </c>
      <c r="D3153" t="s">
        <v>291</v>
      </c>
      <c r="E3153" t="s">
        <v>629</v>
      </c>
      <c r="F3153" t="s">
        <v>661</v>
      </c>
      <c r="G3153" t="s">
        <v>3420</v>
      </c>
      <c r="R3153">
        <v>80</v>
      </c>
      <c r="S3153">
        <v>113</v>
      </c>
      <c r="T3153">
        <v>176</v>
      </c>
      <c r="U3153">
        <v>154</v>
      </c>
      <c r="V3153">
        <v>387</v>
      </c>
      <c r="W3153">
        <v>492</v>
      </c>
      <c r="X3153">
        <v>600</v>
      </c>
      <c r="Y3153">
        <v>629</v>
      </c>
      <c r="Z3153">
        <v>614</v>
      </c>
      <c r="AA3153">
        <v>334</v>
      </c>
      <c r="AB3153">
        <v>421</v>
      </c>
      <c r="AC3153">
        <v>179</v>
      </c>
      <c r="AD3153">
        <v>260</v>
      </c>
      <c r="AE3153">
        <v>70</v>
      </c>
      <c r="AF3153">
        <v>108</v>
      </c>
      <c r="AH3153">
        <v>38</v>
      </c>
      <c r="AJ3153">
        <v>18</v>
      </c>
      <c r="CH3153" t="str">
        <f t="shared" si="49"/>
        <v>D-0419</v>
      </c>
      <c r="CI3153" s="1" t="s">
        <v>102</v>
      </c>
    </row>
    <row r="3154" spans="1:87">
      <c r="A3154" t="s">
        <v>4875</v>
      </c>
      <c r="B3154">
        <v>1</v>
      </c>
      <c r="C3154" t="s">
        <v>1201</v>
      </c>
      <c r="D3154" t="s">
        <v>291</v>
      </c>
      <c r="E3154" t="s">
        <v>629</v>
      </c>
      <c r="F3154" t="s">
        <v>661</v>
      </c>
      <c r="G3154" t="s">
        <v>3420</v>
      </c>
      <c r="Z3154">
        <v>1</v>
      </c>
      <c r="CH3154" t="str">
        <f t="shared" si="49"/>
        <v>D-0419</v>
      </c>
      <c r="CI3154" s="1" t="s">
        <v>102</v>
      </c>
    </row>
    <row r="3155" spans="1:87">
      <c r="A3155" t="s">
        <v>4877</v>
      </c>
      <c r="B3155">
        <v>1519</v>
      </c>
      <c r="C3155" t="s">
        <v>3267</v>
      </c>
      <c r="D3155" t="s">
        <v>291</v>
      </c>
      <c r="E3155" t="s">
        <v>629</v>
      </c>
      <c r="F3155" t="s">
        <v>661</v>
      </c>
      <c r="G3155" t="s">
        <v>3420</v>
      </c>
      <c r="T3155">
        <v>137</v>
      </c>
      <c r="V3155">
        <v>223</v>
      </c>
      <c r="X3155">
        <v>279</v>
      </c>
      <c r="Y3155">
        <v>188</v>
      </c>
      <c r="Z3155">
        <v>267</v>
      </c>
      <c r="AB3155">
        <v>202</v>
      </c>
      <c r="AD3155">
        <v>140</v>
      </c>
      <c r="AF3155">
        <v>83</v>
      </c>
      <c r="CH3155" t="str">
        <f t="shared" si="49"/>
        <v>D-0419</v>
      </c>
      <c r="CI3155" s="1" t="s">
        <v>102</v>
      </c>
    </row>
    <row r="3156" spans="1:87">
      <c r="A3156" t="s">
        <v>4878</v>
      </c>
      <c r="B3156">
        <v>553</v>
      </c>
      <c r="C3156" t="s">
        <v>3267</v>
      </c>
      <c r="D3156" t="s">
        <v>291</v>
      </c>
      <c r="E3156" t="s">
        <v>629</v>
      </c>
      <c r="F3156" t="s">
        <v>661</v>
      </c>
      <c r="G3156" t="s">
        <v>3420</v>
      </c>
      <c r="R3156">
        <v>26</v>
      </c>
      <c r="S3156">
        <v>32</v>
      </c>
      <c r="U3156">
        <v>46</v>
      </c>
      <c r="W3156">
        <v>142</v>
      </c>
      <c r="AA3156">
        <v>135</v>
      </c>
      <c r="AC3156">
        <v>79</v>
      </c>
      <c r="AE3156">
        <v>47</v>
      </c>
      <c r="AH3156">
        <v>26</v>
      </c>
      <c r="AJ3156">
        <v>20</v>
      </c>
      <c r="CH3156" t="str">
        <f t="shared" si="49"/>
        <v>D-0419</v>
      </c>
      <c r="CI3156" s="1" t="s">
        <v>102</v>
      </c>
    </row>
    <row r="3157" spans="1:87">
      <c r="A3157" t="s">
        <v>4879</v>
      </c>
      <c r="B3157">
        <v>2653</v>
      </c>
      <c r="C3157" t="s">
        <v>3267</v>
      </c>
      <c r="D3157" t="s">
        <v>291</v>
      </c>
      <c r="E3157" t="s">
        <v>629</v>
      </c>
      <c r="F3157" t="s">
        <v>661</v>
      </c>
      <c r="G3157" t="s">
        <v>3420</v>
      </c>
      <c r="T3157">
        <v>97</v>
      </c>
      <c r="U3157">
        <v>84</v>
      </c>
      <c r="V3157">
        <v>297</v>
      </c>
      <c r="W3157">
        <v>251</v>
      </c>
      <c r="X3157">
        <v>418</v>
      </c>
      <c r="Y3157">
        <v>276</v>
      </c>
      <c r="Z3157">
        <v>396</v>
      </c>
      <c r="AA3157">
        <v>181</v>
      </c>
      <c r="AB3157">
        <v>291</v>
      </c>
      <c r="AC3157">
        <v>84</v>
      </c>
      <c r="AD3157">
        <v>176</v>
      </c>
      <c r="AF3157">
        <v>72</v>
      </c>
      <c r="AH3157">
        <v>30</v>
      </c>
      <c r="CH3157" t="str">
        <f t="shared" si="49"/>
        <v>D-0419</v>
      </c>
      <c r="CI3157" s="1" t="s">
        <v>102</v>
      </c>
    </row>
    <row r="3158" spans="1:87">
      <c r="A3158" t="s">
        <v>4880</v>
      </c>
      <c r="B3158">
        <v>6</v>
      </c>
      <c r="C3158" t="s">
        <v>3267</v>
      </c>
      <c r="D3158" t="s">
        <v>291</v>
      </c>
      <c r="E3158" t="s">
        <v>629</v>
      </c>
      <c r="F3158" t="s">
        <v>661</v>
      </c>
      <c r="G3158" t="s">
        <v>3420</v>
      </c>
      <c r="AE3158">
        <v>6</v>
      </c>
      <c r="CH3158" t="str">
        <f t="shared" si="49"/>
        <v>D-0419</v>
      </c>
      <c r="CI3158" s="1" t="s">
        <v>102</v>
      </c>
    </row>
    <row r="3159" spans="1:87">
      <c r="A3159" t="s">
        <v>4881</v>
      </c>
      <c r="B3159">
        <v>607</v>
      </c>
      <c r="C3159" t="s">
        <v>1203</v>
      </c>
      <c r="D3159" t="s">
        <v>291</v>
      </c>
      <c r="E3159" t="s">
        <v>629</v>
      </c>
      <c r="F3159" t="s">
        <v>661</v>
      </c>
      <c r="G3159" t="s">
        <v>3270</v>
      </c>
      <c r="T3159">
        <v>6</v>
      </c>
      <c r="U3159">
        <v>6</v>
      </c>
      <c r="V3159">
        <v>54</v>
      </c>
      <c r="W3159">
        <v>81</v>
      </c>
      <c r="X3159">
        <v>77</v>
      </c>
      <c r="Y3159">
        <v>132</v>
      </c>
      <c r="Z3159">
        <v>88</v>
      </c>
      <c r="AA3159">
        <v>57</v>
      </c>
      <c r="AB3159">
        <v>69</v>
      </c>
      <c r="AC3159">
        <v>15</v>
      </c>
      <c r="AD3159">
        <v>14</v>
      </c>
      <c r="AE3159">
        <v>8</v>
      </c>
      <c r="CH3159" t="str">
        <f t="shared" si="49"/>
        <v>D-0419</v>
      </c>
      <c r="CI3159" s="1" t="s">
        <v>102</v>
      </c>
    </row>
    <row r="3160" spans="1:87">
      <c r="A3160" t="s">
        <v>4882</v>
      </c>
      <c r="B3160">
        <v>2150</v>
      </c>
      <c r="C3160" t="s">
        <v>1200</v>
      </c>
      <c r="D3160" t="s">
        <v>291</v>
      </c>
      <c r="E3160" t="s">
        <v>629</v>
      </c>
      <c r="F3160" t="s">
        <v>661</v>
      </c>
      <c r="G3160" t="s">
        <v>3420</v>
      </c>
      <c r="R3160">
        <v>15</v>
      </c>
      <c r="S3160">
        <v>18</v>
      </c>
      <c r="T3160">
        <v>157</v>
      </c>
      <c r="U3160">
        <v>87</v>
      </c>
      <c r="V3160">
        <v>270</v>
      </c>
      <c r="W3160">
        <v>229</v>
      </c>
      <c r="X3160">
        <v>395</v>
      </c>
      <c r="Y3160">
        <v>231</v>
      </c>
      <c r="Z3160">
        <v>359</v>
      </c>
      <c r="AA3160">
        <v>54</v>
      </c>
      <c r="AB3160">
        <v>210</v>
      </c>
      <c r="AC3160">
        <v>12</v>
      </c>
      <c r="AD3160">
        <v>95</v>
      </c>
      <c r="AF3160">
        <v>18</v>
      </c>
      <c r="CH3160" t="str">
        <f t="shared" si="49"/>
        <v>D-0419</v>
      </c>
      <c r="CI3160" s="1" t="s">
        <v>102</v>
      </c>
    </row>
    <row r="3161" spans="1:87">
      <c r="A3161" t="s">
        <v>4883</v>
      </c>
      <c r="B3161">
        <v>1</v>
      </c>
      <c r="C3161" t="s">
        <v>3267</v>
      </c>
      <c r="D3161" t="s">
        <v>291</v>
      </c>
      <c r="E3161" t="s">
        <v>629</v>
      </c>
      <c r="F3161" t="s">
        <v>661</v>
      </c>
      <c r="G3161" t="s">
        <v>3420</v>
      </c>
      <c r="Z3161">
        <v>1</v>
      </c>
      <c r="CH3161" t="str">
        <f t="shared" si="49"/>
        <v>D-0419</v>
      </c>
      <c r="CI3161" s="1" t="s">
        <v>102</v>
      </c>
    </row>
    <row r="3162" spans="1:87">
      <c r="A3162" t="s">
        <v>4884</v>
      </c>
      <c r="B3162">
        <v>151</v>
      </c>
      <c r="C3162" t="s">
        <v>1203</v>
      </c>
      <c r="D3162" t="s">
        <v>291</v>
      </c>
      <c r="E3162" t="s">
        <v>629</v>
      </c>
      <c r="F3162" t="s">
        <v>661</v>
      </c>
      <c r="G3162" t="s">
        <v>3270</v>
      </c>
      <c r="W3162">
        <v>18</v>
      </c>
      <c r="X3162">
        <v>18</v>
      </c>
      <c r="Y3162">
        <v>30</v>
      </c>
      <c r="Z3162">
        <v>25</v>
      </c>
      <c r="AA3162">
        <v>12</v>
      </c>
      <c r="AB3162">
        <v>18</v>
      </c>
      <c r="AC3162">
        <v>6</v>
      </c>
      <c r="AD3162">
        <v>12</v>
      </c>
      <c r="AE3162">
        <v>12</v>
      </c>
      <c r="CH3162" t="str">
        <f t="shared" si="49"/>
        <v>D-0419</v>
      </c>
      <c r="CI3162" s="1" t="s">
        <v>102</v>
      </c>
    </row>
    <row r="3163" spans="1:87">
      <c r="A3163" t="s">
        <v>4885</v>
      </c>
      <c r="B3163">
        <v>130</v>
      </c>
      <c r="C3163" t="s">
        <v>1200</v>
      </c>
      <c r="D3163" t="s">
        <v>291</v>
      </c>
      <c r="E3163" t="s">
        <v>629</v>
      </c>
      <c r="F3163" t="s">
        <v>661</v>
      </c>
      <c r="G3163" t="s">
        <v>3420</v>
      </c>
      <c r="U3163">
        <v>1</v>
      </c>
      <c r="V3163">
        <v>14</v>
      </c>
      <c r="W3163">
        <v>14</v>
      </c>
      <c r="X3163">
        <v>20</v>
      </c>
      <c r="Y3163">
        <v>21</v>
      </c>
      <c r="Z3163">
        <v>14</v>
      </c>
      <c r="AA3163">
        <v>13</v>
      </c>
      <c r="AB3163">
        <v>13</v>
      </c>
      <c r="AC3163">
        <v>13</v>
      </c>
      <c r="AD3163">
        <v>6</v>
      </c>
      <c r="AE3163">
        <v>1</v>
      </c>
      <c r="CH3163" t="str">
        <f t="shared" si="49"/>
        <v>D-0419</v>
      </c>
      <c r="CI3163" s="1" t="s">
        <v>102</v>
      </c>
    </row>
    <row r="3164" spans="1:87">
      <c r="A3164" t="s">
        <v>4886</v>
      </c>
      <c r="B3164">
        <v>1</v>
      </c>
      <c r="C3164" t="s">
        <v>4869</v>
      </c>
      <c r="D3164" t="s">
        <v>291</v>
      </c>
      <c r="E3164" t="s">
        <v>629</v>
      </c>
      <c r="F3164" t="s">
        <v>661</v>
      </c>
      <c r="G3164" t="s">
        <v>3420</v>
      </c>
      <c r="Z3164">
        <v>1</v>
      </c>
      <c r="CH3164" t="str">
        <f t="shared" si="49"/>
        <v>D-0419</v>
      </c>
      <c r="CI3164" s="1" t="s">
        <v>102</v>
      </c>
    </row>
    <row r="3165" spans="1:87">
      <c r="A3165" t="s">
        <v>4887</v>
      </c>
      <c r="B3165">
        <v>103</v>
      </c>
      <c r="C3165" t="s">
        <v>2740</v>
      </c>
      <c r="D3165" t="s">
        <v>233</v>
      </c>
      <c r="E3165" t="s">
        <v>642</v>
      </c>
      <c r="F3165" t="s">
        <v>872</v>
      </c>
      <c r="G3165" t="s">
        <v>2741</v>
      </c>
      <c r="T3165">
        <v>103</v>
      </c>
      <c r="CH3165" t="str">
        <f t="shared" si="49"/>
        <v>D-0265</v>
      </c>
      <c r="CI3165" s="1" t="s">
        <v>102</v>
      </c>
    </row>
    <row r="3166" spans="1:87">
      <c r="A3166" t="s">
        <v>4888</v>
      </c>
      <c r="B3166">
        <v>6</v>
      </c>
      <c r="C3166" t="s">
        <v>2740</v>
      </c>
      <c r="D3166" t="s">
        <v>233</v>
      </c>
      <c r="E3166" t="s">
        <v>642</v>
      </c>
      <c r="F3166" t="s">
        <v>872</v>
      </c>
      <c r="G3166" t="s">
        <v>2741</v>
      </c>
      <c r="AB3166">
        <v>6</v>
      </c>
      <c r="CH3166" t="str">
        <f t="shared" si="49"/>
        <v>D-0265</v>
      </c>
      <c r="CI3166" s="1" t="s">
        <v>102</v>
      </c>
    </row>
    <row r="3167" spans="1:87">
      <c r="A3167" t="s">
        <v>4889</v>
      </c>
      <c r="B3167">
        <v>12</v>
      </c>
      <c r="C3167" t="s">
        <v>2740</v>
      </c>
      <c r="D3167" t="s">
        <v>233</v>
      </c>
      <c r="E3167" t="s">
        <v>642</v>
      </c>
      <c r="F3167" t="s">
        <v>872</v>
      </c>
      <c r="G3167" t="s">
        <v>2741</v>
      </c>
      <c r="AA3167">
        <v>12</v>
      </c>
      <c r="CH3167" t="str">
        <f t="shared" si="49"/>
        <v>D-0265</v>
      </c>
      <c r="CI3167" s="1" t="s">
        <v>102</v>
      </c>
    </row>
    <row r="3168" spans="1:87">
      <c r="A3168" t="s">
        <v>4890</v>
      </c>
      <c r="B3168">
        <v>30</v>
      </c>
      <c r="C3168" t="s">
        <v>2740</v>
      </c>
      <c r="D3168" t="s">
        <v>233</v>
      </c>
      <c r="E3168" t="s">
        <v>642</v>
      </c>
      <c r="F3168" t="s">
        <v>872</v>
      </c>
      <c r="G3168" t="s">
        <v>2741</v>
      </c>
      <c r="Z3168">
        <v>30</v>
      </c>
      <c r="CH3168" t="str">
        <f t="shared" si="49"/>
        <v>D-0265</v>
      </c>
      <c r="CI3168" s="1" t="s">
        <v>102</v>
      </c>
    </row>
    <row r="3169" spans="1:87">
      <c r="A3169" t="s">
        <v>4891</v>
      </c>
      <c r="B3169">
        <v>62</v>
      </c>
      <c r="C3169" t="s">
        <v>2740</v>
      </c>
      <c r="D3169" t="s">
        <v>233</v>
      </c>
      <c r="E3169" t="s">
        <v>642</v>
      </c>
      <c r="F3169" t="s">
        <v>872</v>
      </c>
      <c r="G3169" t="s">
        <v>2741</v>
      </c>
      <c r="Y3169">
        <v>62</v>
      </c>
      <c r="CH3169" t="str">
        <f t="shared" si="49"/>
        <v>D-0265</v>
      </c>
      <c r="CI3169" s="1" t="s">
        <v>102</v>
      </c>
    </row>
    <row r="3170" spans="1:87">
      <c r="A3170" t="s">
        <v>4892</v>
      </c>
      <c r="B3170">
        <v>58</v>
      </c>
      <c r="C3170" t="s">
        <v>2740</v>
      </c>
      <c r="D3170" t="s">
        <v>233</v>
      </c>
      <c r="E3170" t="s">
        <v>642</v>
      </c>
      <c r="F3170" t="s">
        <v>872</v>
      </c>
      <c r="G3170" t="s">
        <v>2741</v>
      </c>
      <c r="X3170">
        <v>58</v>
      </c>
      <c r="CH3170" t="str">
        <f t="shared" si="49"/>
        <v>D-0265</v>
      </c>
      <c r="CI3170" s="1" t="s">
        <v>102</v>
      </c>
    </row>
    <row r="3171" spans="1:87">
      <c r="A3171" t="s">
        <v>4893</v>
      </c>
      <c r="B3171">
        <v>88</v>
      </c>
      <c r="C3171" t="s">
        <v>2740</v>
      </c>
      <c r="D3171" t="s">
        <v>233</v>
      </c>
      <c r="E3171" t="s">
        <v>642</v>
      </c>
      <c r="F3171" t="s">
        <v>872</v>
      </c>
      <c r="G3171" t="s">
        <v>2741</v>
      </c>
      <c r="W3171">
        <v>88</v>
      </c>
      <c r="CH3171" t="str">
        <f t="shared" si="49"/>
        <v>D-0265</v>
      </c>
      <c r="CI3171" s="1" t="s">
        <v>102</v>
      </c>
    </row>
    <row r="3172" spans="1:87">
      <c r="A3172" t="s">
        <v>4894</v>
      </c>
      <c r="B3172">
        <v>133</v>
      </c>
      <c r="C3172" t="s">
        <v>2740</v>
      </c>
      <c r="D3172" t="s">
        <v>233</v>
      </c>
      <c r="E3172" t="s">
        <v>642</v>
      </c>
      <c r="F3172" t="s">
        <v>872</v>
      </c>
      <c r="G3172" t="s">
        <v>2741</v>
      </c>
      <c r="V3172">
        <v>133</v>
      </c>
      <c r="CH3172" t="str">
        <f t="shared" si="49"/>
        <v>D-0265</v>
      </c>
      <c r="CI3172" s="1" t="s">
        <v>102</v>
      </c>
    </row>
    <row r="3173" spans="1:87">
      <c r="A3173" t="s">
        <v>4895</v>
      </c>
      <c r="B3173">
        <v>94</v>
      </c>
      <c r="C3173" t="s">
        <v>2740</v>
      </c>
      <c r="D3173" t="s">
        <v>233</v>
      </c>
      <c r="E3173" t="s">
        <v>642</v>
      </c>
      <c r="F3173" t="s">
        <v>872</v>
      </c>
      <c r="G3173" t="s">
        <v>2741</v>
      </c>
      <c r="U3173">
        <v>94</v>
      </c>
      <c r="CH3173" t="str">
        <f t="shared" si="49"/>
        <v>D-0265</v>
      </c>
      <c r="CI3173" s="1" t="s">
        <v>102</v>
      </c>
    </row>
    <row r="3174" spans="1:87">
      <c r="A3174" t="s">
        <v>4896</v>
      </c>
      <c r="B3174">
        <v>71</v>
      </c>
      <c r="C3174" t="s">
        <v>2740</v>
      </c>
      <c r="D3174" t="s">
        <v>233</v>
      </c>
      <c r="E3174" t="s">
        <v>642</v>
      </c>
      <c r="F3174" t="s">
        <v>872</v>
      </c>
      <c r="G3174" t="s">
        <v>2741</v>
      </c>
      <c r="S3174">
        <v>71</v>
      </c>
      <c r="CH3174" t="str">
        <f t="shared" si="49"/>
        <v>D-0265</v>
      </c>
      <c r="CI3174" s="1" t="s">
        <v>102</v>
      </c>
    </row>
    <row r="3175" spans="1:87">
      <c r="A3175" t="s">
        <v>4897</v>
      </c>
      <c r="B3175">
        <v>44</v>
      </c>
      <c r="C3175" t="s">
        <v>2740</v>
      </c>
      <c r="D3175" t="s">
        <v>233</v>
      </c>
      <c r="E3175" t="s">
        <v>642</v>
      </c>
      <c r="F3175" t="s">
        <v>872</v>
      </c>
      <c r="G3175" t="s">
        <v>2741</v>
      </c>
      <c r="R3175">
        <v>44</v>
      </c>
      <c r="CH3175" t="str">
        <f t="shared" si="49"/>
        <v>D-0265</v>
      </c>
      <c r="CI3175" s="1" t="s">
        <v>102</v>
      </c>
    </row>
    <row r="3176" spans="1:87">
      <c r="A3176" t="s">
        <v>4898</v>
      </c>
      <c r="B3176">
        <v>15</v>
      </c>
      <c r="C3176" t="s">
        <v>2740</v>
      </c>
      <c r="D3176" t="s">
        <v>233</v>
      </c>
      <c r="E3176" t="s">
        <v>642</v>
      </c>
      <c r="F3176" t="s">
        <v>872</v>
      </c>
      <c r="G3176" t="s">
        <v>2741</v>
      </c>
      <c r="Q3176">
        <v>15</v>
      </c>
      <c r="CH3176" t="str">
        <f t="shared" si="49"/>
        <v>D-0265</v>
      </c>
      <c r="CI3176" s="1" t="s">
        <v>102</v>
      </c>
    </row>
    <row r="3177" spans="1:87">
      <c r="A3177" t="s">
        <v>4899</v>
      </c>
      <c r="B3177">
        <v>7</v>
      </c>
      <c r="C3177" t="s">
        <v>2740</v>
      </c>
      <c r="D3177" t="s">
        <v>233</v>
      </c>
      <c r="E3177" t="s">
        <v>642</v>
      </c>
      <c r="F3177" t="s">
        <v>872</v>
      </c>
      <c r="G3177" t="s">
        <v>2741</v>
      </c>
      <c r="P3177">
        <v>7</v>
      </c>
      <c r="CH3177" t="str">
        <f t="shared" si="49"/>
        <v>D-0265</v>
      </c>
      <c r="CI3177" s="1" t="s">
        <v>102</v>
      </c>
    </row>
    <row r="3178" spans="1:87">
      <c r="A3178" t="s">
        <v>4910</v>
      </c>
      <c r="B3178">
        <v>1</v>
      </c>
      <c r="C3178" t="s">
        <v>2556</v>
      </c>
      <c r="D3178" t="s">
        <v>291</v>
      </c>
      <c r="E3178" t="s">
        <v>642</v>
      </c>
      <c r="F3178" t="s">
        <v>661</v>
      </c>
      <c r="G3178" t="s">
        <v>2557</v>
      </c>
      <c r="P3178">
        <v>1</v>
      </c>
      <c r="CH3178" t="str">
        <f t="shared" si="49"/>
        <v>D-0419</v>
      </c>
      <c r="CI3178" s="1" t="s">
        <v>102</v>
      </c>
    </row>
    <row r="3179" spans="1:87">
      <c r="A3179" t="s">
        <v>4911</v>
      </c>
      <c r="B3179">
        <v>25</v>
      </c>
      <c r="C3179" t="s">
        <v>2556</v>
      </c>
      <c r="D3179" t="s">
        <v>291</v>
      </c>
      <c r="E3179" t="s">
        <v>642</v>
      </c>
      <c r="F3179" t="s">
        <v>661</v>
      </c>
      <c r="G3179" t="s">
        <v>2557</v>
      </c>
      <c r="R3179">
        <v>25</v>
      </c>
      <c r="CH3179" t="str">
        <f t="shared" si="49"/>
        <v>D-0419</v>
      </c>
      <c r="CI3179" s="1" t="s">
        <v>102</v>
      </c>
    </row>
    <row r="3180" spans="1:87">
      <c r="A3180" t="s">
        <v>4912</v>
      </c>
      <c r="B3180">
        <v>41</v>
      </c>
      <c r="C3180" t="s">
        <v>2556</v>
      </c>
      <c r="D3180" t="s">
        <v>291</v>
      </c>
      <c r="E3180" t="s">
        <v>642</v>
      </c>
      <c r="F3180" t="s">
        <v>661</v>
      </c>
      <c r="G3180" t="s">
        <v>2557</v>
      </c>
      <c r="T3180">
        <v>41</v>
      </c>
      <c r="CH3180" t="str">
        <f t="shared" si="49"/>
        <v>D-0419</v>
      </c>
      <c r="CI3180" s="1" t="s">
        <v>102</v>
      </c>
    </row>
    <row r="3181" spans="1:87">
      <c r="A3181" t="s">
        <v>4913</v>
      </c>
      <c r="B3181">
        <v>30</v>
      </c>
      <c r="C3181" t="s">
        <v>2556</v>
      </c>
      <c r="D3181" t="s">
        <v>291</v>
      </c>
      <c r="E3181" t="s">
        <v>642</v>
      </c>
      <c r="F3181" t="s">
        <v>661</v>
      </c>
      <c r="G3181" t="s">
        <v>2557</v>
      </c>
      <c r="V3181">
        <v>30</v>
      </c>
      <c r="CH3181" t="str">
        <f t="shared" si="49"/>
        <v>D-0419</v>
      </c>
      <c r="CI3181" s="1" t="s">
        <v>102</v>
      </c>
    </row>
    <row r="3182" spans="1:87">
      <c r="A3182" t="s">
        <v>4914</v>
      </c>
      <c r="B3182">
        <v>29</v>
      </c>
      <c r="C3182" t="s">
        <v>2556</v>
      </c>
      <c r="D3182" t="s">
        <v>291</v>
      </c>
      <c r="E3182" t="s">
        <v>642</v>
      </c>
      <c r="F3182" t="s">
        <v>661</v>
      </c>
      <c r="G3182" t="s">
        <v>2557</v>
      </c>
      <c r="X3182">
        <v>29</v>
      </c>
      <c r="CH3182" t="str">
        <f t="shared" si="49"/>
        <v>D-0419</v>
      </c>
      <c r="CI3182" s="1" t="s">
        <v>102</v>
      </c>
    </row>
    <row r="3183" spans="1:87">
      <c r="A3183" t="s">
        <v>4915</v>
      </c>
      <c r="B3183">
        <v>19</v>
      </c>
      <c r="C3183" t="s">
        <v>2556</v>
      </c>
      <c r="D3183" t="s">
        <v>291</v>
      </c>
      <c r="E3183" t="s">
        <v>642</v>
      </c>
      <c r="F3183" t="s">
        <v>661</v>
      </c>
      <c r="G3183" t="s">
        <v>2557</v>
      </c>
      <c r="Y3183">
        <v>19</v>
      </c>
      <c r="CH3183" t="str">
        <f t="shared" si="49"/>
        <v>D-0419</v>
      </c>
      <c r="CI3183" s="1" t="s">
        <v>102</v>
      </c>
    </row>
    <row r="3184" spans="1:87">
      <c r="A3184" t="s">
        <v>4916</v>
      </c>
      <c r="B3184">
        <v>30</v>
      </c>
      <c r="C3184" t="s">
        <v>2556</v>
      </c>
      <c r="D3184" t="s">
        <v>291</v>
      </c>
      <c r="E3184" t="s">
        <v>642</v>
      </c>
      <c r="F3184" t="s">
        <v>661</v>
      </c>
      <c r="G3184" t="s">
        <v>2557</v>
      </c>
      <c r="W3184">
        <v>30</v>
      </c>
      <c r="CH3184" t="str">
        <f t="shared" si="49"/>
        <v>D-0419</v>
      </c>
      <c r="CI3184" s="1" t="s">
        <v>102</v>
      </c>
    </row>
    <row r="3185" spans="1:87">
      <c r="A3185" t="s">
        <v>4917</v>
      </c>
      <c r="B3185">
        <v>40</v>
      </c>
      <c r="C3185" t="s">
        <v>2556</v>
      </c>
      <c r="D3185" t="s">
        <v>291</v>
      </c>
      <c r="E3185" t="s">
        <v>642</v>
      </c>
      <c r="F3185" t="s">
        <v>661</v>
      </c>
      <c r="G3185" t="s">
        <v>2557</v>
      </c>
      <c r="U3185">
        <v>40</v>
      </c>
      <c r="CH3185" t="str">
        <f t="shared" si="49"/>
        <v>D-0419</v>
      </c>
      <c r="CI3185" s="1" t="s">
        <v>102</v>
      </c>
    </row>
    <row r="3186" spans="1:87">
      <c r="A3186" t="s">
        <v>4918</v>
      </c>
      <c r="B3186">
        <v>30</v>
      </c>
      <c r="C3186" t="s">
        <v>2556</v>
      </c>
      <c r="D3186" t="s">
        <v>291</v>
      </c>
      <c r="E3186" t="s">
        <v>642</v>
      </c>
      <c r="F3186" t="s">
        <v>661</v>
      </c>
      <c r="G3186" t="s">
        <v>2557</v>
      </c>
      <c r="S3186">
        <v>30</v>
      </c>
      <c r="CH3186" t="str">
        <f t="shared" si="49"/>
        <v>D-0419</v>
      </c>
      <c r="CI3186" s="1" t="s">
        <v>102</v>
      </c>
    </row>
    <row r="3187" spans="1:87">
      <c r="A3187" t="s">
        <v>4919</v>
      </c>
      <c r="B3187">
        <v>4</v>
      </c>
      <c r="C3187" t="s">
        <v>2556</v>
      </c>
      <c r="D3187" t="s">
        <v>291</v>
      </c>
      <c r="E3187" t="s">
        <v>642</v>
      </c>
      <c r="F3187" t="s">
        <v>661</v>
      </c>
      <c r="G3187" t="s">
        <v>2557</v>
      </c>
      <c r="Q3187">
        <v>4</v>
      </c>
      <c r="CH3187" t="str">
        <f t="shared" si="49"/>
        <v>D-0419</v>
      </c>
      <c r="CI3187" s="1" t="s">
        <v>102</v>
      </c>
    </row>
    <row r="3188" spans="1:87">
      <c r="A3188" t="s">
        <v>4920</v>
      </c>
      <c r="B3188">
        <v>6</v>
      </c>
      <c r="C3188" t="s">
        <v>1122</v>
      </c>
      <c r="D3188" t="s">
        <v>291</v>
      </c>
      <c r="E3188" t="s">
        <v>642</v>
      </c>
      <c r="F3188" t="s">
        <v>661</v>
      </c>
      <c r="G3188" t="s">
        <v>2737</v>
      </c>
      <c r="X3188">
        <v>6</v>
      </c>
      <c r="CH3188" t="str">
        <f t="shared" si="49"/>
        <v>D-0419</v>
      </c>
      <c r="CI3188" s="1" t="s">
        <v>102</v>
      </c>
    </row>
    <row r="3189" spans="1:87">
      <c r="A3189" t="s">
        <v>4921</v>
      </c>
      <c r="B3189">
        <v>40</v>
      </c>
      <c r="C3189" t="s">
        <v>1122</v>
      </c>
      <c r="D3189" t="s">
        <v>291</v>
      </c>
      <c r="E3189" t="s">
        <v>642</v>
      </c>
      <c r="F3189" t="s">
        <v>661</v>
      </c>
      <c r="G3189" t="s">
        <v>2737</v>
      </c>
      <c r="V3189">
        <v>40</v>
      </c>
      <c r="CH3189" t="str">
        <f t="shared" si="49"/>
        <v>D-0419</v>
      </c>
      <c r="CI3189" s="1" t="s">
        <v>102</v>
      </c>
    </row>
    <row r="3190" spans="1:87">
      <c r="A3190" t="s">
        <v>4922</v>
      </c>
      <c r="B3190">
        <v>84</v>
      </c>
      <c r="C3190" t="s">
        <v>1122</v>
      </c>
      <c r="D3190" t="s">
        <v>291</v>
      </c>
      <c r="E3190" t="s">
        <v>642</v>
      </c>
      <c r="F3190" t="s">
        <v>661</v>
      </c>
      <c r="G3190" t="s">
        <v>2737</v>
      </c>
      <c r="U3190">
        <v>84</v>
      </c>
      <c r="CH3190" t="str">
        <f t="shared" si="49"/>
        <v>D-0419</v>
      </c>
      <c r="CI3190" s="1" t="s">
        <v>102</v>
      </c>
    </row>
    <row r="3191" spans="1:87">
      <c r="A3191" t="s">
        <v>4923</v>
      </c>
      <c r="B3191">
        <v>82</v>
      </c>
      <c r="C3191" t="s">
        <v>1122</v>
      </c>
      <c r="D3191" t="s">
        <v>291</v>
      </c>
      <c r="E3191" t="s">
        <v>642</v>
      </c>
      <c r="F3191" t="s">
        <v>661</v>
      </c>
      <c r="G3191" t="s">
        <v>2737</v>
      </c>
      <c r="T3191">
        <v>82</v>
      </c>
      <c r="CH3191" t="str">
        <f t="shared" si="49"/>
        <v>D-0419</v>
      </c>
      <c r="CI3191" s="1" t="s">
        <v>102</v>
      </c>
    </row>
    <row r="3192" spans="1:87">
      <c r="A3192" t="s">
        <v>4924</v>
      </c>
      <c r="B3192">
        <v>28</v>
      </c>
      <c r="C3192" t="s">
        <v>1122</v>
      </c>
      <c r="D3192" t="s">
        <v>291</v>
      </c>
      <c r="E3192" t="s">
        <v>642</v>
      </c>
      <c r="F3192" t="s">
        <v>661</v>
      </c>
      <c r="G3192" t="s">
        <v>2737</v>
      </c>
      <c r="R3192">
        <v>28</v>
      </c>
      <c r="CH3192" t="str">
        <f t="shared" si="49"/>
        <v>D-0419</v>
      </c>
      <c r="CI3192" s="1" t="s">
        <v>102</v>
      </c>
    </row>
    <row r="3193" spans="1:87">
      <c r="A3193" t="s">
        <v>4925</v>
      </c>
      <c r="B3193">
        <v>12</v>
      </c>
      <c r="C3193" t="s">
        <v>1122</v>
      </c>
      <c r="D3193" t="s">
        <v>291</v>
      </c>
      <c r="E3193" t="s">
        <v>642</v>
      </c>
      <c r="F3193" t="s">
        <v>661</v>
      </c>
      <c r="G3193" t="s">
        <v>2737</v>
      </c>
      <c r="Q3193">
        <v>12</v>
      </c>
      <c r="CH3193" t="str">
        <f t="shared" si="49"/>
        <v>D-0419</v>
      </c>
      <c r="CI3193" s="1" t="s">
        <v>102</v>
      </c>
    </row>
    <row r="3194" spans="1:87">
      <c r="A3194" t="s">
        <v>4926</v>
      </c>
      <c r="B3194">
        <v>28</v>
      </c>
      <c r="C3194" t="s">
        <v>1122</v>
      </c>
      <c r="D3194" t="s">
        <v>291</v>
      </c>
      <c r="E3194" t="s">
        <v>642</v>
      </c>
      <c r="F3194" t="s">
        <v>661</v>
      </c>
      <c r="G3194" t="s">
        <v>2737</v>
      </c>
      <c r="S3194">
        <v>28</v>
      </c>
      <c r="CH3194" t="str">
        <f t="shared" si="49"/>
        <v>D-0419</v>
      </c>
      <c r="CI3194" s="1" t="s">
        <v>102</v>
      </c>
    </row>
    <row r="3195" spans="1:87">
      <c r="A3195" t="s">
        <v>4927</v>
      </c>
      <c r="B3195">
        <v>20</v>
      </c>
      <c r="C3195" t="s">
        <v>1122</v>
      </c>
      <c r="D3195" t="s">
        <v>291</v>
      </c>
      <c r="E3195" t="s">
        <v>642</v>
      </c>
      <c r="F3195" t="s">
        <v>661</v>
      </c>
      <c r="G3195" t="s">
        <v>2737</v>
      </c>
      <c r="W3195">
        <v>20</v>
      </c>
      <c r="CH3195" t="str">
        <f t="shared" si="49"/>
        <v>D-0419</v>
      </c>
      <c r="CI3195" s="1" t="s">
        <v>102</v>
      </c>
    </row>
    <row r="3196" spans="1:87">
      <c r="A3196" t="s">
        <v>4928</v>
      </c>
      <c r="B3196">
        <v>6</v>
      </c>
      <c r="C3196" t="s">
        <v>1122</v>
      </c>
      <c r="D3196" t="s">
        <v>291</v>
      </c>
      <c r="E3196" t="s">
        <v>642</v>
      </c>
      <c r="F3196" t="s">
        <v>661</v>
      </c>
      <c r="G3196" t="s">
        <v>2737</v>
      </c>
      <c r="Y3196">
        <v>6</v>
      </c>
      <c r="CH3196" t="str">
        <f t="shared" si="49"/>
        <v>D-0419</v>
      </c>
      <c r="CI3196" s="1" t="s">
        <v>102</v>
      </c>
    </row>
    <row r="3197" spans="1:87">
      <c r="A3197" t="s">
        <v>4929</v>
      </c>
      <c r="B3197">
        <v>12</v>
      </c>
      <c r="C3197" t="s">
        <v>1026</v>
      </c>
      <c r="D3197" t="s">
        <v>291</v>
      </c>
      <c r="E3197" t="s">
        <v>642</v>
      </c>
      <c r="F3197" t="s">
        <v>661</v>
      </c>
      <c r="G3197" t="s">
        <v>3100</v>
      </c>
      <c r="AD3197">
        <v>12</v>
      </c>
      <c r="CH3197" t="str">
        <f t="shared" si="49"/>
        <v>D-0419</v>
      </c>
      <c r="CI3197" s="1" t="s">
        <v>102</v>
      </c>
    </row>
    <row r="3198" spans="1:87">
      <c r="A3198" t="s">
        <v>4930</v>
      </c>
      <c r="B3198">
        <v>20</v>
      </c>
      <c r="C3198" t="s">
        <v>1026</v>
      </c>
      <c r="D3198" t="s">
        <v>291</v>
      </c>
      <c r="E3198" t="s">
        <v>642</v>
      </c>
      <c r="F3198" t="s">
        <v>661</v>
      </c>
      <c r="G3198" t="s">
        <v>3100</v>
      </c>
      <c r="AC3198">
        <v>20</v>
      </c>
      <c r="CH3198" t="str">
        <f t="shared" si="49"/>
        <v>D-0419</v>
      </c>
      <c r="CI3198" s="1" t="s">
        <v>102</v>
      </c>
    </row>
    <row r="3199" spans="1:87">
      <c r="A3199" t="s">
        <v>4931</v>
      </c>
      <c r="B3199">
        <v>21</v>
      </c>
      <c r="C3199" t="s">
        <v>1026</v>
      </c>
      <c r="D3199" t="s">
        <v>291</v>
      </c>
      <c r="E3199" t="s">
        <v>642</v>
      </c>
      <c r="F3199" t="s">
        <v>661</v>
      </c>
      <c r="G3199" t="s">
        <v>3100</v>
      </c>
      <c r="AA3199">
        <v>21</v>
      </c>
      <c r="CH3199" t="str">
        <f t="shared" si="49"/>
        <v>D-0419</v>
      </c>
      <c r="CI3199" s="1" t="s">
        <v>102</v>
      </c>
    </row>
    <row r="3200" spans="1:87">
      <c r="A3200" t="s">
        <v>4932</v>
      </c>
      <c r="B3200">
        <v>20</v>
      </c>
      <c r="C3200" t="s">
        <v>1026</v>
      </c>
      <c r="D3200" t="s">
        <v>291</v>
      </c>
      <c r="E3200" t="s">
        <v>642</v>
      </c>
      <c r="F3200" t="s">
        <v>661</v>
      </c>
      <c r="G3200" t="s">
        <v>3100</v>
      </c>
      <c r="Z3200">
        <v>20</v>
      </c>
      <c r="CH3200" t="str">
        <f t="shared" si="49"/>
        <v>D-0419</v>
      </c>
      <c r="CI3200" s="1" t="s">
        <v>102</v>
      </c>
    </row>
    <row r="3201" spans="1:87">
      <c r="A3201" t="s">
        <v>4933</v>
      </c>
      <c r="B3201">
        <v>6</v>
      </c>
      <c r="C3201" t="s">
        <v>1026</v>
      </c>
      <c r="D3201" t="s">
        <v>291</v>
      </c>
      <c r="E3201" t="s">
        <v>642</v>
      </c>
      <c r="F3201" t="s">
        <v>661</v>
      </c>
      <c r="G3201" t="s">
        <v>3100</v>
      </c>
      <c r="Y3201">
        <v>6</v>
      </c>
      <c r="CH3201" t="str">
        <f t="shared" si="49"/>
        <v>D-0419</v>
      </c>
      <c r="CI3201" s="1" t="s">
        <v>102</v>
      </c>
    </row>
    <row r="3202" spans="1:87">
      <c r="A3202" t="s">
        <v>4934</v>
      </c>
      <c r="B3202">
        <v>30</v>
      </c>
      <c r="C3202" t="s">
        <v>1026</v>
      </c>
      <c r="D3202" t="s">
        <v>291</v>
      </c>
      <c r="E3202" t="s">
        <v>642</v>
      </c>
      <c r="F3202" t="s">
        <v>661</v>
      </c>
      <c r="G3202" t="s">
        <v>3100</v>
      </c>
      <c r="X3202">
        <v>30</v>
      </c>
      <c r="CH3202" t="str">
        <f t="shared" ref="CH3202:CH3265" si="50">TRIM(IFERROR(IFERROR(MID($D3202,FIND("(D-",$D3202)+1,6),LEFT($D3202,FIND("(",$D3202)-1)),$D3202))</f>
        <v>D-0419</v>
      </c>
      <c r="CI3202" s="1" t="s">
        <v>102</v>
      </c>
    </row>
    <row r="3203" spans="1:87">
      <c r="A3203" t="s">
        <v>4935</v>
      </c>
      <c r="B3203">
        <v>58</v>
      </c>
      <c r="C3203" t="s">
        <v>1026</v>
      </c>
      <c r="D3203" t="s">
        <v>291</v>
      </c>
      <c r="E3203" t="s">
        <v>642</v>
      </c>
      <c r="F3203" t="s">
        <v>661</v>
      </c>
      <c r="G3203" t="s">
        <v>3100</v>
      </c>
      <c r="W3203">
        <v>58</v>
      </c>
      <c r="CH3203" t="str">
        <f t="shared" si="50"/>
        <v>D-0419</v>
      </c>
      <c r="CI3203" s="1" t="s">
        <v>102</v>
      </c>
    </row>
    <row r="3204" spans="1:87">
      <c r="A3204" t="s">
        <v>4936</v>
      </c>
      <c r="B3204">
        <v>60</v>
      </c>
      <c r="C3204" t="s">
        <v>1026</v>
      </c>
      <c r="D3204" t="s">
        <v>291</v>
      </c>
      <c r="E3204" t="s">
        <v>642</v>
      </c>
      <c r="F3204" t="s">
        <v>661</v>
      </c>
      <c r="G3204" t="s">
        <v>3100</v>
      </c>
      <c r="V3204">
        <v>60</v>
      </c>
      <c r="CH3204" t="str">
        <f t="shared" si="50"/>
        <v>D-0419</v>
      </c>
      <c r="CI3204" s="1" t="s">
        <v>102</v>
      </c>
    </row>
    <row r="3205" spans="1:87">
      <c r="A3205" t="s">
        <v>4937</v>
      </c>
      <c r="B3205">
        <v>104</v>
      </c>
      <c r="C3205" t="s">
        <v>1026</v>
      </c>
      <c r="D3205" t="s">
        <v>291</v>
      </c>
      <c r="E3205" t="s">
        <v>642</v>
      </c>
      <c r="F3205" t="s">
        <v>661</v>
      </c>
      <c r="G3205" t="s">
        <v>3100</v>
      </c>
      <c r="U3205">
        <v>104</v>
      </c>
      <c r="CH3205" t="str">
        <f t="shared" si="50"/>
        <v>D-0419</v>
      </c>
      <c r="CI3205" s="1" t="s">
        <v>102</v>
      </c>
    </row>
    <row r="3206" spans="1:87">
      <c r="A3206" t="s">
        <v>4938</v>
      </c>
      <c r="B3206">
        <v>128</v>
      </c>
      <c r="C3206" t="s">
        <v>1026</v>
      </c>
      <c r="D3206" t="s">
        <v>291</v>
      </c>
      <c r="E3206" t="s">
        <v>642</v>
      </c>
      <c r="F3206" t="s">
        <v>661</v>
      </c>
      <c r="G3206" t="s">
        <v>3100</v>
      </c>
      <c r="T3206">
        <v>128</v>
      </c>
      <c r="CH3206" t="str">
        <f t="shared" si="50"/>
        <v>D-0419</v>
      </c>
      <c r="CI3206" s="1" t="s">
        <v>102</v>
      </c>
    </row>
    <row r="3207" spans="1:87">
      <c r="A3207" t="s">
        <v>4939</v>
      </c>
      <c r="B3207">
        <v>60</v>
      </c>
      <c r="C3207" t="s">
        <v>1026</v>
      </c>
      <c r="D3207" t="s">
        <v>291</v>
      </c>
      <c r="E3207" t="s">
        <v>642</v>
      </c>
      <c r="F3207" t="s">
        <v>661</v>
      </c>
      <c r="G3207" t="s">
        <v>3100</v>
      </c>
      <c r="S3207">
        <v>60</v>
      </c>
      <c r="CH3207" t="str">
        <f t="shared" si="50"/>
        <v>D-0419</v>
      </c>
      <c r="CI3207" s="1" t="s">
        <v>102</v>
      </c>
    </row>
    <row r="3208" spans="1:87">
      <c r="A3208" t="s">
        <v>4940</v>
      </c>
      <c r="B3208">
        <v>68</v>
      </c>
      <c r="C3208" t="s">
        <v>1026</v>
      </c>
      <c r="D3208" t="s">
        <v>291</v>
      </c>
      <c r="E3208" t="s">
        <v>642</v>
      </c>
      <c r="F3208" t="s">
        <v>661</v>
      </c>
      <c r="G3208" t="s">
        <v>3100</v>
      </c>
      <c r="R3208">
        <v>68</v>
      </c>
      <c r="CH3208" t="str">
        <f t="shared" si="50"/>
        <v>D-0419</v>
      </c>
      <c r="CI3208" s="1" t="s">
        <v>102</v>
      </c>
    </row>
    <row r="3209" spans="1:87">
      <c r="A3209" t="s">
        <v>4941</v>
      </c>
      <c r="B3209">
        <v>39</v>
      </c>
      <c r="C3209" t="s">
        <v>1026</v>
      </c>
      <c r="D3209" t="s">
        <v>291</v>
      </c>
      <c r="E3209" t="s">
        <v>642</v>
      </c>
      <c r="F3209" t="s">
        <v>661</v>
      </c>
      <c r="G3209" t="s">
        <v>3100</v>
      </c>
      <c r="Q3209">
        <v>39</v>
      </c>
      <c r="CH3209" t="str">
        <f t="shared" si="50"/>
        <v>D-0419</v>
      </c>
      <c r="CI3209" s="1" t="s">
        <v>102</v>
      </c>
    </row>
    <row r="3210" spans="1:87">
      <c r="A3210" t="s">
        <v>4942</v>
      </c>
      <c r="B3210">
        <v>6</v>
      </c>
      <c r="C3210" t="s">
        <v>1026</v>
      </c>
      <c r="D3210" t="s">
        <v>291</v>
      </c>
      <c r="E3210" t="s">
        <v>642</v>
      </c>
      <c r="F3210" t="s">
        <v>661</v>
      </c>
      <c r="G3210" t="s">
        <v>3100</v>
      </c>
      <c r="P3210">
        <v>6</v>
      </c>
      <c r="CH3210" t="str">
        <f t="shared" si="50"/>
        <v>D-0419</v>
      </c>
      <c r="CI3210" s="1" t="s">
        <v>102</v>
      </c>
    </row>
    <row r="3211" spans="1:87">
      <c r="A3211" t="s">
        <v>4943</v>
      </c>
      <c r="B3211">
        <v>4</v>
      </c>
      <c r="C3211" t="s">
        <v>1024</v>
      </c>
      <c r="D3211" t="s">
        <v>291</v>
      </c>
      <c r="E3211" t="s">
        <v>642</v>
      </c>
      <c r="F3211" t="s">
        <v>661</v>
      </c>
      <c r="G3211" t="s">
        <v>3084</v>
      </c>
      <c r="AD3211">
        <v>4</v>
      </c>
      <c r="CH3211" t="str">
        <f t="shared" si="50"/>
        <v>D-0419</v>
      </c>
      <c r="CI3211" s="1" t="s">
        <v>102</v>
      </c>
    </row>
    <row r="3212" spans="1:87">
      <c r="A3212" t="s">
        <v>4944</v>
      </c>
      <c r="B3212">
        <v>9</v>
      </c>
      <c r="C3212" t="s">
        <v>1024</v>
      </c>
      <c r="D3212" t="s">
        <v>291</v>
      </c>
      <c r="E3212" t="s">
        <v>642</v>
      </c>
      <c r="F3212" t="s">
        <v>661</v>
      </c>
      <c r="G3212" t="s">
        <v>3084</v>
      </c>
      <c r="AC3212">
        <v>9</v>
      </c>
      <c r="CH3212" t="str">
        <f t="shared" si="50"/>
        <v>D-0419</v>
      </c>
      <c r="CI3212" s="1" t="s">
        <v>102</v>
      </c>
    </row>
    <row r="3213" spans="1:87">
      <c r="A3213" t="s">
        <v>4945</v>
      </c>
      <c r="B3213">
        <v>16</v>
      </c>
      <c r="C3213" t="s">
        <v>1024</v>
      </c>
      <c r="D3213" t="s">
        <v>291</v>
      </c>
      <c r="E3213" t="s">
        <v>642</v>
      </c>
      <c r="F3213" t="s">
        <v>661</v>
      </c>
      <c r="G3213" t="s">
        <v>3084</v>
      </c>
      <c r="AA3213">
        <v>16</v>
      </c>
      <c r="CH3213" t="str">
        <f t="shared" si="50"/>
        <v>D-0419</v>
      </c>
      <c r="CI3213" s="1" t="s">
        <v>102</v>
      </c>
    </row>
    <row r="3214" spans="1:87">
      <c r="A3214" t="s">
        <v>4946</v>
      </c>
      <c r="B3214">
        <v>29</v>
      </c>
      <c r="C3214" t="s">
        <v>1024</v>
      </c>
      <c r="D3214" t="s">
        <v>291</v>
      </c>
      <c r="E3214" t="s">
        <v>642</v>
      </c>
      <c r="F3214" t="s">
        <v>661</v>
      </c>
      <c r="G3214" t="s">
        <v>3084</v>
      </c>
      <c r="Z3214">
        <v>29</v>
      </c>
      <c r="CH3214" t="str">
        <f t="shared" si="50"/>
        <v>D-0419</v>
      </c>
      <c r="CI3214" s="1" t="s">
        <v>102</v>
      </c>
    </row>
    <row r="3215" spans="1:87">
      <c r="A3215" t="s">
        <v>4947</v>
      </c>
      <c r="B3215">
        <v>6</v>
      </c>
      <c r="C3215" t="s">
        <v>1024</v>
      </c>
      <c r="D3215" t="s">
        <v>291</v>
      </c>
      <c r="E3215" t="s">
        <v>642</v>
      </c>
      <c r="F3215" t="s">
        <v>661</v>
      </c>
      <c r="G3215" t="s">
        <v>3084</v>
      </c>
      <c r="Y3215">
        <v>6</v>
      </c>
      <c r="CH3215" t="str">
        <f t="shared" si="50"/>
        <v>D-0419</v>
      </c>
      <c r="CI3215" s="1" t="s">
        <v>102</v>
      </c>
    </row>
    <row r="3216" spans="1:87">
      <c r="A3216" t="s">
        <v>4948</v>
      </c>
      <c r="B3216">
        <v>44</v>
      </c>
      <c r="C3216" t="s">
        <v>1024</v>
      </c>
      <c r="D3216" t="s">
        <v>291</v>
      </c>
      <c r="E3216" t="s">
        <v>642</v>
      </c>
      <c r="F3216" t="s">
        <v>661</v>
      </c>
      <c r="G3216" t="s">
        <v>3084</v>
      </c>
      <c r="X3216">
        <v>44</v>
      </c>
      <c r="CH3216" t="str">
        <f t="shared" si="50"/>
        <v>D-0419</v>
      </c>
      <c r="CI3216" s="1" t="s">
        <v>102</v>
      </c>
    </row>
    <row r="3217" spans="1:87">
      <c r="A3217" t="s">
        <v>4949</v>
      </c>
      <c r="B3217">
        <v>60</v>
      </c>
      <c r="C3217" t="s">
        <v>1024</v>
      </c>
      <c r="D3217" t="s">
        <v>291</v>
      </c>
      <c r="E3217" t="s">
        <v>642</v>
      </c>
      <c r="F3217" t="s">
        <v>661</v>
      </c>
      <c r="G3217" t="s">
        <v>3084</v>
      </c>
      <c r="W3217">
        <v>60</v>
      </c>
      <c r="CH3217" t="str">
        <f t="shared" si="50"/>
        <v>D-0419</v>
      </c>
      <c r="CI3217" s="1" t="s">
        <v>102</v>
      </c>
    </row>
    <row r="3218" spans="1:87">
      <c r="A3218" t="s">
        <v>4950</v>
      </c>
      <c r="B3218">
        <v>42</v>
      </c>
      <c r="C3218" t="s">
        <v>1024</v>
      </c>
      <c r="D3218" t="s">
        <v>291</v>
      </c>
      <c r="E3218" t="s">
        <v>642</v>
      </c>
      <c r="F3218" t="s">
        <v>661</v>
      </c>
      <c r="G3218" t="s">
        <v>3084</v>
      </c>
      <c r="V3218">
        <v>42</v>
      </c>
      <c r="CH3218" t="str">
        <f t="shared" si="50"/>
        <v>D-0419</v>
      </c>
      <c r="CI3218" s="1" t="s">
        <v>102</v>
      </c>
    </row>
    <row r="3219" spans="1:87">
      <c r="A3219" t="s">
        <v>4951</v>
      </c>
      <c r="B3219">
        <v>95</v>
      </c>
      <c r="C3219" t="s">
        <v>1024</v>
      </c>
      <c r="D3219" t="s">
        <v>291</v>
      </c>
      <c r="E3219" t="s">
        <v>642</v>
      </c>
      <c r="F3219" t="s">
        <v>661</v>
      </c>
      <c r="G3219" t="s">
        <v>3084</v>
      </c>
      <c r="U3219">
        <v>95</v>
      </c>
      <c r="CH3219" t="str">
        <f t="shared" si="50"/>
        <v>D-0419</v>
      </c>
      <c r="CI3219" s="1" t="s">
        <v>102</v>
      </c>
    </row>
    <row r="3220" spans="1:87">
      <c r="A3220" t="s">
        <v>4952</v>
      </c>
      <c r="B3220">
        <v>108</v>
      </c>
      <c r="C3220" t="s">
        <v>1024</v>
      </c>
      <c r="D3220" t="s">
        <v>291</v>
      </c>
      <c r="E3220" t="s">
        <v>642</v>
      </c>
      <c r="F3220" t="s">
        <v>661</v>
      </c>
      <c r="G3220" t="s">
        <v>3084</v>
      </c>
      <c r="T3220">
        <v>108</v>
      </c>
      <c r="CH3220" t="str">
        <f t="shared" si="50"/>
        <v>D-0419</v>
      </c>
      <c r="CI3220" s="1" t="s">
        <v>102</v>
      </c>
    </row>
    <row r="3221" spans="1:87">
      <c r="A3221" t="s">
        <v>4953</v>
      </c>
      <c r="B3221">
        <v>54</v>
      </c>
      <c r="C3221" t="s">
        <v>1024</v>
      </c>
      <c r="D3221" t="s">
        <v>291</v>
      </c>
      <c r="E3221" t="s">
        <v>642</v>
      </c>
      <c r="F3221" t="s">
        <v>661</v>
      </c>
      <c r="G3221" t="s">
        <v>3084</v>
      </c>
      <c r="S3221">
        <v>54</v>
      </c>
      <c r="CH3221" t="str">
        <f t="shared" si="50"/>
        <v>D-0419</v>
      </c>
      <c r="CI3221" s="1" t="s">
        <v>102</v>
      </c>
    </row>
    <row r="3222" spans="1:87">
      <c r="A3222" t="s">
        <v>4954</v>
      </c>
      <c r="B3222">
        <v>68</v>
      </c>
      <c r="C3222" t="s">
        <v>1024</v>
      </c>
      <c r="D3222" t="s">
        <v>291</v>
      </c>
      <c r="E3222" t="s">
        <v>642</v>
      </c>
      <c r="F3222" t="s">
        <v>661</v>
      </c>
      <c r="G3222" t="s">
        <v>3084</v>
      </c>
      <c r="R3222">
        <v>68</v>
      </c>
      <c r="CH3222" t="str">
        <f t="shared" si="50"/>
        <v>D-0419</v>
      </c>
      <c r="CI3222" s="1" t="s">
        <v>102</v>
      </c>
    </row>
    <row r="3223" spans="1:87">
      <c r="A3223" t="s">
        <v>4955</v>
      </c>
      <c r="B3223">
        <v>48</v>
      </c>
      <c r="C3223" t="s">
        <v>1024</v>
      </c>
      <c r="D3223" t="s">
        <v>291</v>
      </c>
      <c r="E3223" t="s">
        <v>642</v>
      </c>
      <c r="F3223" t="s">
        <v>661</v>
      </c>
      <c r="G3223" t="s">
        <v>3084</v>
      </c>
      <c r="Q3223">
        <v>48</v>
      </c>
      <c r="CH3223" t="str">
        <f t="shared" si="50"/>
        <v>D-0419</v>
      </c>
      <c r="CI3223" s="1" t="s">
        <v>102</v>
      </c>
    </row>
    <row r="3224" spans="1:87">
      <c r="A3224" t="s">
        <v>4956</v>
      </c>
      <c r="B3224">
        <v>6</v>
      </c>
      <c r="C3224" t="s">
        <v>1024</v>
      </c>
      <c r="D3224" t="s">
        <v>291</v>
      </c>
      <c r="E3224" t="s">
        <v>642</v>
      </c>
      <c r="F3224" t="s">
        <v>661</v>
      </c>
      <c r="G3224" t="s">
        <v>3084</v>
      </c>
      <c r="P3224">
        <v>6</v>
      </c>
      <c r="CH3224" t="str">
        <f t="shared" si="50"/>
        <v>D-0419</v>
      </c>
      <c r="CI3224" s="1" t="s">
        <v>102</v>
      </c>
    </row>
    <row r="3225" spans="1:87">
      <c r="A3225" t="s">
        <v>4957</v>
      </c>
      <c r="B3225">
        <v>30</v>
      </c>
      <c r="C3225" t="s">
        <v>951</v>
      </c>
      <c r="D3225" t="s">
        <v>233</v>
      </c>
      <c r="E3225" t="s">
        <v>642</v>
      </c>
      <c r="F3225" t="s">
        <v>657</v>
      </c>
      <c r="G3225" t="s">
        <v>952</v>
      </c>
      <c r="AD3225">
        <v>30</v>
      </c>
      <c r="CH3225" t="str">
        <f t="shared" si="50"/>
        <v>D-0265</v>
      </c>
      <c r="CI3225" s="1" t="s">
        <v>102</v>
      </c>
    </row>
    <row r="3226" spans="1:87">
      <c r="A3226" t="s">
        <v>4958</v>
      </c>
      <c r="B3226">
        <v>30</v>
      </c>
      <c r="C3226" t="s">
        <v>951</v>
      </c>
      <c r="D3226" t="s">
        <v>233</v>
      </c>
      <c r="E3226" t="s">
        <v>642</v>
      </c>
      <c r="F3226" t="s">
        <v>657</v>
      </c>
      <c r="G3226" t="s">
        <v>952</v>
      </c>
      <c r="AC3226">
        <v>30</v>
      </c>
      <c r="CH3226" t="str">
        <f t="shared" si="50"/>
        <v>D-0265</v>
      </c>
      <c r="CI3226" s="1" t="s">
        <v>102</v>
      </c>
    </row>
    <row r="3227" spans="1:87">
      <c r="A3227" t="s">
        <v>4959</v>
      </c>
      <c r="B3227">
        <v>30</v>
      </c>
      <c r="C3227" t="s">
        <v>951</v>
      </c>
      <c r="D3227" t="s">
        <v>233</v>
      </c>
      <c r="E3227" t="s">
        <v>642</v>
      </c>
      <c r="F3227" t="s">
        <v>657</v>
      </c>
      <c r="G3227" t="s">
        <v>952</v>
      </c>
      <c r="AB3227">
        <v>30</v>
      </c>
      <c r="CH3227" t="str">
        <f t="shared" si="50"/>
        <v>D-0265</v>
      </c>
      <c r="CI3227" s="1" t="s">
        <v>102</v>
      </c>
    </row>
    <row r="3228" spans="1:87">
      <c r="A3228" t="s">
        <v>4960</v>
      </c>
      <c r="B3228">
        <v>32</v>
      </c>
      <c r="C3228" t="s">
        <v>951</v>
      </c>
      <c r="D3228" t="s">
        <v>233</v>
      </c>
      <c r="E3228" t="s">
        <v>642</v>
      </c>
      <c r="F3228" t="s">
        <v>657</v>
      </c>
      <c r="G3228" t="s">
        <v>952</v>
      </c>
      <c r="AA3228">
        <v>32</v>
      </c>
      <c r="CH3228" t="str">
        <f t="shared" si="50"/>
        <v>D-0265</v>
      </c>
      <c r="CI3228" s="1" t="s">
        <v>102</v>
      </c>
    </row>
    <row r="3229" spans="1:87">
      <c r="A3229" t="s">
        <v>4961</v>
      </c>
      <c r="B3229">
        <v>39</v>
      </c>
      <c r="C3229" t="s">
        <v>951</v>
      </c>
      <c r="D3229" t="s">
        <v>233</v>
      </c>
      <c r="E3229" t="s">
        <v>642</v>
      </c>
      <c r="F3229" t="s">
        <v>657</v>
      </c>
      <c r="G3229" t="s">
        <v>952</v>
      </c>
      <c r="Z3229">
        <v>39</v>
      </c>
      <c r="CH3229" t="str">
        <f t="shared" si="50"/>
        <v>D-0265</v>
      </c>
      <c r="CI3229" s="1" t="s">
        <v>102</v>
      </c>
    </row>
    <row r="3230" spans="1:87">
      <c r="A3230" t="s">
        <v>4962</v>
      </c>
      <c r="B3230">
        <v>46</v>
      </c>
      <c r="C3230" t="s">
        <v>951</v>
      </c>
      <c r="D3230" t="s">
        <v>233</v>
      </c>
      <c r="E3230" t="s">
        <v>642</v>
      </c>
      <c r="F3230" t="s">
        <v>657</v>
      </c>
      <c r="G3230" t="s">
        <v>952</v>
      </c>
      <c r="Y3230">
        <v>46</v>
      </c>
      <c r="CH3230" t="str">
        <f t="shared" si="50"/>
        <v>D-0265</v>
      </c>
      <c r="CI3230" s="1" t="s">
        <v>102</v>
      </c>
    </row>
    <row r="3231" spans="1:87">
      <c r="A3231" t="s">
        <v>4963</v>
      </c>
      <c r="B3231">
        <v>7</v>
      </c>
      <c r="C3231" t="s">
        <v>951</v>
      </c>
      <c r="D3231" t="s">
        <v>233</v>
      </c>
      <c r="E3231" t="s">
        <v>642</v>
      </c>
      <c r="F3231" t="s">
        <v>657</v>
      </c>
      <c r="G3231" t="s">
        <v>952</v>
      </c>
      <c r="P3231">
        <v>7</v>
      </c>
      <c r="CH3231" t="str">
        <f t="shared" si="50"/>
        <v>D-0265</v>
      </c>
      <c r="CI3231" s="1" t="s">
        <v>102</v>
      </c>
    </row>
    <row r="3232" spans="1:87">
      <c r="A3232" t="s">
        <v>4964</v>
      </c>
      <c r="B3232">
        <v>7811</v>
      </c>
      <c r="C3232" t="s">
        <v>734</v>
      </c>
      <c r="D3232" t="s">
        <v>210</v>
      </c>
      <c r="E3232" t="s">
        <v>629</v>
      </c>
      <c r="F3232" t="s">
        <v>633</v>
      </c>
      <c r="G3232" t="s">
        <v>2283</v>
      </c>
      <c r="T3232">
        <v>770</v>
      </c>
      <c r="V3232">
        <v>1383</v>
      </c>
      <c r="W3232">
        <v>952</v>
      </c>
      <c r="X3232">
        <v>1122</v>
      </c>
      <c r="Y3232">
        <v>468</v>
      </c>
      <c r="Z3232">
        <v>670</v>
      </c>
      <c r="AA3232">
        <v>440</v>
      </c>
      <c r="AB3232">
        <v>1144</v>
      </c>
      <c r="AC3232">
        <v>275</v>
      </c>
      <c r="AD3232">
        <v>587</v>
      </c>
      <c r="CH3232" t="str">
        <f t="shared" si="50"/>
        <v>D-0256</v>
      </c>
      <c r="CI3232" s="1" t="s">
        <v>102</v>
      </c>
    </row>
    <row r="3233" spans="1:87">
      <c r="A3233" t="s">
        <v>4965</v>
      </c>
      <c r="B3233">
        <v>267</v>
      </c>
      <c r="C3233" t="s">
        <v>1124</v>
      </c>
      <c r="D3233" t="s">
        <v>1125</v>
      </c>
      <c r="E3233" t="s">
        <v>642</v>
      </c>
      <c r="F3233" t="s">
        <v>672</v>
      </c>
      <c r="G3233" t="s">
        <v>1126</v>
      </c>
      <c r="T3233">
        <v>28</v>
      </c>
      <c r="Z3233">
        <v>239</v>
      </c>
      <c r="CH3233" t="str">
        <f t="shared" si="50"/>
        <v>D-0604</v>
      </c>
      <c r="CI3233" s="1" t="s">
        <v>102</v>
      </c>
    </row>
    <row r="3234" spans="1:87">
      <c r="A3234" t="s">
        <v>4966</v>
      </c>
      <c r="B3234">
        <v>204</v>
      </c>
      <c r="C3234" t="s">
        <v>1124</v>
      </c>
      <c r="D3234" t="s">
        <v>1125</v>
      </c>
      <c r="E3234" t="s">
        <v>642</v>
      </c>
      <c r="F3234" t="s">
        <v>672</v>
      </c>
      <c r="G3234" t="s">
        <v>1126</v>
      </c>
      <c r="P3234">
        <v>11</v>
      </c>
      <c r="R3234">
        <v>70</v>
      </c>
      <c r="T3234">
        <v>81</v>
      </c>
      <c r="Z3234">
        <v>31</v>
      </c>
      <c r="AB3234">
        <v>11</v>
      </c>
      <c r="CH3234" t="str">
        <f t="shared" si="50"/>
        <v>D-0604</v>
      </c>
      <c r="CI3234" s="1" t="s">
        <v>102</v>
      </c>
    </row>
    <row r="3235" spans="1:87">
      <c r="A3235" t="s">
        <v>4967</v>
      </c>
      <c r="B3235">
        <v>604</v>
      </c>
      <c r="C3235" t="s">
        <v>1124</v>
      </c>
      <c r="D3235" t="s">
        <v>1125</v>
      </c>
      <c r="E3235" t="s">
        <v>642</v>
      </c>
      <c r="F3235" t="s">
        <v>672</v>
      </c>
      <c r="G3235" t="s">
        <v>1126</v>
      </c>
      <c r="T3235">
        <v>218</v>
      </c>
      <c r="V3235">
        <v>242</v>
      </c>
      <c r="X3235">
        <v>91</v>
      </c>
      <c r="Z3235">
        <v>47</v>
      </c>
      <c r="AB3235">
        <v>6</v>
      </c>
      <c r="CH3235" t="str">
        <f t="shared" si="50"/>
        <v>D-0604</v>
      </c>
      <c r="CI3235" s="1" t="s">
        <v>102</v>
      </c>
    </row>
    <row r="3236" spans="1:87">
      <c r="A3236" t="s">
        <v>4968</v>
      </c>
      <c r="B3236">
        <v>217</v>
      </c>
      <c r="C3236" t="s">
        <v>1124</v>
      </c>
      <c r="D3236" t="s">
        <v>1125</v>
      </c>
      <c r="E3236" t="s">
        <v>642</v>
      </c>
      <c r="F3236" t="s">
        <v>672</v>
      </c>
      <c r="G3236" t="s">
        <v>1126</v>
      </c>
      <c r="R3236">
        <v>2</v>
      </c>
      <c r="T3236">
        <v>7</v>
      </c>
      <c r="V3236">
        <v>9</v>
      </c>
      <c r="X3236">
        <v>137</v>
      </c>
      <c r="Z3236">
        <v>62</v>
      </c>
      <c r="CH3236" t="str">
        <f t="shared" si="50"/>
        <v>D-0604</v>
      </c>
      <c r="CI3236" s="1" t="s">
        <v>102</v>
      </c>
    </row>
    <row r="3237" spans="1:87">
      <c r="A3237" t="s">
        <v>4969</v>
      </c>
      <c r="B3237">
        <v>203</v>
      </c>
      <c r="C3237" t="s">
        <v>1124</v>
      </c>
      <c r="D3237" t="s">
        <v>1125</v>
      </c>
      <c r="E3237" t="s">
        <v>642</v>
      </c>
      <c r="F3237" t="s">
        <v>672</v>
      </c>
      <c r="G3237" t="s">
        <v>1126</v>
      </c>
      <c r="P3237">
        <v>16</v>
      </c>
      <c r="R3237">
        <v>78</v>
      </c>
      <c r="T3237">
        <v>109</v>
      </c>
      <c r="CH3237" t="str">
        <f t="shared" si="50"/>
        <v>D-0604</v>
      </c>
      <c r="CI3237" s="1" t="s">
        <v>102</v>
      </c>
    </row>
    <row r="3238" spans="1:87">
      <c r="A3238" t="s">
        <v>4970</v>
      </c>
      <c r="B3238">
        <v>199</v>
      </c>
      <c r="C3238" t="s">
        <v>1124</v>
      </c>
      <c r="D3238" t="s">
        <v>1125</v>
      </c>
      <c r="E3238" t="s">
        <v>642</v>
      </c>
      <c r="F3238" t="s">
        <v>672</v>
      </c>
      <c r="G3238" t="s">
        <v>1126</v>
      </c>
      <c r="P3238">
        <v>14</v>
      </c>
      <c r="R3238">
        <v>64</v>
      </c>
      <c r="T3238">
        <v>3</v>
      </c>
      <c r="X3238">
        <v>83</v>
      </c>
      <c r="Z3238">
        <v>35</v>
      </c>
      <c r="CH3238" t="str">
        <f t="shared" si="50"/>
        <v>D-0604</v>
      </c>
      <c r="CI3238" s="1" t="s">
        <v>102</v>
      </c>
    </row>
    <row r="3239" spans="1:87">
      <c r="A3239" t="s">
        <v>4971</v>
      </c>
      <c r="B3239">
        <v>10</v>
      </c>
      <c r="C3239" t="s">
        <v>1109</v>
      </c>
      <c r="D3239" t="s">
        <v>223</v>
      </c>
      <c r="E3239" t="s">
        <v>629</v>
      </c>
      <c r="F3239" t="s">
        <v>693</v>
      </c>
      <c r="G3239" t="s">
        <v>2469</v>
      </c>
      <c r="S3239">
        <v>2</v>
      </c>
      <c r="U3239">
        <v>2</v>
      </c>
      <c r="W3239">
        <v>2</v>
      </c>
      <c r="Y3239">
        <v>2</v>
      </c>
      <c r="AA3239">
        <v>2</v>
      </c>
      <c r="CH3239" t="str">
        <f t="shared" si="50"/>
        <v>D-0263</v>
      </c>
      <c r="CI3239" s="1" t="s">
        <v>102</v>
      </c>
    </row>
    <row r="3240" spans="1:87">
      <c r="A3240" t="s">
        <v>4972</v>
      </c>
      <c r="B3240">
        <v>1518</v>
      </c>
      <c r="C3240" t="s">
        <v>944</v>
      </c>
      <c r="D3240" t="s">
        <v>464</v>
      </c>
      <c r="E3240" t="s">
        <v>629</v>
      </c>
      <c r="F3240" t="s">
        <v>942</v>
      </c>
      <c r="G3240" t="s">
        <v>945</v>
      </c>
      <c r="N3240">
        <v>12</v>
      </c>
      <c r="O3240">
        <v>24</v>
      </c>
      <c r="P3240">
        <v>96</v>
      </c>
      <c r="Q3240">
        <v>180</v>
      </c>
      <c r="R3240">
        <v>180</v>
      </c>
      <c r="S3240">
        <v>186</v>
      </c>
      <c r="T3240">
        <v>126</v>
      </c>
      <c r="U3240">
        <v>102</v>
      </c>
      <c r="V3240">
        <v>60</v>
      </c>
      <c r="W3240">
        <v>90</v>
      </c>
      <c r="X3240">
        <v>102</v>
      </c>
      <c r="Y3240">
        <v>120</v>
      </c>
      <c r="Z3240">
        <v>90</v>
      </c>
      <c r="AA3240">
        <v>78</v>
      </c>
      <c r="AB3240">
        <v>48</v>
      </c>
      <c r="AD3240">
        <v>24</v>
      </c>
      <c r="CH3240" t="str">
        <f t="shared" si="50"/>
        <v>JVC6-027-1</v>
      </c>
      <c r="CI3240" s="1" t="s">
        <v>102</v>
      </c>
    </row>
    <row r="3241" spans="1:87">
      <c r="A3241" t="s">
        <v>4973</v>
      </c>
      <c r="B3241">
        <v>984</v>
      </c>
      <c r="C3241" t="s">
        <v>1163</v>
      </c>
      <c r="D3241" t="s">
        <v>457</v>
      </c>
      <c r="E3241" t="s">
        <v>629</v>
      </c>
      <c r="F3241" t="s">
        <v>672</v>
      </c>
      <c r="G3241" t="s">
        <v>688</v>
      </c>
      <c r="N3241">
        <v>24</v>
      </c>
      <c r="O3241">
        <v>60</v>
      </c>
      <c r="P3241">
        <v>90</v>
      </c>
      <c r="Q3241">
        <v>144</v>
      </c>
      <c r="R3241">
        <v>150</v>
      </c>
      <c r="S3241">
        <v>150</v>
      </c>
      <c r="T3241">
        <v>120</v>
      </c>
      <c r="U3241">
        <v>96</v>
      </c>
      <c r="V3241">
        <v>72</v>
      </c>
      <c r="W3241">
        <v>60</v>
      </c>
      <c r="Y3241">
        <v>18</v>
      </c>
      <c r="CH3241" t="str">
        <f t="shared" si="50"/>
        <v>JV1-0695-3</v>
      </c>
      <c r="CI3241" s="1" t="s">
        <v>102</v>
      </c>
    </row>
    <row r="3242" spans="1:87">
      <c r="A3242" t="s">
        <v>4974</v>
      </c>
      <c r="B3242">
        <v>738</v>
      </c>
      <c r="C3242" t="s">
        <v>712</v>
      </c>
      <c r="D3242" t="s">
        <v>457</v>
      </c>
      <c r="E3242" t="s">
        <v>629</v>
      </c>
      <c r="F3242" t="s">
        <v>672</v>
      </c>
      <c r="G3242" t="s">
        <v>713</v>
      </c>
      <c r="N3242">
        <v>18</v>
      </c>
      <c r="O3242">
        <v>48</v>
      </c>
      <c r="P3242">
        <v>66</v>
      </c>
      <c r="Q3242">
        <v>108</v>
      </c>
      <c r="R3242">
        <v>114</v>
      </c>
      <c r="S3242">
        <v>114</v>
      </c>
      <c r="T3242">
        <v>90</v>
      </c>
      <c r="U3242">
        <v>72</v>
      </c>
      <c r="V3242">
        <v>54</v>
      </c>
      <c r="W3242">
        <v>42</v>
      </c>
      <c r="Y3242">
        <v>12</v>
      </c>
      <c r="CH3242" t="str">
        <f t="shared" si="50"/>
        <v>JV1-0695-3</v>
      </c>
      <c r="CI3242" s="1" t="s">
        <v>102</v>
      </c>
    </row>
    <row r="3243" spans="1:87">
      <c r="A3243" t="s">
        <v>4975</v>
      </c>
      <c r="B3243">
        <v>61</v>
      </c>
      <c r="C3243" t="s">
        <v>1491</v>
      </c>
      <c r="D3243" t="s">
        <v>142</v>
      </c>
      <c r="E3243" t="s">
        <v>629</v>
      </c>
      <c r="F3243" t="s">
        <v>1467</v>
      </c>
      <c r="G3243" t="s">
        <v>1492</v>
      </c>
      <c r="X3243">
        <v>61</v>
      </c>
      <c r="CH3243" t="str">
        <f t="shared" si="50"/>
        <v>D-0077</v>
      </c>
      <c r="CI3243" s="1" t="s">
        <v>102</v>
      </c>
    </row>
    <row r="3244" spans="1:87">
      <c r="A3244" t="s">
        <v>4976</v>
      </c>
      <c r="B3244">
        <v>18</v>
      </c>
      <c r="C3244" t="s">
        <v>1491</v>
      </c>
      <c r="D3244" t="s">
        <v>142</v>
      </c>
      <c r="E3244" t="s">
        <v>629</v>
      </c>
      <c r="F3244" t="s">
        <v>1467</v>
      </c>
      <c r="G3244" t="s">
        <v>1492</v>
      </c>
      <c r="T3244">
        <v>18</v>
      </c>
      <c r="CH3244" t="str">
        <f t="shared" si="50"/>
        <v>D-0077</v>
      </c>
      <c r="CI3244" s="1" t="s">
        <v>102</v>
      </c>
    </row>
    <row r="3245" spans="1:87">
      <c r="A3245" t="s">
        <v>4977</v>
      </c>
      <c r="B3245">
        <v>25</v>
      </c>
      <c r="C3245" t="s">
        <v>1491</v>
      </c>
      <c r="D3245" t="s">
        <v>142</v>
      </c>
      <c r="E3245" t="s">
        <v>629</v>
      </c>
      <c r="F3245" t="s">
        <v>1467</v>
      </c>
      <c r="G3245" t="s">
        <v>1492</v>
      </c>
      <c r="U3245">
        <v>25</v>
      </c>
      <c r="CH3245" t="str">
        <f t="shared" si="50"/>
        <v>D-0077</v>
      </c>
      <c r="CI3245" s="1" t="s">
        <v>102</v>
      </c>
    </row>
    <row r="3246" spans="1:87">
      <c r="A3246" t="s">
        <v>4978</v>
      </c>
      <c r="B3246">
        <v>33</v>
      </c>
      <c r="C3246" t="s">
        <v>1491</v>
      </c>
      <c r="D3246" t="s">
        <v>142</v>
      </c>
      <c r="E3246" t="s">
        <v>629</v>
      </c>
      <c r="F3246" t="s">
        <v>1467</v>
      </c>
      <c r="G3246" t="s">
        <v>1492</v>
      </c>
      <c r="V3246">
        <v>33</v>
      </c>
      <c r="CH3246" t="str">
        <f t="shared" si="50"/>
        <v>D-0077</v>
      </c>
      <c r="CI3246" s="1" t="s">
        <v>102</v>
      </c>
    </row>
    <row r="3247" spans="1:87">
      <c r="A3247" t="s">
        <v>4979</v>
      </c>
      <c r="B3247">
        <v>44</v>
      </c>
      <c r="C3247" t="s">
        <v>1491</v>
      </c>
      <c r="D3247" t="s">
        <v>142</v>
      </c>
      <c r="E3247" t="s">
        <v>629</v>
      </c>
      <c r="F3247" t="s">
        <v>1467</v>
      </c>
      <c r="G3247" t="s">
        <v>1492</v>
      </c>
      <c r="W3247">
        <v>44</v>
      </c>
      <c r="CH3247" t="str">
        <f t="shared" si="50"/>
        <v>D-0077</v>
      </c>
      <c r="CI3247" s="1" t="s">
        <v>102</v>
      </c>
    </row>
    <row r="3248" spans="1:87">
      <c r="A3248" t="s">
        <v>4980</v>
      </c>
      <c r="B3248">
        <v>78</v>
      </c>
      <c r="C3248" t="s">
        <v>1491</v>
      </c>
      <c r="D3248" t="s">
        <v>142</v>
      </c>
      <c r="E3248" t="s">
        <v>629</v>
      </c>
      <c r="F3248" t="s">
        <v>1467</v>
      </c>
      <c r="G3248" t="s">
        <v>1492</v>
      </c>
      <c r="Y3248">
        <v>78</v>
      </c>
      <c r="CH3248" t="str">
        <f t="shared" si="50"/>
        <v>D-0077</v>
      </c>
      <c r="CI3248" s="1" t="s">
        <v>102</v>
      </c>
    </row>
    <row r="3249" spans="1:87">
      <c r="A3249" t="s">
        <v>4981</v>
      </c>
      <c r="B3249">
        <v>90</v>
      </c>
      <c r="C3249" t="s">
        <v>1491</v>
      </c>
      <c r="D3249" t="s">
        <v>142</v>
      </c>
      <c r="E3249" t="s">
        <v>629</v>
      </c>
      <c r="F3249" t="s">
        <v>1467</v>
      </c>
      <c r="G3249" t="s">
        <v>1492</v>
      </c>
      <c r="Z3249">
        <v>90</v>
      </c>
      <c r="CH3249" t="str">
        <f t="shared" si="50"/>
        <v>D-0077</v>
      </c>
      <c r="CI3249" s="1" t="s">
        <v>102</v>
      </c>
    </row>
    <row r="3250" spans="1:87">
      <c r="A3250" t="s">
        <v>4982</v>
      </c>
      <c r="B3250">
        <v>116</v>
      </c>
      <c r="C3250" t="s">
        <v>1491</v>
      </c>
      <c r="D3250" t="s">
        <v>142</v>
      </c>
      <c r="E3250" t="s">
        <v>629</v>
      </c>
      <c r="F3250" t="s">
        <v>1467</v>
      </c>
      <c r="G3250" t="s">
        <v>1492</v>
      </c>
      <c r="AA3250">
        <v>116</v>
      </c>
      <c r="CH3250" t="str">
        <f t="shared" si="50"/>
        <v>D-0077</v>
      </c>
      <c r="CI3250" s="1" t="s">
        <v>102</v>
      </c>
    </row>
    <row r="3251" spans="1:87">
      <c r="A3251" t="s">
        <v>4983</v>
      </c>
      <c r="B3251">
        <v>98</v>
      </c>
      <c r="C3251" t="s">
        <v>1491</v>
      </c>
      <c r="D3251" t="s">
        <v>142</v>
      </c>
      <c r="E3251" t="s">
        <v>629</v>
      </c>
      <c r="F3251" t="s">
        <v>1467</v>
      </c>
      <c r="G3251" t="s">
        <v>1492</v>
      </c>
      <c r="AB3251">
        <v>98</v>
      </c>
      <c r="CH3251" t="str">
        <f t="shared" si="50"/>
        <v>D-0077</v>
      </c>
      <c r="CI3251" s="1" t="s">
        <v>102</v>
      </c>
    </row>
    <row r="3252" spans="1:87">
      <c r="A3252" t="s">
        <v>4984</v>
      </c>
      <c r="B3252">
        <v>67</v>
      </c>
      <c r="C3252" t="s">
        <v>1491</v>
      </c>
      <c r="D3252" t="s">
        <v>142</v>
      </c>
      <c r="E3252" t="s">
        <v>629</v>
      </c>
      <c r="F3252" t="s">
        <v>1467</v>
      </c>
      <c r="G3252" t="s">
        <v>1492</v>
      </c>
      <c r="AC3252">
        <v>67</v>
      </c>
      <c r="CH3252" t="str">
        <f t="shared" si="50"/>
        <v>D-0077</v>
      </c>
      <c r="CI3252" s="1" t="s">
        <v>102</v>
      </c>
    </row>
    <row r="3253" spans="1:87">
      <c r="A3253" t="s">
        <v>4985</v>
      </c>
      <c r="B3253">
        <v>73</v>
      </c>
      <c r="C3253" t="s">
        <v>1491</v>
      </c>
      <c r="D3253" t="s">
        <v>142</v>
      </c>
      <c r="E3253" t="s">
        <v>629</v>
      </c>
      <c r="F3253" t="s">
        <v>1467</v>
      </c>
      <c r="G3253" t="s">
        <v>1492</v>
      </c>
      <c r="AD3253">
        <v>73</v>
      </c>
      <c r="CH3253" t="str">
        <f t="shared" si="50"/>
        <v>D-0077</v>
      </c>
      <c r="CI3253" s="1" t="s">
        <v>102</v>
      </c>
    </row>
    <row r="3254" spans="1:87">
      <c r="A3254" t="s">
        <v>4986</v>
      </c>
      <c r="B3254">
        <v>30</v>
      </c>
      <c r="C3254" t="s">
        <v>1491</v>
      </c>
      <c r="D3254" t="s">
        <v>142</v>
      </c>
      <c r="E3254" t="s">
        <v>629</v>
      </c>
      <c r="F3254" t="s">
        <v>1467</v>
      </c>
      <c r="G3254" t="s">
        <v>1492</v>
      </c>
      <c r="AE3254">
        <v>30</v>
      </c>
      <c r="CH3254" t="str">
        <f t="shared" si="50"/>
        <v>D-0077</v>
      </c>
      <c r="CI3254" s="1" t="s">
        <v>102</v>
      </c>
    </row>
    <row r="3255" spans="1:87">
      <c r="A3255" t="s">
        <v>4987</v>
      </c>
      <c r="B3255">
        <v>46</v>
      </c>
      <c r="C3255" t="s">
        <v>1491</v>
      </c>
      <c r="D3255" t="s">
        <v>142</v>
      </c>
      <c r="E3255" t="s">
        <v>629</v>
      </c>
      <c r="F3255" t="s">
        <v>1467</v>
      </c>
      <c r="G3255" t="s">
        <v>1492</v>
      </c>
      <c r="AF3255">
        <v>46</v>
      </c>
      <c r="CH3255" t="str">
        <f t="shared" si="50"/>
        <v>D-0077</v>
      </c>
      <c r="CI3255" s="1" t="s">
        <v>102</v>
      </c>
    </row>
    <row r="3256" spans="1:87">
      <c r="A3256" t="s">
        <v>4988</v>
      </c>
      <c r="B3256">
        <v>20</v>
      </c>
      <c r="C3256" t="s">
        <v>1491</v>
      </c>
      <c r="D3256" t="s">
        <v>142</v>
      </c>
      <c r="E3256" t="s">
        <v>629</v>
      </c>
      <c r="F3256" t="s">
        <v>1467</v>
      </c>
      <c r="G3256" t="s">
        <v>1492</v>
      </c>
      <c r="AH3256">
        <v>20</v>
      </c>
      <c r="CH3256" t="str">
        <f t="shared" si="50"/>
        <v>D-0077</v>
      </c>
      <c r="CI3256" s="1" t="s">
        <v>102</v>
      </c>
    </row>
    <row r="3257" spans="1:87">
      <c r="A3257" t="s">
        <v>4989</v>
      </c>
      <c r="B3257">
        <v>135</v>
      </c>
      <c r="C3257" t="s">
        <v>1465</v>
      </c>
      <c r="D3257" t="s">
        <v>1466</v>
      </c>
      <c r="E3257" t="s">
        <v>642</v>
      </c>
      <c r="F3257" t="s">
        <v>1467</v>
      </c>
      <c r="G3257" t="s">
        <v>1468</v>
      </c>
      <c r="U3257">
        <v>135</v>
      </c>
      <c r="CH3257" t="str">
        <f t="shared" si="50"/>
        <v>D-0078</v>
      </c>
      <c r="CI3257" s="1" t="s">
        <v>102</v>
      </c>
    </row>
    <row r="3258" spans="1:87">
      <c r="A3258" t="s">
        <v>4990</v>
      </c>
      <c r="B3258">
        <v>104</v>
      </c>
      <c r="C3258" t="s">
        <v>1465</v>
      </c>
      <c r="D3258" t="s">
        <v>1466</v>
      </c>
      <c r="E3258" t="s">
        <v>642</v>
      </c>
      <c r="F3258" t="s">
        <v>1467</v>
      </c>
      <c r="G3258" t="s">
        <v>1468</v>
      </c>
      <c r="T3258">
        <v>104</v>
      </c>
      <c r="CH3258" t="str">
        <f t="shared" si="50"/>
        <v>D-0078</v>
      </c>
      <c r="CI3258" s="1" t="s">
        <v>102</v>
      </c>
    </row>
    <row r="3259" spans="1:87">
      <c r="A3259" t="s">
        <v>4991</v>
      </c>
      <c r="B3259">
        <v>4</v>
      </c>
      <c r="C3259" t="s">
        <v>1465</v>
      </c>
      <c r="D3259" t="s">
        <v>1466</v>
      </c>
      <c r="E3259" t="s">
        <v>642</v>
      </c>
      <c r="F3259" t="s">
        <v>1467</v>
      </c>
      <c r="G3259" t="s">
        <v>1468</v>
      </c>
      <c r="P3259">
        <v>4</v>
      </c>
      <c r="CH3259" t="str">
        <f t="shared" si="50"/>
        <v>D-0078</v>
      </c>
      <c r="CI3259" s="1" t="s">
        <v>102</v>
      </c>
    </row>
    <row r="3260" spans="1:87">
      <c r="A3260" t="s">
        <v>4992</v>
      </c>
      <c r="B3260">
        <v>8</v>
      </c>
      <c r="C3260" t="s">
        <v>1465</v>
      </c>
      <c r="D3260" t="s">
        <v>1466</v>
      </c>
      <c r="E3260" t="s">
        <v>642</v>
      </c>
      <c r="F3260" t="s">
        <v>1467</v>
      </c>
      <c r="G3260" t="s">
        <v>1468</v>
      </c>
      <c r="Q3260">
        <v>8</v>
      </c>
      <c r="CH3260" t="str">
        <f t="shared" si="50"/>
        <v>D-0078</v>
      </c>
      <c r="CI3260" s="1" t="s">
        <v>102</v>
      </c>
    </row>
    <row r="3261" spans="1:87">
      <c r="A3261" t="s">
        <v>4993</v>
      </c>
      <c r="B3261">
        <v>34</v>
      </c>
      <c r="C3261" t="s">
        <v>1465</v>
      </c>
      <c r="D3261" t="s">
        <v>1466</v>
      </c>
      <c r="E3261" t="s">
        <v>642</v>
      </c>
      <c r="F3261" t="s">
        <v>1467</v>
      </c>
      <c r="G3261" t="s">
        <v>1468</v>
      </c>
      <c r="R3261">
        <v>34</v>
      </c>
      <c r="CH3261" t="str">
        <f t="shared" si="50"/>
        <v>D-0078</v>
      </c>
      <c r="CI3261" s="1" t="s">
        <v>102</v>
      </c>
    </row>
    <row r="3262" spans="1:87">
      <c r="A3262" t="s">
        <v>4994</v>
      </c>
      <c r="B3262">
        <v>59</v>
      </c>
      <c r="C3262" t="s">
        <v>1465</v>
      </c>
      <c r="D3262" t="s">
        <v>1466</v>
      </c>
      <c r="E3262" t="s">
        <v>642</v>
      </c>
      <c r="F3262" t="s">
        <v>1467</v>
      </c>
      <c r="G3262" t="s">
        <v>1468</v>
      </c>
      <c r="S3262">
        <v>59</v>
      </c>
      <c r="CH3262" t="str">
        <f t="shared" si="50"/>
        <v>D-0078</v>
      </c>
      <c r="CI3262" s="1" t="s">
        <v>102</v>
      </c>
    </row>
    <row r="3263" spans="1:87">
      <c r="A3263" t="s">
        <v>4995</v>
      </c>
      <c r="B3263">
        <v>168</v>
      </c>
      <c r="C3263" t="s">
        <v>1465</v>
      </c>
      <c r="D3263" t="s">
        <v>1466</v>
      </c>
      <c r="E3263" t="s">
        <v>642</v>
      </c>
      <c r="F3263" t="s">
        <v>1467</v>
      </c>
      <c r="G3263" t="s">
        <v>1468</v>
      </c>
      <c r="V3263">
        <v>168</v>
      </c>
      <c r="CH3263" t="str">
        <f t="shared" si="50"/>
        <v>D-0078</v>
      </c>
      <c r="CI3263" s="1" t="s">
        <v>102</v>
      </c>
    </row>
    <row r="3264" spans="1:87">
      <c r="A3264" t="s">
        <v>4996</v>
      </c>
      <c r="B3264">
        <v>160</v>
      </c>
      <c r="C3264" t="s">
        <v>1465</v>
      </c>
      <c r="D3264" t="s">
        <v>1466</v>
      </c>
      <c r="E3264" t="s">
        <v>642</v>
      </c>
      <c r="F3264" t="s">
        <v>1467</v>
      </c>
      <c r="G3264" t="s">
        <v>1468</v>
      </c>
      <c r="W3264">
        <v>160</v>
      </c>
      <c r="CH3264" t="str">
        <f t="shared" si="50"/>
        <v>D-0078</v>
      </c>
      <c r="CI3264" s="1" t="s">
        <v>102</v>
      </c>
    </row>
    <row r="3265" spans="1:87">
      <c r="A3265" t="s">
        <v>4997</v>
      </c>
      <c r="B3265">
        <v>145</v>
      </c>
      <c r="C3265" t="s">
        <v>1465</v>
      </c>
      <c r="D3265" t="s">
        <v>1466</v>
      </c>
      <c r="E3265" t="s">
        <v>642</v>
      </c>
      <c r="F3265" t="s">
        <v>1467</v>
      </c>
      <c r="G3265" t="s">
        <v>1468</v>
      </c>
      <c r="X3265">
        <v>145</v>
      </c>
      <c r="CH3265" t="str">
        <f t="shared" si="50"/>
        <v>D-0078</v>
      </c>
      <c r="CI3265" s="1" t="s">
        <v>102</v>
      </c>
    </row>
    <row r="3266" spans="1:87">
      <c r="A3266" t="s">
        <v>4998</v>
      </c>
      <c r="B3266">
        <v>112</v>
      </c>
      <c r="C3266" t="s">
        <v>1465</v>
      </c>
      <c r="D3266" t="s">
        <v>1466</v>
      </c>
      <c r="E3266" t="s">
        <v>642</v>
      </c>
      <c r="F3266" t="s">
        <v>1467</v>
      </c>
      <c r="G3266" t="s">
        <v>1468</v>
      </c>
      <c r="Y3266">
        <v>112</v>
      </c>
      <c r="CH3266" t="str">
        <f t="shared" ref="CH3266:CH3329" si="51">TRIM(IFERROR(IFERROR(MID($D3266,FIND("(D-",$D3266)+1,6),LEFT($D3266,FIND("(",$D3266)-1)),$D3266))</f>
        <v>D-0078</v>
      </c>
      <c r="CI3266" s="1" t="s">
        <v>102</v>
      </c>
    </row>
    <row r="3267" spans="1:87">
      <c r="A3267" t="s">
        <v>4999</v>
      </c>
      <c r="B3267">
        <v>61</v>
      </c>
      <c r="C3267" t="s">
        <v>1465</v>
      </c>
      <c r="D3267" t="s">
        <v>1466</v>
      </c>
      <c r="E3267" t="s">
        <v>642</v>
      </c>
      <c r="F3267" t="s">
        <v>1467</v>
      </c>
      <c r="G3267" t="s">
        <v>1468</v>
      </c>
      <c r="Z3267">
        <v>61</v>
      </c>
      <c r="CH3267" t="str">
        <f t="shared" si="51"/>
        <v>D-0078</v>
      </c>
      <c r="CI3267" s="1" t="s">
        <v>102</v>
      </c>
    </row>
    <row r="3268" spans="1:87">
      <c r="A3268" t="s">
        <v>5000</v>
      </c>
      <c r="B3268">
        <v>8</v>
      </c>
      <c r="C3268" t="s">
        <v>1465</v>
      </c>
      <c r="D3268" t="s">
        <v>1466</v>
      </c>
      <c r="E3268" t="s">
        <v>642</v>
      </c>
      <c r="F3268" t="s">
        <v>1467</v>
      </c>
      <c r="G3268" t="s">
        <v>1468</v>
      </c>
      <c r="AA3268">
        <v>8</v>
      </c>
      <c r="CH3268" t="str">
        <f t="shared" si="51"/>
        <v>D-0078</v>
      </c>
      <c r="CI3268" s="1" t="s">
        <v>102</v>
      </c>
    </row>
    <row r="3269" spans="1:87">
      <c r="A3269" t="s">
        <v>5001</v>
      </c>
      <c r="B3269">
        <v>7</v>
      </c>
      <c r="C3269" t="s">
        <v>1465</v>
      </c>
      <c r="D3269" t="s">
        <v>1466</v>
      </c>
      <c r="E3269" t="s">
        <v>642</v>
      </c>
      <c r="F3269" t="s">
        <v>1467</v>
      </c>
      <c r="G3269" t="s">
        <v>1468</v>
      </c>
      <c r="AB3269">
        <v>7</v>
      </c>
      <c r="CH3269" t="str">
        <f t="shared" si="51"/>
        <v>D-0078</v>
      </c>
      <c r="CI3269" s="1" t="s">
        <v>102</v>
      </c>
    </row>
    <row r="3270" spans="1:87">
      <c r="A3270" t="s">
        <v>5002</v>
      </c>
      <c r="B3270">
        <v>1</v>
      </c>
      <c r="C3270" t="s">
        <v>1465</v>
      </c>
      <c r="D3270" t="s">
        <v>1466</v>
      </c>
      <c r="E3270" t="s">
        <v>642</v>
      </c>
      <c r="F3270" t="s">
        <v>1467</v>
      </c>
      <c r="G3270" t="s">
        <v>1468</v>
      </c>
      <c r="AD3270">
        <v>1</v>
      </c>
      <c r="CH3270" t="str">
        <f t="shared" si="51"/>
        <v>D-0078</v>
      </c>
      <c r="CI3270" s="1" t="s">
        <v>102</v>
      </c>
    </row>
    <row r="3271" spans="1:87">
      <c r="A3271" t="s">
        <v>5003</v>
      </c>
      <c r="B3271">
        <v>229</v>
      </c>
      <c r="C3271" t="s">
        <v>1481</v>
      </c>
      <c r="D3271" t="s">
        <v>1466</v>
      </c>
      <c r="E3271" t="s">
        <v>642</v>
      </c>
      <c r="F3271" t="s">
        <v>1467</v>
      </c>
      <c r="G3271" t="s">
        <v>1482</v>
      </c>
      <c r="T3271">
        <v>229</v>
      </c>
      <c r="CH3271" t="str">
        <f t="shared" si="51"/>
        <v>D-0078</v>
      </c>
      <c r="CI3271" s="1" t="s">
        <v>102</v>
      </c>
    </row>
    <row r="3272" spans="1:87">
      <c r="A3272" t="s">
        <v>5004</v>
      </c>
      <c r="B3272">
        <v>163</v>
      </c>
      <c r="C3272" t="s">
        <v>1481</v>
      </c>
      <c r="D3272" t="s">
        <v>1466</v>
      </c>
      <c r="E3272" t="s">
        <v>642</v>
      </c>
      <c r="F3272" t="s">
        <v>1467</v>
      </c>
      <c r="G3272" t="s">
        <v>1482</v>
      </c>
      <c r="R3272">
        <v>163</v>
      </c>
      <c r="CH3272" t="str">
        <f t="shared" si="51"/>
        <v>D-0078</v>
      </c>
      <c r="CI3272" s="1" t="s">
        <v>102</v>
      </c>
    </row>
    <row r="3273" spans="1:87">
      <c r="A3273" t="s">
        <v>5005</v>
      </c>
      <c r="B3273">
        <v>187</v>
      </c>
      <c r="C3273" t="s">
        <v>1481</v>
      </c>
      <c r="D3273" t="s">
        <v>1466</v>
      </c>
      <c r="E3273" t="s">
        <v>642</v>
      </c>
      <c r="F3273" t="s">
        <v>1467</v>
      </c>
      <c r="G3273" t="s">
        <v>1482</v>
      </c>
      <c r="S3273">
        <v>187</v>
      </c>
      <c r="CH3273" t="str">
        <f t="shared" si="51"/>
        <v>D-0078</v>
      </c>
      <c r="CI3273" s="1" t="s">
        <v>102</v>
      </c>
    </row>
    <row r="3274" spans="1:87">
      <c r="A3274" t="s">
        <v>5006</v>
      </c>
      <c r="B3274">
        <v>262</v>
      </c>
      <c r="C3274" t="s">
        <v>1481</v>
      </c>
      <c r="D3274" t="s">
        <v>1466</v>
      </c>
      <c r="E3274" t="s">
        <v>642</v>
      </c>
      <c r="F3274" t="s">
        <v>1467</v>
      </c>
      <c r="G3274" t="s">
        <v>1482</v>
      </c>
      <c r="U3274">
        <v>262</v>
      </c>
      <c r="CH3274" t="str">
        <f t="shared" si="51"/>
        <v>D-0078</v>
      </c>
      <c r="CI3274" s="1" t="s">
        <v>102</v>
      </c>
    </row>
    <row r="3275" spans="1:87">
      <c r="A3275" t="s">
        <v>5007</v>
      </c>
      <c r="B3275">
        <v>292</v>
      </c>
      <c r="C3275" t="s">
        <v>1481</v>
      </c>
      <c r="D3275" t="s">
        <v>1466</v>
      </c>
      <c r="E3275" t="s">
        <v>642</v>
      </c>
      <c r="F3275" t="s">
        <v>1467</v>
      </c>
      <c r="G3275" t="s">
        <v>1482</v>
      </c>
      <c r="V3275">
        <v>292</v>
      </c>
      <c r="CH3275" t="str">
        <f t="shared" si="51"/>
        <v>D-0078</v>
      </c>
      <c r="CI3275" s="1" t="s">
        <v>102</v>
      </c>
    </row>
    <row r="3276" spans="1:87">
      <c r="A3276" t="s">
        <v>5008</v>
      </c>
      <c r="B3276">
        <v>288</v>
      </c>
      <c r="C3276" t="s">
        <v>1481</v>
      </c>
      <c r="D3276" t="s">
        <v>1466</v>
      </c>
      <c r="E3276" t="s">
        <v>642</v>
      </c>
      <c r="F3276" t="s">
        <v>1467</v>
      </c>
      <c r="G3276" t="s">
        <v>1482</v>
      </c>
      <c r="W3276">
        <v>288</v>
      </c>
      <c r="CH3276" t="str">
        <f t="shared" si="51"/>
        <v>D-0078</v>
      </c>
      <c r="CI3276" s="1" t="s">
        <v>102</v>
      </c>
    </row>
    <row r="3277" spans="1:87">
      <c r="A3277" t="s">
        <v>5009</v>
      </c>
      <c r="B3277">
        <v>274</v>
      </c>
      <c r="C3277" t="s">
        <v>1481</v>
      </c>
      <c r="D3277" t="s">
        <v>1466</v>
      </c>
      <c r="E3277" t="s">
        <v>642</v>
      </c>
      <c r="F3277" t="s">
        <v>1467</v>
      </c>
      <c r="G3277" t="s">
        <v>1482</v>
      </c>
      <c r="X3277">
        <v>274</v>
      </c>
      <c r="CH3277" t="str">
        <f t="shared" si="51"/>
        <v>D-0078</v>
      </c>
      <c r="CI3277" s="1" t="s">
        <v>102</v>
      </c>
    </row>
    <row r="3278" spans="1:87">
      <c r="A3278" t="s">
        <v>5010</v>
      </c>
      <c r="B3278">
        <v>240</v>
      </c>
      <c r="C3278" t="s">
        <v>1481</v>
      </c>
      <c r="D3278" t="s">
        <v>1466</v>
      </c>
      <c r="E3278" t="s">
        <v>642</v>
      </c>
      <c r="F3278" t="s">
        <v>1467</v>
      </c>
      <c r="G3278" t="s">
        <v>1482</v>
      </c>
      <c r="Y3278">
        <v>240</v>
      </c>
      <c r="CH3278" t="str">
        <f t="shared" si="51"/>
        <v>D-0078</v>
      </c>
      <c r="CI3278" s="1" t="s">
        <v>102</v>
      </c>
    </row>
    <row r="3279" spans="1:87">
      <c r="A3279" t="s">
        <v>5011</v>
      </c>
      <c r="B3279">
        <v>190</v>
      </c>
      <c r="C3279" t="s">
        <v>1481</v>
      </c>
      <c r="D3279" t="s">
        <v>1466</v>
      </c>
      <c r="E3279" t="s">
        <v>642</v>
      </c>
      <c r="F3279" t="s">
        <v>1467</v>
      </c>
      <c r="G3279" t="s">
        <v>1482</v>
      </c>
      <c r="Z3279">
        <v>190</v>
      </c>
      <c r="CH3279" t="str">
        <f t="shared" si="51"/>
        <v>D-0078</v>
      </c>
      <c r="CI3279" s="1" t="s">
        <v>102</v>
      </c>
    </row>
    <row r="3280" spans="1:87">
      <c r="A3280" t="s">
        <v>5012</v>
      </c>
      <c r="B3280">
        <v>4</v>
      </c>
      <c r="C3280" t="s">
        <v>1481</v>
      </c>
      <c r="D3280" t="s">
        <v>1466</v>
      </c>
      <c r="E3280" t="s">
        <v>642</v>
      </c>
      <c r="F3280" t="s">
        <v>1467</v>
      </c>
      <c r="G3280" t="s">
        <v>1482</v>
      </c>
      <c r="P3280">
        <v>4</v>
      </c>
      <c r="CH3280" t="str">
        <f t="shared" si="51"/>
        <v>D-0078</v>
      </c>
      <c r="CI3280" s="1" t="s">
        <v>102</v>
      </c>
    </row>
    <row r="3281" spans="1:87">
      <c r="A3281" t="s">
        <v>5013</v>
      </c>
      <c r="B3281">
        <v>8</v>
      </c>
      <c r="C3281" t="s">
        <v>1481</v>
      </c>
      <c r="D3281" t="s">
        <v>1466</v>
      </c>
      <c r="E3281" t="s">
        <v>642</v>
      </c>
      <c r="F3281" t="s">
        <v>1467</v>
      </c>
      <c r="G3281" t="s">
        <v>1482</v>
      </c>
      <c r="Q3281">
        <v>8</v>
      </c>
      <c r="CH3281" t="str">
        <f t="shared" si="51"/>
        <v>D-0078</v>
      </c>
      <c r="CI3281" s="1" t="s">
        <v>102</v>
      </c>
    </row>
    <row r="3282" spans="1:87">
      <c r="A3282" t="s">
        <v>5014</v>
      </c>
      <c r="B3282">
        <v>8</v>
      </c>
      <c r="C3282" t="s">
        <v>1481</v>
      </c>
      <c r="D3282" t="s">
        <v>1466</v>
      </c>
      <c r="E3282" t="s">
        <v>642</v>
      </c>
      <c r="F3282" t="s">
        <v>1467</v>
      </c>
      <c r="G3282" t="s">
        <v>1482</v>
      </c>
      <c r="AA3282">
        <v>8</v>
      </c>
      <c r="CH3282" t="str">
        <f t="shared" si="51"/>
        <v>D-0078</v>
      </c>
      <c r="CI3282" s="1" t="s">
        <v>102</v>
      </c>
    </row>
    <row r="3283" spans="1:87">
      <c r="A3283" t="s">
        <v>5015</v>
      </c>
      <c r="B3283">
        <v>7</v>
      </c>
      <c r="C3283" t="s">
        <v>1481</v>
      </c>
      <c r="D3283" t="s">
        <v>1466</v>
      </c>
      <c r="E3283" t="s">
        <v>642</v>
      </c>
      <c r="F3283" t="s">
        <v>1467</v>
      </c>
      <c r="G3283" t="s">
        <v>1482</v>
      </c>
      <c r="AB3283">
        <v>7</v>
      </c>
      <c r="CH3283" t="str">
        <f t="shared" si="51"/>
        <v>D-0078</v>
      </c>
      <c r="CI3283" s="1" t="s">
        <v>102</v>
      </c>
    </row>
    <row r="3284" spans="1:87">
      <c r="A3284" t="s">
        <v>5016</v>
      </c>
      <c r="B3284">
        <v>1</v>
      </c>
      <c r="C3284" t="s">
        <v>1481</v>
      </c>
      <c r="D3284" t="s">
        <v>1466</v>
      </c>
      <c r="E3284" t="s">
        <v>642</v>
      </c>
      <c r="F3284" t="s">
        <v>1467</v>
      </c>
      <c r="G3284" t="s">
        <v>1482</v>
      </c>
      <c r="AD3284">
        <v>1</v>
      </c>
      <c r="CH3284" t="str">
        <f t="shared" si="51"/>
        <v>D-0078</v>
      </c>
      <c r="CI3284" s="1" t="s">
        <v>102</v>
      </c>
    </row>
    <row r="3285" spans="1:87">
      <c r="A3285" t="s">
        <v>5017</v>
      </c>
      <c r="B3285">
        <v>636</v>
      </c>
      <c r="C3285" t="s">
        <v>685</v>
      </c>
      <c r="D3285" t="s">
        <v>457</v>
      </c>
      <c r="E3285" t="s">
        <v>629</v>
      </c>
      <c r="F3285" t="s">
        <v>672</v>
      </c>
      <c r="G3285" t="s">
        <v>686</v>
      </c>
      <c r="Q3285">
        <v>6</v>
      </c>
      <c r="R3285">
        <v>6</v>
      </c>
      <c r="S3285">
        <v>12</v>
      </c>
      <c r="T3285">
        <v>6</v>
      </c>
      <c r="U3285">
        <v>48</v>
      </c>
      <c r="V3285">
        <v>84</v>
      </c>
      <c r="W3285">
        <v>114</v>
      </c>
      <c r="X3285">
        <v>54</v>
      </c>
      <c r="Y3285">
        <v>42</v>
      </c>
      <c r="Z3285">
        <v>36</v>
      </c>
      <c r="AA3285">
        <v>48</v>
      </c>
      <c r="AB3285">
        <v>66</v>
      </c>
      <c r="AC3285">
        <v>12</v>
      </c>
      <c r="AD3285">
        <v>42</v>
      </c>
      <c r="AF3285">
        <v>36</v>
      </c>
      <c r="AH3285">
        <v>6</v>
      </c>
      <c r="AJ3285">
        <v>6</v>
      </c>
      <c r="AL3285">
        <v>6</v>
      </c>
      <c r="AN3285">
        <v>6</v>
      </c>
      <c r="CH3285" t="str">
        <f t="shared" si="51"/>
        <v>JV1-0695-3</v>
      </c>
      <c r="CI3285" s="1" t="s">
        <v>102</v>
      </c>
    </row>
    <row r="3286" spans="1:87">
      <c r="A3286" t="s">
        <v>5018</v>
      </c>
      <c r="B3286">
        <v>437</v>
      </c>
      <c r="C3286" t="s">
        <v>1261</v>
      </c>
      <c r="D3286" t="s">
        <v>457</v>
      </c>
      <c r="E3286" t="s">
        <v>629</v>
      </c>
      <c r="F3286" t="s">
        <v>672</v>
      </c>
      <c r="G3286" t="s">
        <v>1000</v>
      </c>
      <c r="O3286">
        <v>6</v>
      </c>
      <c r="Q3286">
        <v>12</v>
      </c>
      <c r="S3286">
        <v>36</v>
      </c>
      <c r="T3286">
        <v>12</v>
      </c>
      <c r="U3286">
        <v>60</v>
      </c>
      <c r="V3286">
        <v>12</v>
      </c>
      <c r="W3286">
        <v>83</v>
      </c>
      <c r="X3286">
        <v>12</v>
      </c>
      <c r="Y3286">
        <v>78</v>
      </c>
      <c r="Z3286">
        <v>12</v>
      </c>
      <c r="AA3286">
        <v>54</v>
      </c>
      <c r="AB3286">
        <v>12</v>
      </c>
      <c r="AC3286">
        <v>36</v>
      </c>
      <c r="AD3286">
        <v>12</v>
      </c>
      <c r="CH3286" t="str">
        <f t="shared" si="51"/>
        <v>JV1-0695-3</v>
      </c>
      <c r="CI3286" s="1" t="s">
        <v>102</v>
      </c>
    </row>
    <row r="3287" spans="1:87">
      <c r="A3287" t="s">
        <v>5019</v>
      </c>
      <c r="B3287">
        <v>25</v>
      </c>
      <c r="C3287" t="s">
        <v>2725</v>
      </c>
      <c r="D3287" t="s">
        <v>223</v>
      </c>
      <c r="E3287" t="s">
        <v>642</v>
      </c>
      <c r="F3287" t="s">
        <v>693</v>
      </c>
      <c r="G3287" t="s">
        <v>2726</v>
      </c>
      <c r="R3287">
        <v>13</v>
      </c>
      <c r="U3287">
        <v>4</v>
      </c>
      <c r="X3287">
        <v>6</v>
      </c>
      <c r="Z3287">
        <v>2</v>
      </c>
      <c r="CH3287" t="str">
        <f t="shared" si="51"/>
        <v>D-0263</v>
      </c>
      <c r="CI3287" s="1" t="s">
        <v>102</v>
      </c>
    </row>
    <row r="3288" spans="1:87">
      <c r="A3288" t="s">
        <v>5020</v>
      </c>
      <c r="B3288">
        <v>8</v>
      </c>
      <c r="C3288" t="s">
        <v>2695</v>
      </c>
      <c r="D3288" t="s">
        <v>222</v>
      </c>
      <c r="E3288" t="s">
        <v>629</v>
      </c>
      <c r="F3288" t="s">
        <v>690</v>
      </c>
      <c r="G3288" t="s">
        <v>2696</v>
      </c>
      <c r="V3288">
        <v>3</v>
      </c>
      <c r="Z3288">
        <v>5</v>
      </c>
      <c r="CH3288" t="str">
        <f t="shared" si="51"/>
        <v>D-0262</v>
      </c>
      <c r="CI3288" s="1" t="s">
        <v>102</v>
      </c>
    </row>
    <row r="3289" spans="1:87">
      <c r="A3289" t="s">
        <v>5021</v>
      </c>
      <c r="B3289">
        <v>118</v>
      </c>
      <c r="C3289" t="s">
        <v>3847</v>
      </c>
      <c r="D3289" t="s">
        <v>223</v>
      </c>
      <c r="E3289" t="s">
        <v>642</v>
      </c>
      <c r="F3289" t="s">
        <v>690</v>
      </c>
      <c r="G3289" t="s">
        <v>3848</v>
      </c>
      <c r="AA3289">
        <v>118</v>
      </c>
      <c r="CH3289" t="str">
        <f t="shared" si="51"/>
        <v>D-0263</v>
      </c>
      <c r="CI3289" s="1" t="s">
        <v>102</v>
      </c>
    </row>
    <row r="3290" spans="1:87">
      <c r="A3290" t="s">
        <v>5022</v>
      </c>
      <c r="B3290">
        <v>35</v>
      </c>
      <c r="C3290" t="s">
        <v>1152</v>
      </c>
      <c r="D3290" t="s">
        <v>207</v>
      </c>
      <c r="E3290" t="s">
        <v>974</v>
      </c>
      <c r="F3290" t="s">
        <v>645</v>
      </c>
      <c r="G3290" t="s">
        <v>5023</v>
      </c>
      <c r="H3290">
        <v>2</v>
      </c>
      <c r="J3290">
        <v>2</v>
      </c>
      <c r="L3290">
        <v>2</v>
      </c>
      <c r="M3290">
        <v>2</v>
      </c>
      <c r="N3290">
        <v>7</v>
      </c>
      <c r="P3290">
        <v>5</v>
      </c>
      <c r="Q3290">
        <v>8</v>
      </c>
      <c r="S3290">
        <v>7</v>
      </c>
      <c r="CH3290" t="str">
        <f t="shared" si="51"/>
        <v>D-0249</v>
      </c>
      <c r="CI3290" s="1" t="s">
        <v>102</v>
      </c>
    </row>
    <row r="3291" spans="1:87">
      <c r="A3291" t="s">
        <v>5024</v>
      </c>
      <c r="B3291">
        <v>43</v>
      </c>
      <c r="C3291" t="s">
        <v>5025</v>
      </c>
      <c r="D3291" t="s">
        <v>207</v>
      </c>
      <c r="E3291" t="s">
        <v>974</v>
      </c>
      <c r="F3291" t="s">
        <v>645</v>
      </c>
      <c r="G3291" t="s">
        <v>5023</v>
      </c>
      <c r="M3291">
        <v>1</v>
      </c>
      <c r="N3291">
        <v>6</v>
      </c>
      <c r="O3291">
        <v>5</v>
      </c>
      <c r="P3291">
        <v>5</v>
      </c>
      <c r="Q3291">
        <v>10</v>
      </c>
      <c r="S3291">
        <v>6</v>
      </c>
      <c r="T3291">
        <v>10</v>
      </c>
      <c r="CH3291" t="str">
        <f t="shared" si="51"/>
        <v>D-0249</v>
      </c>
      <c r="CI3291" s="1" t="s">
        <v>102</v>
      </c>
    </row>
    <row r="3292" spans="1:87">
      <c r="A3292" t="s">
        <v>5026</v>
      </c>
      <c r="B3292">
        <v>12</v>
      </c>
      <c r="C3292" t="s">
        <v>4559</v>
      </c>
      <c r="D3292" t="s">
        <v>243</v>
      </c>
      <c r="E3292" t="s">
        <v>642</v>
      </c>
      <c r="F3292" t="s">
        <v>633</v>
      </c>
      <c r="G3292" t="s">
        <v>956</v>
      </c>
      <c r="S3292">
        <v>3</v>
      </c>
      <c r="W3292">
        <v>3</v>
      </c>
      <c r="AA3292">
        <v>3</v>
      </c>
      <c r="AD3292">
        <v>3</v>
      </c>
      <c r="CH3292" t="str">
        <f t="shared" si="51"/>
        <v>D-0268</v>
      </c>
      <c r="CI3292" s="1" t="s">
        <v>102</v>
      </c>
    </row>
    <row r="3293" spans="1:87">
      <c r="A3293" t="s">
        <v>5027</v>
      </c>
      <c r="B3293">
        <v>9</v>
      </c>
      <c r="C3293" t="s">
        <v>4562</v>
      </c>
      <c r="D3293" t="s">
        <v>243</v>
      </c>
      <c r="E3293" t="s">
        <v>629</v>
      </c>
      <c r="F3293" t="s">
        <v>633</v>
      </c>
      <c r="G3293" t="s">
        <v>956</v>
      </c>
      <c r="V3293">
        <v>3</v>
      </c>
      <c r="Z3293">
        <v>3</v>
      </c>
      <c r="AD3293">
        <v>3</v>
      </c>
      <c r="CH3293" t="str">
        <f t="shared" si="51"/>
        <v>D-0268</v>
      </c>
      <c r="CI3293" s="1" t="s">
        <v>102</v>
      </c>
    </row>
    <row r="3294" spans="1:87">
      <c r="A3294" t="s">
        <v>5028</v>
      </c>
      <c r="B3294">
        <v>10</v>
      </c>
      <c r="C3294" t="s">
        <v>4564</v>
      </c>
      <c r="D3294" t="s">
        <v>243</v>
      </c>
      <c r="E3294" t="s">
        <v>642</v>
      </c>
      <c r="F3294" t="s">
        <v>633</v>
      </c>
      <c r="G3294" t="s">
        <v>3448</v>
      </c>
      <c r="S3294">
        <v>5</v>
      </c>
      <c r="X3294">
        <v>5</v>
      </c>
      <c r="CH3294" t="str">
        <f t="shared" si="51"/>
        <v>D-0268</v>
      </c>
      <c r="CI3294" s="1" t="s">
        <v>102</v>
      </c>
    </row>
    <row r="3295" spans="1:87">
      <c r="A3295" t="s">
        <v>5029</v>
      </c>
      <c r="B3295">
        <v>12</v>
      </c>
      <c r="C3295" t="s">
        <v>4567</v>
      </c>
      <c r="D3295" t="s">
        <v>213</v>
      </c>
      <c r="E3295" t="s">
        <v>642</v>
      </c>
      <c r="F3295" t="s">
        <v>643</v>
      </c>
      <c r="G3295" t="s">
        <v>3448</v>
      </c>
      <c r="S3295">
        <v>3</v>
      </c>
      <c r="W3295">
        <v>3</v>
      </c>
      <c r="AA3295">
        <v>3</v>
      </c>
      <c r="AD3295">
        <v>3</v>
      </c>
      <c r="CH3295" t="str">
        <f t="shared" si="51"/>
        <v>D-0257</v>
      </c>
      <c r="CI3295" s="1" t="s">
        <v>102</v>
      </c>
    </row>
    <row r="3296" spans="1:87">
      <c r="A3296" t="s">
        <v>5030</v>
      </c>
      <c r="B3296">
        <v>25003</v>
      </c>
      <c r="C3296" t="s">
        <v>752</v>
      </c>
      <c r="D3296" t="s">
        <v>210</v>
      </c>
      <c r="E3296" t="s">
        <v>642</v>
      </c>
      <c r="F3296" t="s">
        <v>633</v>
      </c>
      <c r="G3296" t="s">
        <v>2283</v>
      </c>
      <c r="P3296">
        <v>190</v>
      </c>
      <c r="Q3296">
        <v>611</v>
      </c>
      <c r="R3296">
        <v>1814</v>
      </c>
      <c r="S3296">
        <v>2752</v>
      </c>
      <c r="T3296">
        <v>4036</v>
      </c>
      <c r="U3296">
        <v>3320</v>
      </c>
      <c r="V3296">
        <v>4103</v>
      </c>
      <c r="W3296">
        <v>2818</v>
      </c>
      <c r="X3296">
        <v>2030</v>
      </c>
      <c r="Y3296">
        <v>1496</v>
      </c>
      <c r="Z3296">
        <v>1138</v>
      </c>
      <c r="AA3296">
        <v>215</v>
      </c>
      <c r="AB3296">
        <v>358</v>
      </c>
      <c r="AC3296">
        <v>75</v>
      </c>
      <c r="AD3296">
        <v>47</v>
      </c>
      <c r="CH3296" t="str">
        <f t="shared" si="51"/>
        <v>D-0256</v>
      </c>
      <c r="CI3296" s="1" t="s">
        <v>102</v>
      </c>
    </row>
    <row r="3297" spans="1:87">
      <c r="A3297" t="s">
        <v>5031</v>
      </c>
      <c r="B3297">
        <v>1</v>
      </c>
      <c r="C3297" t="s">
        <v>4575</v>
      </c>
      <c r="D3297" t="s">
        <v>444</v>
      </c>
      <c r="E3297" t="s">
        <v>642</v>
      </c>
      <c r="F3297" t="s">
        <v>636</v>
      </c>
      <c r="G3297" t="s">
        <v>4576</v>
      </c>
      <c r="X3297">
        <v>1</v>
      </c>
      <c r="CH3297" t="str">
        <f t="shared" si="51"/>
        <v>D-0686</v>
      </c>
      <c r="CI3297" s="1" t="s">
        <v>102</v>
      </c>
    </row>
    <row r="3298" spans="1:87">
      <c r="A3298" t="s">
        <v>5032</v>
      </c>
      <c r="B3298">
        <v>2880</v>
      </c>
      <c r="C3298" t="s">
        <v>1542</v>
      </c>
      <c r="D3298" t="s">
        <v>261</v>
      </c>
      <c r="E3298" t="s">
        <v>629</v>
      </c>
      <c r="F3298" t="s">
        <v>635</v>
      </c>
      <c r="G3298" t="s">
        <v>1516</v>
      </c>
      <c r="L3298">
        <v>12</v>
      </c>
      <c r="M3298">
        <v>12</v>
      </c>
      <c r="N3298">
        <v>12</v>
      </c>
      <c r="O3298">
        <v>24</v>
      </c>
      <c r="P3298">
        <v>12</v>
      </c>
      <c r="Q3298">
        <v>36</v>
      </c>
      <c r="R3298">
        <v>252</v>
      </c>
      <c r="S3298">
        <v>24</v>
      </c>
      <c r="T3298">
        <v>312</v>
      </c>
      <c r="U3298">
        <v>264</v>
      </c>
      <c r="V3298">
        <v>336</v>
      </c>
      <c r="W3298">
        <v>276</v>
      </c>
      <c r="X3298">
        <v>312</v>
      </c>
      <c r="Y3298">
        <v>216</v>
      </c>
      <c r="Z3298">
        <v>396</v>
      </c>
      <c r="AA3298">
        <v>60</v>
      </c>
      <c r="AB3298">
        <v>240</v>
      </c>
      <c r="AC3298">
        <v>24</v>
      </c>
      <c r="AD3298">
        <v>48</v>
      </c>
      <c r="AF3298">
        <v>12</v>
      </c>
      <c r="CH3298" t="str">
        <f t="shared" si="51"/>
        <v>D-0310</v>
      </c>
      <c r="CI3298" s="1" t="s">
        <v>102</v>
      </c>
    </row>
    <row r="3299" spans="1:87">
      <c r="A3299" t="s">
        <v>5033</v>
      </c>
      <c r="B3299">
        <v>6624</v>
      </c>
      <c r="C3299" t="s">
        <v>1542</v>
      </c>
      <c r="D3299" t="s">
        <v>261</v>
      </c>
      <c r="E3299" t="s">
        <v>629</v>
      </c>
      <c r="F3299" t="s">
        <v>635</v>
      </c>
      <c r="G3299" t="s">
        <v>1516</v>
      </c>
      <c r="M3299">
        <v>12</v>
      </c>
      <c r="O3299">
        <v>36</v>
      </c>
      <c r="P3299">
        <v>24</v>
      </c>
      <c r="Q3299">
        <v>72</v>
      </c>
      <c r="R3299">
        <v>600</v>
      </c>
      <c r="S3299">
        <v>24</v>
      </c>
      <c r="T3299">
        <v>744</v>
      </c>
      <c r="U3299">
        <v>612</v>
      </c>
      <c r="V3299">
        <v>816</v>
      </c>
      <c r="W3299">
        <v>648</v>
      </c>
      <c r="X3299">
        <v>744</v>
      </c>
      <c r="Y3299">
        <v>516</v>
      </c>
      <c r="Z3299">
        <v>948</v>
      </c>
      <c r="AA3299">
        <v>144</v>
      </c>
      <c r="AB3299">
        <v>564</v>
      </c>
      <c r="AC3299">
        <v>36</v>
      </c>
      <c r="AD3299">
        <v>84</v>
      </c>
      <c r="CH3299" t="str">
        <f t="shared" si="51"/>
        <v>D-0310</v>
      </c>
      <c r="CI3299" s="1" t="s">
        <v>102</v>
      </c>
    </row>
    <row r="3300" spans="1:87">
      <c r="A3300" t="s">
        <v>5034</v>
      </c>
      <c r="B3300">
        <v>2796</v>
      </c>
      <c r="C3300" t="s">
        <v>1729</v>
      </c>
      <c r="D3300" t="s">
        <v>261</v>
      </c>
      <c r="E3300" t="s">
        <v>629</v>
      </c>
      <c r="F3300" t="s">
        <v>635</v>
      </c>
      <c r="G3300" t="s">
        <v>1516</v>
      </c>
      <c r="R3300">
        <v>264</v>
      </c>
      <c r="T3300">
        <v>300</v>
      </c>
      <c r="U3300">
        <v>264</v>
      </c>
      <c r="V3300">
        <v>408</v>
      </c>
      <c r="W3300">
        <v>264</v>
      </c>
      <c r="X3300">
        <v>444</v>
      </c>
      <c r="Y3300">
        <v>156</v>
      </c>
      <c r="Z3300">
        <v>348</v>
      </c>
      <c r="AA3300">
        <v>72</v>
      </c>
      <c r="AB3300">
        <v>240</v>
      </c>
      <c r="AD3300">
        <v>36</v>
      </c>
      <c r="CH3300" t="str">
        <f t="shared" si="51"/>
        <v>D-0310</v>
      </c>
      <c r="CI3300" s="1" t="s">
        <v>102</v>
      </c>
    </row>
    <row r="3301" spans="1:87">
      <c r="A3301" t="s">
        <v>5035</v>
      </c>
      <c r="B3301">
        <v>4020</v>
      </c>
      <c r="C3301" t="s">
        <v>1729</v>
      </c>
      <c r="D3301" t="s">
        <v>261</v>
      </c>
      <c r="E3301" t="s">
        <v>629</v>
      </c>
      <c r="F3301" t="s">
        <v>635</v>
      </c>
      <c r="G3301" t="s">
        <v>1516</v>
      </c>
      <c r="R3301">
        <v>384</v>
      </c>
      <c r="T3301">
        <v>444</v>
      </c>
      <c r="U3301">
        <v>372</v>
      </c>
      <c r="V3301">
        <v>588</v>
      </c>
      <c r="W3301">
        <v>372</v>
      </c>
      <c r="X3301">
        <v>648</v>
      </c>
      <c r="Y3301">
        <v>204</v>
      </c>
      <c r="Z3301">
        <v>516</v>
      </c>
      <c r="AA3301">
        <v>96</v>
      </c>
      <c r="AB3301">
        <v>348</v>
      </c>
      <c r="AD3301">
        <v>48</v>
      </c>
      <c r="CH3301" t="str">
        <f t="shared" si="51"/>
        <v>D-0310</v>
      </c>
      <c r="CI3301" s="1" t="s">
        <v>102</v>
      </c>
    </row>
    <row r="3302" spans="1:87">
      <c r="A3302" t="s">
        <v>5036</v>
      </c>
      <c r="B3302">
        <v>144</v>
      </c>
      <c r="C3302" t="s">
        <v>1746</v>
      </c>
      <c r="D3302" t="s">
        <v>410</v>
      </c>
      <c r="E3302" t="s">
        <v>629</v>
      </c>
      <c r="F3302" t="s">
        <v>652</v>
      </c>
      <c r="G3302" t="s">
        <v>1742</v>
      </c>
      <c r="W3302">
        <v>24</v>
      </c>
      <c r="Y3302">
        <v>24</v>
      </c>
      <c r="Z3302">
        <v>24</v>
      </c>
      <c r="AA3302">
        <v>24</v>
      </c>
      <c r="AB3302">
        <v>12</v>
      </c>
      <c r="AC3302">
        <v>12</v>
      </c>
      <c r="AD3302">
        <v>12</v>
      </c>
      <c r="AE3302">
        <v>12</v>
      </c>
      <c r="CH3302" t="str">
        <f t="shared" si="51"/>
        <v>D-0591</v>
      </c>
      <c r="CI3302" s="1" t="s">
        <v>102</v>
      </c>
    </row>
    <row r="3303" spans="1:87">
      <c r="A3303" t="s">
        <v>5037</v>
      </c>
      <c r="B3303">
        <v>888</v>
      </c>
      <c r="C3303" t="s">
        <v>1746</v>
      </c>
      <c r="D3303" t="s">
        <v>410</v>
      </c>
      <c r="E3303" t="s">
        <v>629</v>
      </c>
      <c r="F3303" t="s">
        <v>652</v>
      </c>
      <c r="G3303" t="s">
        <v>1742</v>
      </c>
      <c r="W3303">
        <v>216</v>
      </c>
      <c r="Y3303">
        <v>240</v>
      </c>
      <c r="AA3303">
        <v>228</v>
      </c>
      <c r="AB3303">
        <v>12</v>
      </c>
      <c r="AC3303">
        <v>120</v>
      </c>
      <c r="AD3303">
        <v>24</v>
      </c>
      <c r="AE3303">
        <v>48</v>
      </c>
      <c r="CH3303" t="str">
        <f t="shared" si="51"/>
        <v>D-0591</v>
      </c>
      <c r="CI3303" s="1" t="s">
        <v>102</v>
      </c>
    </row>
    <row r="3304" spans="1:87">
      <c r="A3304" t="s">
        <v>5038</v>
      </c>
      <c r="B3304">
        <v>117</v>
      </c>
      <c r="C3304" t="s">
        <v>1746</v>
      </c>
      <c r="D3304" t="s">
        <v>410</v>
      </c>
      <c r="E3304" t="s">
        <v>629</v>
      </c>
      <c r="F3304" t="s">
        <v>652</v>
      </c>
      <c r="G3304" t="s">
        <v>1742</v>
      </c>
      <c r="W3304">
        <v>21</v>
      </c>
      <c r="Y3304">
        <v>24</v>
      </c>
      <c r="AA3304">
        <v>33</v>
      </c>
      <c r="AC3304">
        <v>24</v>
      </c>
      <c r="AE3304">
        <v>12</v>
      </c>
      <c r="AG3304">
        <v>3</v>
      </c>
      <c r="CH3304" t="str">
        <f t="shared" si="51"/>
        <v>D-0591</v>
      </c>
      <c r="CI3304" s="1" t="s">
        <v>102</v>
      </c>
    </row>
    <row r="3305" spans="1:87">
      <c r="A3305" t="s">
        <v>5039</v>
      </c>
      <c r="B3305">
        <v>180</v>
      </c>
      <c r="C3305" t="s">
        <v>1746</v>
      </c>
      <c r="D3305" t="s">
        <v>410</v>
      </c>
      <c r="E3305" t="s">
        <v>629</v>
      </c>
      <c r="F3305" t="s">
        <v>652</v>
      </c>
      <c r="G3305" t="s">
        <v>1742</v>
      </c>
      <c r="W3305">
        <v>60</v>
      </c>
      <c r="AA3305">
        <v>60</v>
      </c>
      <c r="AC3305">
        <v>60</v>
      </c>
      <c r="CH3305" t="str">
        <f t="shared" si="51"/>
        <v>D-0591</v>
      </c>
    </row>
    <row r="3306" spans="1:87">
      <c r="A3306" t="s">
        <v>5040</v>
      </c>
      <c r="B3306">
        <v>336</v>
      </c>
      <c r="C3306" t="s">
        <v>1746</v>
      </c>
      <c r="D3306" t="s">
        <v>410</v>
      </c>
      <c r="E3306" t="s">
        <v>629</v>
      </c>
      <c r="F3306" t="s">
        <v>652</v>
      </c>
      <c r="G3306" t="s">
        <v>1742</v>
      </c>
      <c r="W3306">
        <v>60</v>
      </c>
      <c r="X3306">
        <v>36</v>
      </c>
      <c r="Z3306">
        <v>120</v>
      </c>
      <c r="AA3306">
        <v>60</v>
      </c>
      <c r="AC3306">
        <v>60</v>
      </c>
      <c r="CH3306" t="str">
        <f t="shared" si="51"/>
        <v>D-0591</v>
      </c>
    </row>
    <row r="3307" spans="1:87">
      <c r="A3307" t="s">
        <v>5041</v>
      </c>
      <c r="B3307">
        <v>1308</v>
      </c>
      <c r="C3307" t="s">
        <v>1746</v>
      </c>
      <c r="D3307" t="s">
        <v>410</v>
      </c>
      <c r="E3307" t="s">
        <v>629</v>
      </c>
      <c r="F3307" t="s">
        <v>652</v>
      </c>
      <c r="G3307" t="s">
        <v>1742</v>
      </c>
      <c r="W3307">
        <v>264</v>
      </c>
      <c r="X3307">
        <v>444</v>
      </c>
      <c r="Y3307">
        <v>60</v>
      </c>
      <c r="Z3307">
        <v>360</v>
      </c>
      <c r="AA3307">
        <v>120</v>
      </c>
      <c r="AC3307">
        <v>60</v>
      </c>
      <c r="CH3307" t="str">
        <f t="shared" si="51"/>
        <v>D-0591</v>
      </c>
    </row>
    <row r="3308" spans="1:87">
      <c r="A3308" t="s">
        <v>5042</v>
      </c>
      <c r="B3308">
        <v>416</v>
      </c>
      <c r="C3308" t="s">
        <v>1746</v>
      </c>
      <c r="D3308" t="s">
        <v>410</v>
      </c>
      <c r="E3308" t="s">
        <v>629</v>
      </c>
      <c r="F3308" t="s">
        <v>652</v>
      </c>
      <c r="G3308" t="s">
        <v>1742</v>
      </c>
      <c r="W3308">
        <v>52</v>
      </c>
      <c r="X3308">
        <v>156</v>
      </c>
      <c r="Z3308">
        <v>104</v>
      </c>
      <c r="AA3308">
        <v>52</v>
      </c>
      <c r="AC3308">
        <v>52</v>
      </c>
      <c r="CH3308" t="str">
        <f t="shared" si="51"/>
        <v>D-0591</v>
      </c>
    </row>
    <row r="3309" spans="1:87">
      <c r="A3309" t="s">
        <v>5043</v>
      </c>
      <c r="B3309">
        <v>216</v>
      </c>
      <c r="C3309" t="s">
        <v>1746</v>
      </c>
      <c r="D3309" t="s">
        <v>410</v>
      </c>
      <c r="E3309" t="s">
        <v>629</v>
      </c>
      <c r="F3309" t="s">
        <v>652</v>
      </c>
      <c r="G3309" t="s">
        <v>1742</v>
      </c>
      <c r="W3309">
        <v>27</v>
      </c>
      <c r="X3309">
        <v>54</v>
      </c>
      <c r="Z3309">
        <v>54</v>
      </c>
      <c r="AA3309">
        <v>27</v>
      </c>
      <c r="AB3309">
        <v>27</v>
      </c>
      <c r="AC3309">
        <v>27</v>
      </c>
      <c r="CH3309" t="str">
        <f t="shared" si="51"/>
        <v>D-0591</v>
      </c>
    </row>
    <row r="3310" spans="1:87">
      <c r="A3310" t="s">
        <v>5044</v>
      </c>
      <c r="B3310">
        <v>1176</v>
      </c>
      <c r="C3310" t="s">
        <v>1746</v>
      </c>
      <c r="D3310" t="s">
        <v>410</v>
      </c>
      <c r="E3310" t="s">
        <v>629</v>
      </c>
      <c r="F3310" t="s">
        <v>652</v>
      </c>
      <c r="G3310" t="s">
        <v>1742</v>
      </c>
      <c r="W3310">
        <v>108</v>
      </c>
      <c r="X3310">
        <v>156</v>
      </c>
      <c r="Z3310">
        <v>168</v>
      </c>
      <c r="AA3310">
        <v>192</v>
      </c>
      <c r="AB3310">
        <v>168</v>
      </c>
      <c r="AC3310">
        <v>84</v>
      </c>
      <c r="AD3310">
        <v>96</v>
      </c>
      <c r="AE3310">
        <v>132</v>
      </c>
      <c r="AG3310">
        <v>60</v>
      </c>
      <c r="AH3310">
        <v>12</v>
      </c>
      <c r="CH3310" t="str">
        <f t="shared" si="51"/>
        <v>D-0591</v>
      </c>
    </row>
    <row r="3311" spans="1:87">
      <c r="A3311" t="s">
        <v>5045</v>
      </c>
      <c r="B3311">
        <v>168</v>
      </c>
      <c r="C3311" t="s">
        <v>1746</v>
      </c>
      <c r="D3311" t="s">
        <v>410</v>
      </c>
      <c r="E3311" t="s">
        <v>629</v>
      </c>
      <c r="F3311" t="s">
        <v>652</v>
      </c>
      <c r="G3311" t="s">
        <v>1742</v>
      </c>
      <c r="W3311">
        <v>48</v>
      </c>
      <c r="Y3311">
        <v>48</v>
      </c>
      <c r="AC3311">
        <v>48</v>
      </c>
      <c r="AE3311">
        <v>24</v>
      </c>
      <c r="CH3311" t="str">
        <f t="shared" si="51"/>
        <v>D-0591</v>
      </c>
    </row>
    <row r="3312" spans="1:87">
      <c r="A3312" t="s">
        <v>5046</v>
      </c>
      <c r="B3312">
        <v>683</v>
      </c>
      <c r="C3312" t="s">
        <v>1746</v>
      </c>
      <c r="D3312" t="s">
        <v>410</v>
      </c>
      <c r="E3312" t="s">
        <v>629</v>
      </c>
      <c r="F3312" t="s">
        <v>652</v>
      </c>
      <c r="G3312" t="s">
        <v>1742</v>
      </c>
      <c r="S3312">
        <v>105</v>
      </c>
      <c r="U3312">
        <v>242</v>
      </c>
      <c r="X3312">
        <v>96</v>
      </c>
      <c r="Y3312">
        <v>24</v>
      </c>
      <c r="Z3312">
        <v>96</v>
      </c>
      <c r="AA3312">
        <v>72</v>
      </c>
      <c r="AC3312">
        <v>24</v>
      </c>
      <c r="AD3312">
        <v>24</v>
      </c>
      <c r="CH3312" t="str">
        <f t="shared" si="51"/>
        <v>D-0591</v>
      </c>
    </row>
    <row r="3313" spans="1:86">
      <c r="A3313" t="s">
        <v>5047</v>
      </c>
      <c r="B3313">
        <v>312</v>
      </c>
      <c r="C3313" t="s">
        <v>1746</v>
      </c>
      <c r="D3313" t="s">
        <v>410</v>
      </c>
      <c r="E3313" t="s">
        <v>629</v>
      </c>
      <c r="F3313" t="s">
        <v>652</v>
      </c>
      <c r="G3313" t="s">
        <v>1742</v>
      </c>
      <c r="S3313">
        <v>12</v>
      </c>
      <c r="U3313">
        <v>36</v>
      </c>
      <c r="W3313">
        <v>36</v>
      </c>
      <c r="X3313">
        <v>36</v>
      </c>
      <c r="Y3313">
        <v>36</v>
      </c>
      <c r="Z3313">
        <v>48</v>
      </c>
      <c r="AA3313">
        <v>36</v>
      </c>
      <c r="AB3313">
        <v>24</v>
      </c>
      <c r="AC3313">
        <v>24</v>
      </c>
      <c r="AD3313">
        <v>12</v>
      </c>
      <c r="AE3313">
        <v>12</v>
      </c>
      <c r="CH3313" t="str">
        <f t="shared" si="51"/>
        <v>D-0591</v>
      </c>
    </row>
    <row r="3314" spans="1:86">
      <c r="A3314" t="s">
        <v>5048</v>
      </c>
      <c r="B3314">
        <v>300</v>
      </c>
      <c r="C3314" t="s">
        <v>1746</v>
      </c>
      <c r="D3314" t="s">
        <v>410</v>
      </c>
      <c r="E3314" t="s">
        <v>629</v>
      </c>
      <c r="F3314" t="s">
        <v>652</v>
      </c>
      <c r="G3314" t="s">
        <v>1742</v>
      </c>
      <c r="U3314">
        <v>24</v>
      </c>
      <c r="X3314">
        <v>72</v>
      </c>
      <c r="Y3314">
        <v>72</v>
      </c>
      <c r="Z3314">
        <v>48</v>
      </c>
      <c r="AA3314">
        <v>36</v>
      </c>
      <c r="AB3314">
        <v>24</v>
      </c>
      <c r="AC3314">
        <v>12</v>
      </c>
      <c r="AE3314">
        <v>12</v>
      </c>
      <c r="CH3314" t="str">
        <f t="shared" si="51"/>
        <v>D-0591</v>
      </c>
    </row>
    <row r="3315" spans="1:86">
      <c r="A3315" t="s">
        <v>5049</v>
      </c>
      <c r="B3315">
        <v>420</v>
      </c>
      <c r="C3315" t="s">
        <v>1746</v>
      </c>
      <c r="D3315" t="s">
        <v>410</v>
      </c>
      <c r="E3315" t="s">
        <v>629</v>
      </c>
      <c r="F3315" t="s">
        <v>652</v>
      </c>
      <c r="G3315" t="s">
        <v>1742</v>
      </c>
      <c r="W3315">
        <v>72</v>
      </c>
      <c r="Y3315">
        <v>72</v>
      </c>
      <c r="Z3315">
        <v>84</v>
      </c>
      <c r="AA3315">
        <v>72</v>
      </c>
      <c r="AB3315">
        <v>24</v>
      </c>
      <c r="AC3315">
        <v>48</v>
      </c>
      <c r="AD3315">
        <v>24</v>
      </c>
      <c r="AE3315">
        <v>12</v>
      </c>
      <c r="AG3315">
        <v>12</v>
      </c>
      <c r="CH3315" t="str">
        <f t="shared" si="51"/>
        <v>D-0591</v>
      </c>
    </row>
    <row r="3316" spans="1:86">
      <c r="A3316" t="s">
        <v>5050</v>
      </c>
      <c r="B3316">
        <v>1356</v>
      </c>
      <c r="C3316" t="s">
        <v>1746</v>
      </c>
      <c r="D3316" t="s">
        <v>410</v>
      </c>
      <c r="E3316" t="s">
        <v>629</v>
      </c>
      <c r="F3316" t="s">
        <v>652</v>
      </c>
      <c r="G3316" t="s">
        <v>1742</v>
      </c>
      <c r="W3316">
        <v>324</v>
      </c>
      <c r="Y3316">
        <v>324</v>
      </c>
      <c r="AA3316">
        <v>348</v>
      </c>
      <c r="AB3316">
        <v>12</v>
      </c>
      <c r="AC3316">
        <v>240</v>
      </c>
      <c r="AD3316">
        <v>60</v>
      </c>
      <c r="AE3316">
        <v>36</v>
      </c>
      <c r="AG3316">
        <v>12</v>
      </c>
      <c r="CH3316" t="str">
        <f t="shared" si="51"/>
        <v>D-0591</v>
      </c>
    </row>
    <row r="3317" spans="1:86">
      <c r="A3317" t="s">
        <v>5051</v>
      </c>
      <c r="B3317">
        <v>588</v>
      </c>
      <c r="C3317" t="s">
        <v>1746</v>
      </c>
      <c r="D3317" t="s">
        <v>410</v>
      </c>
      <c r="E3317" t="s">
        <v>629</v>
      </c>
      <c r="F3317" t="s">
        <v>652</v>
      </c>
      <c r="G3317" t="s">
        <v>1742</v>
      </c>
      <c r="U3317">
        <v>156</v>
      </c>
      <c r="W3317">
        <v>216</v>
      </c>
      <c r="Y3317">
        <v>60</v>
      </c>
      <c r="Z3317">
        <v>36</v>
      </c>
      <c r="AA3317">
        <v>84</v>
      </c>
      <c r="AC3317">
        <v>36</v>
      </c>
      <c r="CH3317" t="str">
        <f t="shared" si="51"/>
        <v>D-0591</v>
      </c>
    </row>
    <row r="3318" spans="1:86">
      <c r="A3318" t="s">
        <v>5052</v>
      </c>
      <c r="B3318">
        <v>260</v>
      </c>
      <c r="C3318" t="s">
        <v>1746</v>
      </c>
      <c r="D3318" t="s">
        <v>410</v>
      </c>
      <c r="E3318" t="s">
        <v>629</v>
      </c>
      <c r="F3318" t="s">
        <v>652</v>
      </c>
      <c r="G3318" t="s">
        <v>1742</v>
      </c>
      <c r="W3318">
        <v>52</v>
      </c>
      <c r="Z3318">
        <v>104</v>
      </c>
      <c r="AA3318">
        <v>52</v>
      </c>
      <c r="AC3318">
        <v>52</v>
      </c>
      <c r="CH3318" t="str">
        <f t="shared" si="51"/>
        <v>D-0591</v>
      </c>
    </row>
    <row r="3319" spans="1:86">
      <c r="A3319" t="s">
        <v>5053</v>
      </c>
      <c r="B3319">
        <v>21</v>
      </c>
      <c r="C3319" t="s">
        <v>1746</v>
      </c>
      <c r="D3319" t="s">
        <v>410</v>
      </c>
      <c r="E3319" t="s">
        <v>629</v>
      </c>
      <c r="F3319" t="s">
        <v>652</v>
      </c>
      <c r="G3319" t="s">
        <v>1742</v>
      </c>
      <c r="W3319">
        <v>3</v>
      </c>
      <c r="X3319">
        <v>3</v>
      </c>
      <c r="Y3319">
        <v>3</v>
      </c>
      <c r="Z3319">
        <v>3</v>
      </c>
      <c r="AA3319">
        <v>3</v>
      </c>
      <c r="AC3319">
        <v>3</v>
      </c>
      <c r="AD3319">
        <v>3</v>
      </c>
      <c r="CH3319" t="str">
        <f t="shared" si="51"/>
        <v>D-0591</v>
      </c>
    </row>
    <row r="3320" spans="1:86">
      <c r="A3320" t="s">
        <v>5054</v>
      </c>
      <c r="B3320">
        <v>643</v>
      </c>
      <c r="C3320" t="s">
        <v>1746</v>
      </c>
      <c r="D3320" t="s">
        <v>410</v>
      </c>
      <c r="E3320" t="s">
        <v>629</v>
      </c>
      <c r="F3320" t="s">
        <v>652</v>
      </c>
      <c r="G3320" t="s">
        <v>1742</v>
      </c>
      <c r="X3320">
        <v>149</v>
      </c>
      <c r="Y3320">
        <v>47</v>
      </c>
      <c r="Z3320">
        <v>149</v>
      </c>
      <c r="AA3320">
        <v>149</v>
      </c>
      <c r="AC3320">
        <v>149</v>
      </c>
      <c r="CH3320" t="str">
        <f t="shared" si="51"/>
        <v>D-0591</v>
      </c>
    </row>
    <row r="3321" spans="1:86">
      <c r="A3321" t="s">
        <v>5055</v>
      </c>
      <c r="B3321">
        <v>200</v>
      </c>
      <c r="C3321" t="s">
        <v>1746</v>
      </c>
      <c r="D3321" t="s">
        <v>410</v>
      </c>
      <c r="E3321" t="s">
        <v>629</v>
      </c>
      <c r="F3321" t="s">
        <v>652</v>
      </c>
      <c r="G3321" t="s">
        <v>1742</v>
      </c>
      <c r="X3321">
        <v>50</v>
      </c>
      <c r="Y3321">
        <v>25</v>
      </c>
      <c r="Z3321">
        <v>50</v>
      </c>
      <c r="AA3321">
        <v>25</v>
      </c>
      <c r="AC3321">
        <v>25</v>
      </c>
      <c r="AD3321">
        <v>25</v>
      </c>
      <c r="CH3321" t="str">
        <f t="shared" si="51"/>
        <v>D-0591</v>
      </c>
    </row>
    <row r="3322" spans="1:86">
      <c r="A3322" t="s">
        <v>5056</v>
      </c>
      <c r="B3322">
        <v>200</v>
      </c>
      <c r="C3322" t="s">
        <v>1746</v>
      </c>
      <c r="D3322" t="s">
        <v>410</v>
      </c>
      <c r="E3322" t="s">
        <v>629</v>
      </c>
      <c r="F3322" t="s">
        <v>652</v>
      </c>
      <c r="G3322" t="s">
        <v>1742</v>
      </c>
      <c r="X3322">
        <v>50</v>
      </c>
      <c r="Y3322">
        <v>25</v>
      </c>
      <c r="Z3322">
        <v>50</v>
      </c>
      <c r="AA3322">
        <v>25</v>
      </c>
      <c r="AC3322">
        <v>25</v>
      </c>
      <c r="AD3322">
        <v>25</v>
      </c>
      <c r="CH3322" t="str">
        <f t="shared" si="51"/>
        <v>D-0591</v>
      </c>
    </row>
    <row r="3323" spans="1:86">
      <c r="A3323" t="s">
        <v>5057</v>
      </c>
      <c r="B3323">
        <v>132</v>
      </c>
      <c r="C3323" t="s">
        <v>1746</v>
      </c>
      <c r="D3323" t="s">
        <v>410</v>
      </c>
      <c r="E3323" t="s">
        <v>629</v>
      </c>
      <c r="F3323" t="s">
        <v>652</v>
      </c>
      <c r="G3323" t="s">
        <v>1742</v>
      </c>
      <c r="W3323">
        <v>15</v>
      </c>
      <c r="X3323">
        <v>30</v>
      </c>
      <c r="Y3323">
        <v>20</v>
      </c>
      <c r="Z3323">
        <v>28</v>
      </c>
      <c r="AA3323">
        <v>17</v>
      </c>
      <c r="AB3323">
        <v>8</v>
      </c>
      <c r="AC3323">
        <v>13</v>
      </c>
      <c r="AD3323">
        <v>1</v>
      </c>
      <c r="CH3323" t="str">
        <f t="shared" si="51"/>
        <v>D-0591</v>
      </c>
    </row>
    <row r="3324" spans="1:86">
      <c r="A3324" t="s">
        <v>5058</v>
      </c>
      <c r="B3324">
        <v>98</v>
      </c>
      <c r="C3324" t="s">
        <v>1746</v>
      </c>
      <c r="D3324" t="s">
        <v>410</v>
      </c>
      <c r="E3324" t="s">
        <v>629</v>
      </c>
      <c r="F3324" t="s">
        <v>652</v>
      </c>
      <c r="G3324" t="s">
        <v>1742</v>
      </c>
      <c r="W3324">
        <v>28</v>
      </c>
      <c r="X3324">
        <v>28</v>
      </c>
      <c r="Y3324">
        <v>14</v>
      </c>
      <c r="Z3324">
        <v>14</v>
      </c>
      <c r="AA3324">
        <v>14</v>
      </c>
      <c r="CH3324" t="str">
        <f t="shared" si="51"/>
        <v>D-0591</v>
      </c>
    </row>
    <row r="3325" spans="1:86">
      <c r="A3325" t="s">
        <v>5059</v>
      </c>
      <c r="B3325">
        <v>144</v>
      </c>
      <c r="C3325" t="s">
        <v>1746</v>
      </c>
      <c r="D3325" t="s">
        <v>410</v>
      </c>
      <c r="E3325" t="s">
        <v>629</v>
      </c>
      <c r="F3325" t="s">
        <v>652</v>
      </c>
      <c r="G3325" t="s">
        <v>1742</v>
      </c>
      <c r="U3325">
        <v>24</v>
      </c>
      <c r="X3325">
        <v>24</v>
      </c>
      <c r="Y3325">
        <v>12</v>
      </c>
      <c r="Z3325">
        <v>36</v>
      </c>
      <c r="AA3325">
        <v>12</v>
      </c>
      <c r="AC3325">
        <v>24</v>
      </c>
      <c r="AD3325">
        <v>12</v>
      </c>
      <c r="CH3325" t="str">
        <f t="shared" si="51"/>
        <v>D-0591</v>
      </c>
    </row>
    <row r="3326" spans="1:86">
      <c r="A3326" t="s">
        <v>5060</v>
      </c>
      <c r="B3326">
        <v>1044</v>
      </c>
      <c r="C3326" t="s">
        <v>1746</v>
      </c>
      <c r="D3326" t="s">
        <v>410</v>
      </c>
      <c r="E3326" t="s">
        <v>629</v>
      </c>
      <c r="F3326" t="s">
        <v>652</v>
      </c>
      <c r="G3326" t="s">
        <v>1742</v>
      </c>
      <c r="X3326">
        <v>348</v>
      </c>
      <c r="Z3326">
        <v>348</v>
      </c>
      <c r="AC3326">
        <v>348</v>
      </c>
      <c r="CH3326" t="str">
        <f t="shared" si="51"/>
        <v>D-0591</v>
      </c>
    </row>
    <row r="3327" spans="1:86">
      <c r="A3327" t="s">
        <v>5061</v>
      </c>
      <c r="B3327">
        <v>300</v>
      </c>
      <c r="C3327" t="s">
        <v>1746</v>
      </c>
      <c r="D3327" t="s">
        <v>410</v>
      </c>
      <c r="E3327" t="s">
        <v>629</v>
      </c>
      <c r="F3327" t="s">
        <v>652</v>
      </c>
      <c r="G3327" t="s">
        <v>1742</v>
      </c>
      <c r="U3327">
        <v>24</v>
      </c>
      <c r="X3327">
        <v>72</v>
      </c>
      <c r="Y3327">
        <v>72</v>
      </c>
      <c r="Z3327">
        <v>48</v>
      </c>
      <c r="AA3327">
        <v>36</v>
      </c>
      <c r="AB3327">
        <v>24</v>
      </c>
      <c r="AC3327">
        <v>12</v>
      </c>
      <c r="AE3327">
        <v>12</v>
      </c>
      <c r="CH3327" t="str">
        <f t="shared" si="51"/>
        <v>D-0591</v>
      </c>
    </row>
    <row r="3328" spans="1:86">
      <c r="A3328" t="s">
        <v>5062</v>
      </c>
      <c r="B3328">
        <v>324</v>
      </c>
      <c r="C3328" t="s">
        <v>1746</v>
      </c>
      <c r="D3328" t="s">
        <v>410</v>
      </c>
      <c r="E3328" t="s">
        <v>629</v>
      </c>
      <c r="F3328" t="s">
        <v>652</v>
      </c>
      <c r="G3328" t="s">
        <v>1742</v>
      </c>
      <c r="W3328">
        <v>48</v>
      </c>
      <c r="Y3328">
        <v>60</v>
      </c>
      <c r="Z3328">
        <v>60</v>
      </c>
      <c r="AA3328">
        <v>60</v>
      </c>
      <c r="AB3328">
        <v>12</v>
      </c>
      <c r="AC3328">
        <v>48</v>
      </c>
      <c r="AD3328">
        <v>12</v>
      </c>
      <c r="AE3328">
        <v>12</v>
      </c>
      <c r="AG3328">
        <v>12</v>
      </c>
      <c r="CH3328" t="str">
        <f t="shared" si="51"/>
        <v>D-0591</v>
      </c>
    </row>
    <row r="3329" spans="1:86">
      <c r="A3329" t="s">
        <v>5063</v>
      </c>
      <c r="B3329">
        <v>876</v>
      </c>
      <c r="C3329" t="s">
        <v>1746</v>
      </c>
      <c r="D3329" t="s">
        <v>410</v>
      </c>
      <c r="E3329" t="s">
        <v>629</v>
      </c>
      <c r="F3329" t="s">
        <v>652</v>
      </c>
      <c r="G3329" t="s">
        <v>1742</v>
      </c>
      <c r="W3329">
        <v>192</v>
      </c>
      <c r="Y3329">
        <v>228</v>
      </c>
      <c r="AA3329">
        <v>216</v>
      </c>
      <c r="AB3329">
        <v>24</v>
      </c>
      <c r="AC3329">
        <v>156</v>
      </c>
      <c r="AD3329">
        <v>24</v>
      </c>
      <c r="AE3329">
        <v>24</v>
      </c>
      <c r="AG3329">
        <v>12</v>
      </c>
      <c r="CH3329" t="str">
        <f t="shared" si="51"/>
        <v>D-0591</v>
      </c>
    </row>
    <row r="3330" spans="1:86">
      <c r="A3330" t="s">
        <v>5064</v>
      </c>
      <c r="B3330">
        <v>117</v>
      </c>
      <c r="C3330" t="s">
        <v>1746</v>
      </c>
      <c r="D3330" t="s">
        <v>410</v>
      </c>
      <c r="E3330" t="s">
        <v>629</v>
      </c>
      <c r="F3330" t="s">
        <v>652</v>
      </c>
      <c r="G3330" t="s">
        <v>1742</v>
      </c>
      <c r="W3330">
        <v>18</v>
      </c>
      <c r="Y3330">
        <v>27</v>
      </c>
      <c r="AA3330">
        <v>33</v>
      </c>
      <c r="AC3330">
        <v>24</v>
      </c>
      <c r="AE3330">
        <v>12</v>
      </c>
      <c r="AG3330">
        <v>3</v>
      </c>
      <c r="CH3330" t="str">
        <f t="shared" ref="CH3330:CH3393" si="52">TRIM(IFERROR(IFERROR(MID($D3330,FIND("(D-",$D3330)+1,6),LEFT($D3330,FIND("(",$D3330)-1)),$D3330))</f>
        <v>D-0591</v>
      </c>
    </row>
    <row r="3331" spans="1:86">
      <c r="A3331" t="s">
        <v>5065</v>
      </c>
      <c r="B3331">
        <v>200</v>
      </c>
      <c r="C3331" t="s">
        <v>1746</v>
      </c>
      <c r="D3331" t="s">
        <v>410</v>
      </c>
      <c r="E3331" t="s">
        <v>629</v>
      </c>
      <c r="F3331" t="s">
        <v>652</v>
      </c>
      <c r="G3331" t="s">
        <v>1742</v>
      </c>
      <c r="X3331">
        <v>50</v>
      </c>
      <c r="Y3331">
        <v>25</v>
      </c>
      <c r="Z3331">
        <v>50</v>
      </c>
      <c r="AA3331">
        <v>25</v>
      </c>
      <c r="AC3331">
        <v>25</v>
      </c>
      <c r="AD3331">
        <v>25</v>
      </c>
      <c r="CH3331" t="str">
        <f t="shared" si="52"/>
        <v>D-0591</v>
      </c>
    </row>
    <row r="3332" spans="1:86">
      <c r="A3332" t="s">
        <v>5066</v>
      </c>
      <c r="B3332">
        <v>98</v>
      </c>
      <c r="C3332" t="s">
        <v>1746</v>
      </c>
      <c r="D3332" t="s">
        <v>410</v>
      </c>
      <c r="E3332" t="s">
        <v>629</v>
      </c>
      <c r="F3332" t="s">
        <v>652</v>
      </c>
      <c r="G3332" t="s">
        <v>1742</v>
      </c>
      <c r="W3332">
        <v>28</v>
      </c>
      <c r="X3332">
        <v>28</v>
      </c>
      <c r="Y3332">
        <v>14</v>
      </c>
      <c r="Z3332">
        <v>14</v>
      </c>
      <c r="AA3332">
        <v>14</v>
      </c>
      <c r="CH3332" t="str">
        <f t="shared" si="52"/>
        <v>D-0591</v>
      </c>
    </row>
    <row r="3333" spans="1:86">
      <c r="A3333" t="s">
        <v>5067</v>
      </c>
      <c r="B3333">
        <v>204</v>
      </c>
      <c r="C3333" t="s">
        <v>1746</v>
      </c>
      <c r="D3333" t="s">
        <v>410</v>
      </c>
      <c r="E3333" t="s">
        <v>629</v>
      </c>
      <c r="F3333" t="s">
        <v>652</v>
      </c>
      <c r="G3333" t="s">
        <v>1742</v>
      </c>
      <c r="W3333">
        <v>24</v>
      </c>
      <c r="X3333">
        <v>24</v>
      </c>
      <c r="Y3333">
        <v>24</v>
      </c>
      <c r="Z3333">
        <v>24</v>
      </c>
      <c r="AA3333">
        <v>24</v>
      </c>
      <c r="AB3333">
        <v>24</v>
      </c>
      <c r="AC3333">
        <v>24</v>
      </c>
      <c r="AD3333">
        <v>12</v>
      </c>
      <c r="AE3333">
        <v>12</v>
      </c>
      <c r="AG3333">
        <v>12</v>
      </c>
      <c r="CH3333" t="str">
        <f t="shared" si="52"/>
        <v>D-0591</v>
      </c>
    </row>
    <row r="3334" spans="1:86">
      <c r="A3334" t="s">
        <v>5068</v>
      </c>
      <c r="B3334">
        <v>564</v>
      </c>
      <c r="C3334" t="s">
        <v>1746</v>
      </c>
      <c r="D3334" t="s">
        <v>410</v>
      </c>
      <c r="E3334" t="s">
        <v>629</v>
      </c>
      <c r="F3334" t="s">
        <v>652</v>
      </c>
      <c r="G3334" t="s">
        <v>1742</v>
      </c>
      <c r="W3334">
        <v>12</v>
      </c>
      <c r="X3334">
        <v>168</v>
      </c>
      <c r="Z3334">
        <v>168</v>
      </c>
      <c r="AB3334">
        <v>24</v>
      </c>
      <c r="AC3334">
        <v>108</v>
      </c>
      <c r="AD3334">
        <v>84</v>
      </c>
      <c r="CH3334" t="str">
        <f t="shared" si="52"/>
        <v>D-0591</v>
      </c>
    </row>
    <row r="3335" spans="1:86">
      <c r="A3335" t="s">
        <v>5069</v>
      </c>
      <c r="B3335">
        <v>12</v>
      </c>
      <c r="C3335" t="s">
        <v>1746</v>
      </c>
      <c r="D3335" t="s">
        <v>410</v>
      </c>
      <c r="E3335" t="s">
        <v>629</v>
      </c>
      <c r="F3335" t="s">
        <v>652</v>
      </c>
      <c r="G3335" t="s">
        <v>1742</v>
      </c>
      <c r="S3335">
        <v>12</v>
      </c>
      <c r="CH3335" t="str">
        <f t="shared" si="52"/>
        <v>D-0591</v>
      </c>
    </row>
    <row r="3336" spans="1:86">
      <c r="A3336" t="s">
        <v>5070</v>
      </c>
      <c r="B3336">
        <v>216</v>
      </c>
      <c r="C3336" t="s">
        <v>1746</v>
      </c>
      <c r="D3336" t="s">
        <v>410</v>
      </c>
      <c r="E3336" t="s">
        <v>629</v>
      </c>
      <c r="F3336" t="s">
        <v>652</v>
      </c>
      <c r="G3336" t="s">
        <v>1742</v>
      </c>
      <c r="W3336">
        <v>24</v>
      </c>
      <c r="X3336">
        <v>24</v>
      </c>
      <c r="Y3336">
        <v>36</v>
      </c>
      <c r="Z3336">
        <v>24</v>
      </c>
      <c r="AA3336">
        <v>36</v>
      </c>
      <c r="AB3336">
        <v>24</v>
      </c>
      <c r="AC3336">
        <v>24</v>
      </c>
      <c r="AD3336">
        <v>24</v>
      </c>
      <c r="CH3336" t="str">
        <f t="shared" si="52"/>
        <v>D-0591</v>
      </c>
    </row>
    <row r="3337" spans="1:86">
      <c r="A3337" t="s">
        <v>5071</v>
      </c>
      <c r="B3337">
        <v>396</v>
      </c>
      <c r="C3337" t="s">
        <v>1746</v>
      </c>
      <c r="D3337" t="s">
        <v>410</v>
      </c>
      <c r="E3337" t="s">
        <v>629</v>
      </c>
      <c r="F3337" t="s">
        <v>652</v>
      </c>
      <c r="G3337" t="s">
        <v>1742</v>
      </c>
      <c r="U3337">
        <v>36</v>
      </c>
      <c r="X3337">
        <v>96</v>
      </c>
      <c r="Y3337">
        <v>96</v>
      </c>
      <c r="Z3337">
        <v>60</v>
      </c>
      <c r="AA3337">
        <v>60</v>
      </c>
      <c r="AB3337">
        <v>24</v>
      </c>
      <c r="AC3337">
        <v>24</v>
      </c>
      <c r="CH3337" t="str">
        <f t="shared" si="52"/>
        <v>D-0591</v>
      </c>
    </row>
    <row r="3338" spans="1:86">
      <c r="A3338" t="s">
        <v>5072</v>
      </c>
      <c r="B3338">
        <v>98</v>
      </c>
      <c r="C3338" t="s">
        <v>1746</v>
      </c>
      <c r="D3338" t="s">
        <v>410</v>
      </c>
      <c r="E3338" t="s">
        <v>629</v>
      </c>
      <c r="F3338" t="s">
        <v>652</v>
      </c>
      <c r="G3338" t="s">
        <v>1742</v>
      </c>
      <c r="U3338">
        <v>14</v>
      </c>
      <c r="X3338">
        <v>28</v>
      </c>
      <c r="Z3338">
        <v>28</v>
      </c>
      <c r="AA3338">
        <v>14</v>
      </c>
      <c r="AB3338">
        <v>14</v>
      </c>
      <c r="CH3338" t="str">
        <f t="shared" si="52"/>
        <v>D-0591</v>
      </c>
    </row>
    <row r="3339" spans="1:86">
      <c r="A3339" t="s">
        <v>5073</v>
      </c>
      <c r="B3339">
        <v>800</v>
      </c>
      <c r="C3339" t="s">
        <v>1746</v>
      </c>
      <c r="D3339" t="s">
        <v>410</v>
      </c>
      <c r="E3339" t="s">
        <v>629</v>
      </c>
      <c r="F3339" t="s">
        <v>652</v>
      </c>
      <c r="G3339" t="s">
        <v>1742</v>
      </c>
      <c r="U3339">
        <v>100</v>
      </c>
      <c r="X3339">
        <v>300</v>
      </c>
      <c r="Z3339">
        <v>200</v>
      </c>
      <c r="AA3339">
        <v>100</v>
      </c>
      <c r="AC3339">
        <v>100</v>
      </c>
      <c r="CH3339" t="str">
        <f t="shared" si="52"/>
        <v>D-0591</v>
      </c>
    </row>
    <row r="3340" spans="1:86">
      <c r="A3340" t="s">
        <v>5074</v>
      </c>
      <c r="B3340">
        <v>192</v>
      </c>
      <c r="C3340" t="s">
        <v>1746</v>
      </c>
      <c r="D3340" t="s">
        <v>410</v>
      </c>
      <c r="E3340" t="s">
        <v>629</v>
      </c>
      <c r="F3340" t="s">
        <v>652</v>
      </c>
      <c r="G3340" t="s">
        <v>1742</v>
      </c>
      <c r="U3340">
        <v>36</v>
      </c>
      <c r="X3340">
        <v>72</v>
      </c>
      <c r="Z3340">
        <v>36</v>
      </c>
      <c r="AA3340">
        <v>24</v>
      </c>
      <c r="AC3340">
        <v>24</v>
      </c>
      <c r="CH3340" t="str">
        <f t="shared" si="52"/>
        <v>D-0591</v>
      </c>
    </row>
    <row r="3341" spans="1:86">
      <c r="A3341" t="s">
        <v>5075</v>
      </c>
      <c r="B3341">
        <v>288</v>
      </c>
      <c r="C3341" t="s">
        <v>1746</v>
      </c>
      <c r="D3341" t="s">
        <v>410</v>
      </c>
      <c r="E3341" t="s">
        <v>629</v>
      </c>
      <c r="F3341" t="s">
        <v>652</v>
      </c>
      <c r="G3341" t="s">
        <v>1742</v>
      </c>
      <c r="S3341">
        <v>60</v>
      </c>
      <c r="U3341">
        <v>84</v>
      </c>
      <c r="W3341">
        <v>72</v>
      </c>
      <c r="Y3341">
        <v>36</v>
      </c>
      <c r="AA3341">
        <v>24</v>
      </c>
      <c r="AC3341">
        <v>12</v>
      </c>
      <c r="CH3341" t="str">
        <f t="shared" si="52"/>
        <v>D-0591</v>
      </c>
    </row>
    <row r="3342" spans="1:86">
      <c r="A3342" t="s">
        <v>5076</v>
      </c>
      <c r="B3342">
        <v>34</v>
      </c>
      <c r="C3342" t="s">
        <v>1729</v>
      </c>
      <c r="D3342" t="s">
        <v>261</v>
      </c>
      <c r="E3342" t="s">
        <v>629</v>
      </c>
      <c r="F3342" t="s">
        <v>635</v>
      </c>
      <c r="G3342" t="s">
        <v>1516</v>
      </c>
      <c r="V3342">
        <v>17</v>
      </c>
      <c r="X3342">
        <v>17</v>
      </c>
      <c r="CH3342" t="str">
        <f t="shared" si="52"/>
        <v>D-0310</v>
      </c>
    </row>
    <row r="3343" spans="1:86">
      <c r="A3343" t="s">
        <v>5077</v>
      </c>
      <c r="B3343">
        <v>6</v>
      </c>
      <c r="C3343" t="s">
        <v>1746</v>
      </c>
      <c r="D3343" t="s">
        <v>410</v>
      </c>
      <c r="E3343" t="s">
        <v>629</v>
      </c>
      <c r="F3343" t="s">
        <v>652</v>
      </c>
      <c r="G3343" t="s">
        <v>1742</v>
      </c>
      <c r="V3343">
        <v>3</v>
      </c>
      <c r="X3343">
        <v>3</v>
      </c>
      <c r="CH3343" t="str">
        <f t="shared" si="52"/>
        <v>D-0591</v>
      </c>
    </row>
    <row r="3344" spans="1:86">
      <c r="A3344" t="s">
        <v>5078</v>
      </c>
      <c r="B3344">
        <v>4</v>
      </c>
      <c r="C3344" t="s">
        <v>1746</v>
      </c>
      <c r="D3344" t="s">
        <v>410</v>
      </c>
      <c r="E3344" t="s">
        <v>629</v>
      </c>
      <c r="F3344" t="s">
        <v>652</v>
      </c>
      <c r="G3344" t="s">
        <v>1742</v>
      </c>
      <c r="V3344">
        <v>2</v>
      </c>
      <c r="X3344">
        <v>2</v>
      </c>
      <c r="CH3344" t="str">
        <f t="shared" si="52"/>
        <v>D-0591</v>
      </c>
    </row>
    <row r="3345" spans="1:86">
      <c r="A3345" t="s">
        <v>5079</v>
      </c>
      <c r="B3345">
        <v>4</v>
      </c>
      <c r="C3345" t="s">
        <v>1746</v>
      </c>
      <c r="D3345" t="s">
        <v>410</v>
      </c>
      <c r="E3345" t="s">
        <v>629</v>
      </c>
      <c r="F3345" t="s">
        <v>652</v>
      </c>
      <c r="G3345" t="s">
        <v>1742</v>
      </c>
      <c r="V3345">
        <v>2</v>
      </c>
      <c r="X3345">
        <v>2</v>
      </c>
      <c r="CH3345" t="str">
        <f t="shared" si="52"/>
        <v>D-0591</v>
      </c>
    </row>
    <row r="3346" spans="1:86">
      <c r="A3346" t="s">
        <v>5080</v>
      </c>
      <c r="B3346">
        <v>16</v>
      </c>
      <c r="C3346" t="s">
        <v>1746</v>
      </c>
      <c r="D3346" t="s">
        <v>410</v>
      </c>
      <c r="E3346" t="s">
        <v>629</v>
      </c>
      <c r="F3346" t="s">
        <v>652</v>
      </c>
      <c r="G3346" t="s">
        <v>1742</v>
      </c>
      <c r="V3346">
        <v>8</v>
      </c>
      <c r="X3346">
        <v>8</v>
      </c>
      <c r="CH3346" t="str">
        <f t="shared" si="52"/>
        <v>D-0591</v>
      </c>
    </row>
    <row r="3347" spans="1:86">
      <c r="A3347" t="s">
        <v>5081</v>
      </c>
      <c r="B3347">
        <v>14</v>
      </c>
      <c r="C3347" t="s">
        <v>1746</v>
      </c>
      <c r="D3347" t="s">
        <v>410</v>
      </c>
      <c r="E3347" t="s">
        <v>629</v>
      </c>
      <c r="F3347" t="s">
        <v>652</v>
      </c>
      <c r="G3347" t="s">
        <v>1742</v>
      </c>
      <c r="V3347">
        <v>7</v>
      </c>
      <c r="X3347">
        <v>7</v>
      </c>
      <c r="CH3347" t="str">
        <f t="shared" si="52"/>
        <v>D-0591</v>
      </c>
    </row>
    <row r="3348" spans="1:86">
      <c r="A3348" t="s">
        <v>5082</v>
      </c>
      <c r="B3348">
        <v>8</v>
      </c>
      <c r="C3348" t="s">
        <v>1746</v>
      </c>
      <c r="D3348" t="s">
        <v>410</v>
      </c>
      <c r="E3348" t="s">
        <v>629</v>
      </c>
      <c r="F3348" t="s">
        <v>652</v>
      </c>
      <c r="G3348" t="s">
        <v>1742</v>
      </c>
      <c r="V3348">
        <v>4</v>
      </c>
      <c r="X3348">
        <v>4</v>
      </c>
      <c r="CH3348" t="str">
        <f t="shared" si="52"/>
        <v>D-0591</v>
      </c>
    </row>
    <row r="3349" spans="1:86">
      <c r="A3349" t="s">
        <v>5083</v>
      </c>
      <c r="B3349">
        <v>46</v>
      </c>
      <c r="C3349" t="s">
        <v>1542</v>
      </c>
      <c r="D3349" t="s">
        <v>261</v>
      </c>
      <c r="E3349" t="s">
        <v>629</v>
      </c>
      <c r="F3349" t="s">
        <v>635</v>
      </c>
      <c r="G3349" t="s">
        <v>1516</v>
      </c>
      <c r="V3349">
        <v>23</v>
      </c>
      <c r="X3349">
        <v>23</v>
      </c>
      <c r="CH3349" t="str">
        <f t="shared" si="52"/>
        <v>D-0310</v>
      </c>
    </row>
    <row r="3350" spans="1:86">
      <c r="A3350" t="s">
        <v>5084</v>
      </c>
      <c r="B3350">
        <v>18</v>
      </c>
      <c r="C3350" t="s">
        <v>1746</v>
      </c>
      <c r="D3350" t="s">
        <v>410</v>
      </c>
      <c r="E3350" t="s">
        <v>629</v>
      </c>
      <c r="F3350" t="s">
        <v>652</v>
      </c>
      <c r="G3350" t="s">
        <v>1742</v>
      </c>
      <c r="V3350">
        <v>9</v>
      </c>
      <c r="X3350">
        <v>9</v>
      </c>
      <c r="CH3350" t="str">
        <f t="shared" si="52"/>
        <v>D-0591</v>
      </c>
    </row>
    <row r="3351" spans="1:86">
      <c r="A3351" t="s">
        <v>5085</v>
      </c>
      <c r="B3351">
        <v>8</v>
      </c>
      <c r="C3351" t="s">
        <v>1746</v>
      </c>
      <c r="D3351" t="s">
        <v>410</v>
      </c>
      <c r="E3351" t="s">
        <v>629</v>
      </c>
      <c r="F3351" t="s">
        <v>652</v>
      </c>
      <c r="G3351" t="s">
        <v>1742</v>
      </c>
      <c r="V3351">
        <v>4</v>
      </c>
      <c r="X3351">
        <v>4</v>
      </c>
      <c r="CH3351" t="str">
        <f t="shared" si="52"/>
        <v>D-0591</v>
      </c>
    </row>
    <row r="3352" spans="1:86">
      <c r="A3352" t="s">
        <v>5086</v>
      </c>
      <c r="B3352">
        <v>5</v>
      </c>
      <c r="C3352" t="s">
        <v>3782</v>
      </c>
      <c r="D3352" t="s">
        <v>308</v>
      </c>
      <c r="E3352" t="s">
        <v>629</v>
      </c>
      <c r="F3352" t="s">
        <v>633</v>
      </c>
      <c r="G3352" t="s">
        <v>3783</v>
      </c>
      <c r="X3352">
        <v>5</v>
      </c>
      <c r="CH3352" t="str">
        <f t="shared" si="52"/>
        <v>D-0454</v>
      </c>
    </row>
    <row r="3353" spans="1:86">
      <c r="A3353" t="s">
        <v>5087</v>
      </c>
      <c r="B3353">
        <v>104</v>
      </c>
      <c r="C3353" t="s">
        <v>715</v>
      </c>
      <c r="D3353" t="s">
        <v>308</v>
      </c>
      <c r="E3353" t="s">
        <v>629</v>
      </c>
      <c r="F3353" t="s">
        <v>633</v>
      </c>
      <c r="G3353" t="s">
        <v>2286</v>
      </c>
      <c r="T3353">
        <v>5</v>
      </c>
      <c r="U3353">
        <v>6</v>
      </c>
      <c r="V3353">
        <v>9</v>
      </c>
      <c r="W3353">
        <v>10</v>
      </c>
      <c r="X3353">
        <v>11</v>
      </c>
      <c r="Y3353">
        <v>12</v>
      </c>
      <c r="Z3353">
        <v>12</v>
      </c>
      <c r="AB3353">
        <v>12</v>
      </c>
      <c r="AC3353">
        <v>9</v>
      </c>
      <c r="AD3353">
        <v>10</v>
      </c>
      <c r="AF3353">
        <v>8</v>
      </c>
      <c r="CH3353" t="str">
        <f t="shared" si="52"/>
        <v>D-0454</v>
      </c>
    </row>
    <row r="3354" spans="1:86">
      <c r="A3354" t="s">
        <v>5088</v>
      </c>
      <c r="B3354">
        <v>18</v>
      </c>
      <c r="C3354" t="s">
        <v>987</v>
      </c>
      <c r="D3354" t="s">
        <v>308</v>
      </c>
      <c r="E3354" t="s">
        <v>629</v>
      </c>
      <c r="F3354" t="s">
        <v>633</v>
      </c>
      <c r="G3354" t="s">
        <v>2593</v>
      </c>
      <c r="AJ3354">
        <v>18</v>
      </c>
      <c r="CH3354" t="str">
        <f t="shared" si="52"/>
        <v>D-0454</v>
      </c>
    </row>
    <row r="3355" spans="1:86">
      <c r="A3355" t="s">
        <v>5092</v>
      </c>
      <c r="B3355">
        <v>49</v>
      </c>
      <c r="C3355" t="s">
        <v>2817</v>
      </c>
      <c r="D3355" t="s">
        <v>210</v>
      </c>
      <c r="E3355" t="s">
        <v>629</v>
      </c>
      <c r="F3355" t="s">
        <v>633</v>
      </c>
      <c r="G3355" t="s">
        <v>2593</v>
      </c>
      <c r="S3355">
        <v>1</v>
      </c>
      <c r="T3355">
        <v>3</v>
      </c>
      <c r="U3355">
        <v>3</v>
      </c>
      <c r="V3355">
        <v>5</v>
      </c>
      <c r="W3355">
        <v>4</v>
      </c>
      <c r="X3355">
        <v>6</v>
      </c>
      <c r="Y3355">
        <v>5</v>
      </c>
      <c r="Z3355">
        <v>5</v>
      </c>
      <c r="AA3355">
        <v>3</v>
      </c>
      <c r="AB3355">
        <v>4</v>
      </c>
      <c r="AC3355">
        <v>3</v>
      </c>
      <c r="AD3355">
        <v>3</v>
      </c>
      <c r="AE3355">
        <v>1</v>
      </c>
      <c r="AF3355">
        <v>3</v>
      </c>
      <c r="CH3355" t="str">
        <f t="shared" si="52"/>
        <v>D-0256</v>
      </c>
    </row>
    <row r="3356" spans="1:86">
      <c r="A3356" t="s">
        <v>5093</v>
      </c>
      <c r="B3356">
        <v>1062</v>
      </c>
      <c r="C3356" t="s">
        <v>702</v>
      </c>
      <c r="D3356" t="s">
        <v>534</v>
      </c>
      <c r="E3356" t="s">
        <v>676</v>
      </c>
      <c r="F3356" t="s">
        <v>703</v>
      </c>
      <c r="G3356" t="s">
        <v>704</v>
      </c>
      <c r="BK3356">
        <v>105</v>
      </c>
      <c r="BL3356">
        <v>342</v>
      </c>
      <c r="BM3356">
        <v>234</v>
      </c>
      <c r="BN3356">
        <v>211</v>
      </c>
      <c r="BO3356">
        <v>105</v>
      </c>
      <c r="BP3356">
        <v>33</v>
      </c>
      <c r="BQ3356">
        <v>32</v>
      </c>
      <c r="CH3356" t="str">
        <f t="shared" si="52"/>
        <v>D-0666</v>
      </c>
    </row>
    <row r="3357" spans="1:86">
      <c r="A3357" t="s">
        <v>5094</v>
      </c>
      <c r="B3357">
        <v>3053</v>
      </c>
      <c r="C3357" t="s">
        <v>5095</v>
      </c>
      <c r="D3357" t="s">
        <v>308</v>
      </c>
      <c r="E3357" t="s">
        <v>629</v>
      </c>
      <c r="F3357" t="s">
        <v>633</v>
      </c>
      <c r="G3357" t="s">
        <v>5096</v>
      </c>
      <c r="M3357">
        <v>51</v>
      </c>
      <c r="N3357">
        <v>56</v>
      </c>
      <c r="O3357">
        <v>176</v>
      </c>
      <c r="P3357">
        <v>189</v>
      </c>
      <c r="Q3357">
        <v>355</v>
      </c>
      <c r="R3357">
        <v>390</v>
      </c>
      <c r="S3357">
        <v>479</v>
      </c>
      <c r="T3357">
        <v>402</v>
      </c>
      <c r="U3357">
        <v>368</v>
      </c>
      <c r="V3357">
        <v>212</v>
      </c>
      <c r="W3357">
        <v>198</v>
      </c>
      <c r="X3357">
        <v>47</v>
      </c>
      <c r="Y3357">
        <v>89</v>
      </c>
      <c r="Z3357">
        <v>6</v>
      </c>
      <c r="AA3357">
        <v>35</v>
      </c>
      <c r="CH3357" t="str">
        <f t="shared" si="52"/>
        <v>D-0454</v>
      </c>
    </row>
    <row r="3358" spans="1:86">
      <c r="A3358" t="s">
        <v>5097</v>
      </c>
      <c r="B3358">
        <v>718</v>
      </c>
      <c r="C3358" t="s">
        <v>1202</v>
      </c>
      <c r="D3358" t="s">
        <v>291</v>
      </c>
      <c r="E3358" t="s">
        <v>629</v>
      </c>
      <c r="F3358" t="s">
        <v>661</v>
      </c>
      <c r="G3358" t="s">
        <v>2557</v>
      </c>
      <c r="S3358">
        <v>12</v>
      </c>
      <c r="T3358">
        <v>12</v>
      </c>
      <c r="U3358">
        <v>15</v>
      </c>
      <c r="V3358">
        <v>59</v>
      </c>
      <c r="W3358">
        <v>85</v>
      </c>
      <c r="X3358">
        <v>80</v>
      </c>
      <c r="Y3358">
        <v>117</v>
      </c>
      <c r="Z3358">
        <v>105</v>
      </c>
      <c r="AA3358">
        <v>65</v>
      </c>
      <c r="AB3358">
        <v>63</v>
      </c>
      <c r="AC3358">
        <v>44</v>
      </c>
      <c r="AD3358">
        <v>44</v>
      </c>
      <c r="AE3358">
        <v>10</v>
      </c>
      <c r="AF3358">
        <v>6</v>
      </c>
      <c r="AH3358">
        <v>1</v>
      </c>
      <c r="CH3358" t="str">
        <f t="shared" si="52"/>
        <v>D-0419</v>
      </c>
    </row>
    <row r="3359" spans="1:86">
      <c r="A3359" t="s">
        <v>5098</v>
      </c>
      <c r="B3359">
        <v>1</v>
      </c>
      <c r="C3359" t="s">
        <v>4874</v>
      </c>
      <c r="D3359" t="s">
        <v>291</v>
      </c>
      <c r="E3359" t="s">
        <v>629</v>
      </c>
      <c r="F3359" t="s">
        <v>661</v>
      </c>
      <c r="G3359" t="s">
        <v>3420</v>
      </c>
      <c r="Z3359">
        <v>1</v>
      </c>
      <c r="CH3359" t="str">
        <f t="shared" si="52"/>
        <v>D-0419</v>
      </c>
    </row>
    <row r="3360" spans="1:86">
      <c r="A3360" t="s">
        <v>5101</v>
      </c>
      <c r="B3360">
        <v>425</v>
      </c>
      <c r="C3360" t="s">
        <v>3847</v>
      </c>
      <c r="D3360" t="s">
        <v>223</v>
      </c>
      <c r="E3360" t="s">
        <v>642</v>
      </c>
      <c r="F3360" t="s">
        <v>690</v>
      </c>
      <c r="G3360" t="s">
        <v>3848</v>
      </c>
      <c r="AB3360">
        <v>425</v>
      </c>
      <c r="CH3360" t="str">
        <f t="shared" si="52"/>
        <v>D-0263</v>
      </c>
    </row>
    <row r="3361" spans="1:86">
      <c r="A3361" t="s">
        <v>5102</v>
      </c>
      <c r="B3361">
        <v>12</v>
      </c>
      <c r="C3361" t="s">
        <v>3847</v>
      </c>
      <c r="D3361" t="s">
        <v>223</v>
      </c>
      <c r="E3361" t="s">
        <v>642</v>
      </c>
      <c r="F3361" t="s">
        <v>690</v>
      </c>
      <c r="G3361" t="s">
        <v>3848</v>
      </c>
      <c r="AB3361">
        <v>12</v>
      </c>
      <c r="CH3361" t="str">
        <f t="shared" si="52"/>
        <v>D-0263</v>
      </c>
    </row>
    <row r="3362" spans="1:86">
      <c r="A3362" t="s">
        <v>5103</v>
      </c>
      <c r="B3362">
        <v>10</v>
      </c>
      <c r="C3362" t="s">
        <v>3847</v>
      </c>
      <c r="D3362" t="s">
        <v>223</v>
      </c>
      <c r="E3362" t="s">
        <v>642</v>
      </c>
      <c r="F3362" t="s">
        <v>690</v>
      </c>
      <c r="G3362" t="s">
        <v>3848</v>
      </c>
      <c r="AB3362">
        <v>10</v>
      </c>
      <c r="CH3362" t="str">
        <f t="shared" si="52"/>
        <v>D-0263</v>
      </c>
    </row>
    <row r="3363" spans="1:86">
      <c r="A3363" t="s">
        <v>5104</v>
      </c>
      <c r="B3363">
        <v>3</v>
      </c>
      <c r="C3363" t="s">
        <v>3847</v>
      </c>
      <c r="D3363" t="s">
        <v>223</v>
      </c>
      <c r="E3363" t="s">
        <v>642</v>
      </c>
      <c r="F3363" t="s">
        <v>690</v>
      </c>
      <c r="G3363" t="s">
        <v>3848</v>
      </c>
      <c r="AC3363">
        <v>3</v>
      </c>
      <c r="CH3363" t="str">
        <f t="shared" si="52"/>
        <v>D-0263</v>
      </c>
    </row>
    <row r="3364" spans="1:86">
      <c r="A3364" t="s">
        <v>5105</v>
      </c>
      <c r="B3364">
        <v>299</v>
      </c>
      <c r="C3364" t="s">
        <v>3847</v>
      </c>
      <c r="D3364" t="s">
        <v>223</v>
      </c>
      <c r="E3364" t="s">
        <v>642</v>
      </c>
      <c r="F3364" t="s">
        <v>690</v>
      </c>
      <c r="G3364" t="s">
        <v>3848</v>
      </c>
      <c r="R3364">
        <v>17</v>
      </c>
      <c r="S3364">
        <v>28</v>
      </c>
      <c r="U3364">
        <v>62</v>
      </c>
      <c r="W3364">
        <v>25</v>
      </c>
      <c r="X3364">
        <v>26</v>
      </c>
      <c r="Y3364">
        <v>88</v>
      </c>
      <c r="AA3364">
        <v>34</v>
      </c>
      <c r="AB3364">
        <v>17</v>
      </c>
      <c r="AC3364">
        <v>2</v>
      </c>
      <c r="CH3364" t="str">
        <f t="shared" si="52"/>
        <v>D-0263</v>
      </c>
    </row>
    <row r="3365" spans="1:86">
      <c r="A3365" t="s">
        <v>5106</v>
      </c>
      <c r="B3365">
        <v>887</v>
      </c>
      <c r="C3365" t="s">
        <v>1166</v>
      </c>
      <c r="D3365" t="s">
        <v>457</v>
      </c>
      <c r="E3365" t="s">
        <v>629</v>
      </c>
      <c r="F3365" t="s">
        <v>672</v>
      </c>
      <c r="G3365" t="s">
        <v>673</v>
      </c>
      <c r="N3365">
        <v>24</v>
      </c>
      <c r="O3365">
        <v>42</v>
      </c>
      <c r="P3365">
        <v>48</v>
      </c>
      <c r="Q3365">
        <v>78</v>
      </c>
      <c r="R3365">
        <v>78</v>
      </c>
      <c r="S3365">
        <v>90</v>
      </c>
      <c r="T3365">
        <v>72</v>
      </c>
      <c r="U3365">
        <v>60</v>
      </c>
      <c r="V3365">
        <v>47</v>
      </c>
      <c r="W3365">
        <v>42</v>
      </c>
      <c r="X3365">
        <v>48</v>
      </c>
      <c r="Y3365">
        <v>54</v>
      </c>
      <c r="Z3365">
        <v>48</v>
      </c>
      <c r="AA3365">
        <v>48</v>
      </c>
      <c r="AB3365">
        <v>36</v>
      </c>
      <c r="AC3365">
        <v>24</v>
      </c>
      <c r="AD3365">
        <v>24</v>
      </c>
      <c r="AF3365">
        <v>18</v>
      </c>
      <c r="AH3365">
        <v>6</v>
      </c>
      <c r="CH3365" t="str">
        <f t="shared" si="52"/>
        <v>JV1-0695-3</v>
      </c>
    </row>
    <row r="3366" spans="1:86">
      <c r="A3366" t="s">
        <v>5107</v>
      </c>
      <c r="B3366">
        <v>167</v>
      </c>
      <c r="C3366" t="s">
        <v>1166</v>
      </c>
      <c r="D3366" t="s">
        <v>457</v>
      </c>
      <c r="E3366" t="s">
        <v>629</v>
      </c>
      <c r="F3366" t="s">
        <v>672</v>
      </c>
      <c r="G3366" t="s">
        <v>673</v>
      </c>
      <c r="O3366">
        <v>12</v>
      </c>
      <c r="P3366">
        <v>12</v>
      </c>
      <c r="Q3366">
        <v>24</v>
      </c>
      <c r="R3366">
        <v>12</v>
      </c>
      <c r="S3366">
        <v>30</v>
      </c>
      <c r="T3366">
        <v>18</v>
      </c>
      <c r="U3366">
        <v>18</v>
      </c>
      <c r="V3366">
        <v>17</v>
      </c>
      <c r="W3366">
        <v>12</v>
      </c>
      <c r="X3366">
        <v>6</v>
      </c>
      <c r="Y3366">
        <v>6</v>
      </c>
      <c r="CH3366" t="str">
        <f t="shared" si="52"/>
        <v>JV1-0695-3</v>
      </c>
    </row>
    <row r="3367" spans="1:86">
      <c r="A3367" t="s">
        <v>5108</v>
      </c>
      <c r="B3367">
        <v>4955</v>
      </c>
      <c r="C3367" t="s">
        <v>1166</v>
      </c>
      <c r="D3367" t="s">
        <v>457</v>
      </c>
      <c r="E3367" t="s">
        <v>629</v>
      </c>
      <c r="F3367" t="s">
        <v>672</v>
      </c>
      <c r="G3367" t="s">
        <v>673</v>
      </c>
      <c r="N3367">
        <v>78</v>
      </c>
      <c r="O3367">
        <v>234</v>
      </c>
      <c r="P3367">
        <v>324</v>
      </c>
      <c r="Q3367">
        <v>486</v>
      </c>
      <c r="R3367">
        <v>588</v>
      </c>
      <c r="S3367">
        <v>660</v>
      </c>
      <c r="T3367">
        <v>570</v>
      </c>
      <c r="U3367">
        <v>498</v>
      </c>
      <c r="V3367">
        <v>347</v>
      </c>
      <c r="W3367">
        <v>336</v>
      </c>
      <c r="X3367">
        <v>180</v>
      </c>
      <c r="Y3367">
        <v>186</v>
      </c>
      <c r="Z3367">
        <v>138</v>
      </c>
      <c r="AA3367">
        <v>126</v>
      </c>
      <c r="AB3367">
        <v>90</v>
      </c>
      <c r="AC3367">
        <v>30</v>
      </c>
      <c r="AD3367">
        <v>48</v>
      </c>
      <c r="AF3367">
        <v>24</v>
      </c>
      <c r="AH3367">
        <v>6</v>
      </c>
      <c r="AJ3367">
        <v>6</v>
      </c>
      <c r="CH3367" t="str">
        <f t="shared" si="52"/>
        <v>JV1-0695-3</v>
      </c>
    </row>
    <row r="3368" spans="1:86">
      <c r="A3368" t="s">
        <v>5109</v>
      </c>
      <c r="B3368">
        <v>4883</v>
      </c>
      <c r="C3368" t="s">
        <v>1166</v>
      </c>
      <c r="D3368" t="s">
        <v>457</v>
      </c>
      <c r="E3368" t="s">
        <v>629</v>
      </c>
      <c r="F3368" t="s">
        <v>672</v>
      </c>
      <c r="G3368" t="s">
        <v>673</v>
      </c>
      <c r="N3368">
        <v>72</v>
      </c>
      <c r="O3368">
        <v>234</v>
      </c>
      <c r="P3368">
        <v>318</v>
      </c>
      <c r="Q3368">
        <v>486</v>
      </c>
      <c r="R3368">
        <v>588</v>
      </c>
      <c r="S3368">
        <v>654</v>
      </c>
      <c r="T3368">
        <v>570</v>
      </c>
      <c r="U3368">
        <v>498</v>
      </c>
      <c r="V3368">
        <v>341</v>
      </c>
      <c r="W3368">
        <v>330</v>
      </c>
      <c r="X3368">
        <v>174</v>
      </c>
      <c r="Y3368">
        <v>180</v>
      </c>
      <c r="Z3368">
        <v>132</v>
      </c>
      <c r="AA3368">
        <v>126</v>
      </c>
      <c r="AB3368">
        <v>84</v>
      </c>
      <c r="AC3368">
        <v>30</v>
      </c>
      <c r="AD3368">
        <v>42</v>
      </c>
      <c r="AF3368">
        <v>18</v>
      </c>
      <c r="AJ3368">
        <v>6</v>
      </c>
      <c r="CH3368" t="str">
        <f t="shared" si="52"/>
        <v>JV1-0695-3</v>
      </c>
    </row>
    <row r="3369" spans="1:86">
      <c r="A3369" t="s">
        <v>5110</v>
      </c>
      <c r="B3369">
        <v>1883</v>
      </c>
      <c r="C3369" t="s">
        <v>1166</v>
      </c>
      <c r="D3369" t="s">
        <v>457</v>
      </c>
      <c r="E3369" t="s">
        <v>629</v>
      </c>
      <c r="F3369" t="s">
        <v>672</v>
      </c>
      <c r="G3369" t="s">
        <v>673</v>
      </c>
      <c r="N3369">
        <v>54</v>
      </c>
      <c r="O3369">
        <v>96</v>
      </c>
      <c r="P3369">
        <v>114</v>
      </c>
      <c r="Q3369">
        <v>168</v>
      </c>
      <c r="R3369">
        <v>168</v>
      </c>
      <c r="S3369">
        <v>228</v>
      </c>
      <c r="T3369">
        <v>132</v>
      </c>
      <c r="U3369">
        <v>114</v>
      </c>
      <c r="V3369">
        <v>101</v>
      </c>
      <c r="W3369">
        <v>96</v>
      </c>
      <c r="X3369">
        <v>96</v>
      </c>
      <c r="Y3369">
        <v>114</v>
      </c>
      <c r="Z3369">
        <v>114</v>
      </c>
      <c r="AA3369">
        <v>132</v>
      </c>
      <c r="AB3369">
        <v>72</v>
      </c>
      <c r="AC3369">
        <v>36</v>
      </c>
      <c r="AD3369">
        <v>30</v>
      </c>
      <c r="AF3369">
        <v>6</v>
      </c>
      <c r="AH3369">
        <v>6</v>
      </c>
      <c r="AJ3369">
        <v>6</v>
      </c>
      <c r="CH3369" t="str">
        <f t="shared" si="52"/>
        <v>JV1-0695-3</v>
      </c>
    </row>
    <row r="3370" spans="1:86">
      <c r="A3370" t="s">
        <v>5111</v>
      </c>
      <c r="B3370">
        <v>1427</v>
      </c>
      <c r="C3370" t="s">
        <v>1166</v>
      </c>
      <c r="D3370" t="s">
        <v>457</v>
      </c>
      <c r="E3370" t="s">
        <v>629</v>
      </c>
      <c r="F3370" t="s">
        <v>672</v>
      </c>
      <c r="G3370" t="s">
        <v>673</v>
      </c>
      <c r="N3370">
        <v>42</v>
      </c>
      <c r="O3370">
        <v>72</v>
      </c>
      <c r="P3370">
        <v>84</v>
      </c>
      <c r="Q3370">
        <v>132</v>
      </c>
      <c r="R3370">
        <v>132</v>
      </c>
      <c r="S3370">
        <v>168</v>
      </c>
      <c r="T3370">
        <v>96</v>
      </c>
      <c r="U3370">
        <v>84</v>
      </c>
      <c r="V3370">
        <v>77</v>
      </c>
      <c r="W3370">
        <v>72</v>
      </c>
      <c r="X3370">
        <v>72</v>
      </c>
      <c r="Y3370">
        <v>84</v>
      </c>
      <c r="Z3370">
        <v>84</v>
      </c>
      <c r="AA3370">
        <v>96</v>
      </c>
      <c r="AB3370">
        <v>54</v>
      </c>
      <c r="AC3370">
        <v>30</v>
      </c>
      <c r="AD3370">
        <v>24</v>
      </c>
      <c r="AF3370">
        <v>6</v>
      </c>
      <c r="AH3370">
        <v>12</v>
      </c>
      <c r="AJ3370">
        <v>6</v>
      </c>
      <c r="CH3370" t="str">
        <f t="shared" si="52"/>
        <v>JV1-0695-3</v>
      </c>
    </row>
    <row r="3371" spans="1:86">
      <c r="A3371" t="s">
        <v>5112</v>
      </c>
      <c r="B3371">
        <v>509</v>
      </c>
      <c r="C3371" t="s">
        <v>3404</v>
      </c>
      <c r="D3371" t="s">
        <v>457</v>
      </c>
      <c r="E3371" t="s">
        <v>629</v>
      </c>
      <c r="F3371" t="s">
        <v>672</v>
      </c>
      <c r="G3371" t="s">
        <v>738</v>
      </c>
      <c r="O3371">
        <v>54</v>
      </c>
      <c r="P3371">
        <v>30</v>
      </c>
      <c r="Q3371">
        <v>96</v>
      </c>
      <c r="R3371">
        <v>48</v>
      </c>
      <c r="S3371">
        <v>120</v>
      </c>
      <c r="T3371">
        <v>24</v>
      </c>
      <c r="U3371">
        <v>78</v>
      </c>
      <c r="V3371">
        <v>23</v>
      </c>
      <c r="W3371">
        <v>36</v>
      </c>
      <c r="CH3371" t="str">
        <f t="shared" si="52"/>
        <v>JV1-0695-3</v>
      </c>
    </row>
    <row r="3372" spans="1:86">
      <c r="A3372" t="s">
        <v>5113</v>
      </c>
      <c r="B3372">
        <v>1163</v>
      </c>
      <c r="C3372" t="s">
        <v>3404</v>
      </c>
      <c r="D3372" t="s">
        <v>457</v>
      </c>
      <c r="E3372" t="s">
        <v>629</v>
      </c>
      <c r="F3372" t="s">
        <v>672</v>
      </c>
      <c r="G3372" t="s">
        <v>738</v>
      </c>
      <c r="P3372">
        <v>193</v>
      </c>
      <c r="Q3372">
        <v>193</v>
      </c>
      <c r="R3372">
        <v>193</v>
      </c>
      <c r="S3372">
        <v>193</v>
      </c>
      <c r="T3372">
        <v>193</v>
      </c>
      <c r="U3372">
        <v>198</v>
      </c>
      <c r="CH3372" t="str">
        <f t="shared" si="52"/>
        <v>JV1-0695-3</v>
      </c>
    </row>
    <row r="3373" spans="1:86">
      <c r="A3373" t="s">
        <v>5114</v>
      </c>
      <c r="B3373">
        <v>2447</v>
      </c>
      <c r="C3373" t="s">
        <v>3404</v>
      </c>
      <c r="D3373" t="s">
        <v>457</v>
      </c>
      <c r="E3373" t="s">
        <v>629</v>
      </c>
      <c r="F3373" t="s">
        <v>672</v>
      </c>
      <c r="G3373" t="s">
        <v>738</v>
      </c>
      <c r="N3373">
        <v>36</v>
      </c>
      <c r="O3373">
        <v>222</v>
      </c>
      <c r="P3373">
        <v>162</v>
      </c>
      <c r="Q3373">
        <v>270</v>
      </c>
      <c r="R3373">
        <v>336</v>
      </c>
      <c r="S3373">
        <v>438</v>
      </c>
      <c r="T3373">
        <v>360</v>
      </c>
      <c r="U3373">
        <v>168</v>
      </c>
      <c r="V3373">
        <v>233</v>
      </c>
      <c r="W3373">
        <v>126</v>
      </c>
      <c r="X3373">
        <v>60</v>
      </c>
      <c r="Y3373">
        <v>24</v>
      </c>
      <c r="Z3373">
        <v>6</v>
      </c>
      <c r="AA3373">
        <v>6</v>
      </c>
      <c r="CH3373" t="str">
        <f t="shared" si="52"/>
        <v>JV1-0695-3</v>
      </c>
    </row>
    <row r="3374" spans="1:86">
      <c r="A3374" t="s">
        <v>5115</v>
      </c>
      <c r="B3374">
        <v>197</v>
      </c>
      <c r="C3374" t="s">
        <v>1166</v>
      </c>
      <c r="D3374" t="s">
        <v>457</v>
      </c>
      <c r="E3374" t="s">
        <v>629</v>
      </c>
      <c r="F3374" t="s">
        <v>672</v>
      </c>
      <c r="G3374" t="s">
        <v>673</v>
      </c>
      <c r="O3374">
        <v>6</v>
      </c>
      <c r="P3374">
        <v>18</v>
      </c>
      <c r="Q3374">
        <v>30</v>
      </c>
      <c r="R3374">
        <v>30</v>
      </c>
      <c r="S3374">
        <v>36</v>
      </c>
      <c r="T3374">
        <v>30</v>
      </c>
      <c r="U3374">
        <v>24</v>
      </c>
      <c r="V3374">
        <v>11</v>
      </c>
      <c r="W3374">
        <v>6</v>
      </c>
      <c r="Y3374">
        <v>6</v>
      </c>
      <c r="CH3374" t="str">
        <f t="shared" si="52"/>
        <v>JV1-0695-3</v>
      </c>
    </row>
    <row r="3375" spans="1:86">
      <c r="A3375" t="s">
        <v>5116</v>
      </c>
      <c r="B3375">
        <v>353</v>
      </c>
      <c r="C3375" t="s">
        <v>1166</v>
      </c>
      <c r="D3375" t="s">
        <v>457</v>
      </c>
      <c r="E3375" t="s">
        <v>629</v>
      </c>
      <c r="F3375" t="s">
        <v>672</v>
      </c>
      <c r="G3375" t="s">
        <v>673</v>
      </c>
      <c r="O3375">
        <v>30</v>
      </c>
      <c r="P3375">
        <v>30</v>
      </c>
      <c r="Q3375">
        <v>48</v>
      </c>
      <c r="R3375">
        <v>48</v>
      </c>
      <c r="S3375">
        <v>54</v>
      </c>
      <c r="T3375">
        <v>48</v>
      </c>
      <c r="U3375">
        <v>48</v>
      </c>
      <c r="V3375">
        <v>23</v>
      </c>
      <c r="W3375">
        <v>18</v>
      </c>
      <c r="Y3375">
        <v>6</v>
      </c>
      <c r="CH3375" t="str">
        <f t="shared" si="52"/>
        <v>JV1-0695-3</v>
      </c>
    </row>
    <row r="3376" spans="1:86">
      <c r="A3376" t="s">
        <v>5117</v>
      </c>
      <c r="B3376">
        <v>197</v>
      </c>
      <c r="C3376" t="s">
        <v>1166</v>
      </c>
      <c r="D3376" t="s">
        <v>457</v>
      </c>
      <c r="E3376" t="s">
        <v>629</v>
      </c>
      <c r="F3376" t="s">
        <v>672</v>
      </c>
      <c r="G3376" t="s">
        <v>673</v>
      </c>
      <c r="O3376">
        <v>12</v>
      </c>
      <c r="P3376">
        <v>18</v>
      </c>
      <c r="Q3376">
        <v>24</v>
      </c>
      <c r="R3376">
        <v>24</v>
      </c>
      <c r="S3376">
        <v>30</v>
      </c>
      <c r="T3376">
        <v>30</v>
      </c>
      <c r="U3376">
        <v>24</v>
      </c>
      <c r="V3376">
        <v>17</v>
      </c>
      <c r="W3376">
        <v>12</v>
      </c>
      <c r="Y3376">
        <v>6</v>
      </c>
      <c r="CH3376" t="str">
        <f t="shared" si="52"/>
        <v>JV1-0695-3</v>
      </c>
    </row>
    <row r="3377" spans="1:86">
      <c r="A3377" t="s">
        <v>5118</v>
      </c>
      <c r="B3377">
        <v>221</v>
      </c>
      <c r="C3377" t="s">
        <v>1166</v>
      </c>
      <c r="D3377" t="s">
        <v>457</v>
      </c>
      <c r="E3377" t="s">
        <v>629</v>
      </c>
      <c r="F3377" t="s">
        <v>672</v>
      </c>
      <c r="G3377" t="s">
        <v>673</v>
      </c>
      <c r="O3377">
        <v>18</v>
      </c>
      <c r="P3377">
        <v>18</v>
      </c>
      <c r="Q3377">
        <v>30</v>
      </c>
      <c r="R3377">
        <v>36</v>
      </c>
      <c r="S3377">
        <v>36</v>
      </c>
      <c r="T3377">
        <v>30</v>
      </c>
      <c r="U3377">
        <v>24</v>
      </c>
      <c r="V3377">
        <v>17</v>
      </c>
      <c r="W3377">
        <v>6</v>
      </c>
      <c r="Y3377">
        <v>6</v>
      </c>
      <c r="CH3377" t="str">
        <f t="shared" si="52"/>
        <v>JV1-0695-3</v>
      </c>
    </row>
    <row r="3378" spans="1:86">
      <c r="A3378" t="s">
        <v>5119</v>
      </c>
      <c r="B3378">
        <v>293</v>
      </c>
      <c r="C3378" t="s">
        <v>1166</v>
      </c>
      <c r="D3378" t="s">
        <v>457</v>
      </c>
      <c r="E3378" t="s">
        <v>629</v>
      </c>
      <c r="F3378" t="s">
        <v>672</v>
      </c>
      <c r="G3378" t="s">
        <v>673</v>
      </c>
      <c r="O3378">
        <v>24</v>
      </c>
      <c r="P3378">
        <v>30</v>
      </c>
      <c r="Q3378">
        <v>42</v>
      </c>
      <c r="R3378">
        <v>42</v>
      </c>
      <c r="S3378">
        <v>48</v>
      </c>
      <c r="T3378">
        <v>36</v>
      </c>
      <c r="U3378">
        <v>36</v>
      </c>
      <c r="V3378">
        <v>17</v>
      </c>
      <c r="W3378">
        <v>12</v>
      </c>
      <c r="Y3378">
        <v>6</v>
      </c>
      <c r="CH3378" t="str">
        <f t="shared" si="52"/>
        <v>JV1-0695-3</v>
      </c>
    </row>
    <row r="3379" spans="1:86">
      <c r="A3379" t="s">
        <v>5120</v>
      </c>
      <c r="B3379">
        <v>197</v>
      </c>
      <c r="C3379" t="s">
        <v>1166</v>
      </c>
      <c r="D3379" t="s">
        <v>457</v>
      </c>
      <c r="E3379" t="s">
        <v>629</v>
      </c>
      <c r="F3379" t="s">
        <v>672</v>
      </c>
      <c r="G3379" t="s">
        <v>673</v>
      </c>
      <c r="O3379">
        <v>12</v>
      </c>
      <c r="P3379">
        <v>12</v>
      </c>
      <c r="Q3379">
        <v>30</v>
      </c>
      <c r="R3379">
        <v>30</v>
      </c>
      <c r="S3379">
        <v>36</v>
      </c>
      <c r="T3379">
        <v>24</v>
      </c>
      <c r="U3379">
        <v>24</v>
      </c>
      <c r="V3379">
        <v>17</v>
      </c>
      <c r="W3379">
        <v>6</v>
      </c>
      <c r="Y3379">
        <v>6</v>
      </c>
      <c r="CH3379" t="str">
        <f t="shared" si="52"/>
        <v>JV1-0695-3</v>
      </c>
    </row>
    <row r="3380" spans="1:86">
      <c r="A3380" t="s">
        <v>5121</v>
      </c>
      <c r="B3380">
        <v>1325</v>
      </c>
      <c r="C3380" t="s">
        <v>3766</v>
      </c>
      <c r="D3380" t="s">
        <v>457</v>
      </c>
      <c r="E3380" t="s">
        <v>629</v>
      </c>
      <c r="F3380" t="s">
        <v>672</v>
      </c>
      <c r="G3380" t="s">
        <v>686</v>
      </c>
      <c r="V3380">
        <v>89</v>
      </c>
      <c r="W3380">
        <v>102</v>
      </c>
      <c r="X3380">
        <v>144</v>
      </c>
      <c r="Y3380">
        <v>168</v>
      </c>
      <c r="Z3380">
        <v>198</v>
      </c>
      <c r="AA3380">
        <v>138</v>
      </c>
      <c r="AB3380">
        <v>168</v>
      </c>
      <c r="AC3380">
        <v>90</v>
      </c>
      <c r="AD3380">
        <v>138</v>
      </c>
      <c r="AF3380">
        <v>78</v>
      </c>
      <c r="AH3380">
        <v>12</v>
      </c>
      <c r="CH3380" t="str">
        <f t="shared" si="52"/>
        <v>JV1-0695-3</v>
      </c>
    </row>
    <row r="3381" spans="1:86">
      <c r="A3381" t="s">
        <v>5122</v>
      </c>
      <c r="B3381">
        <v>605</v>
      </c>
      <c r="C3381" t="s">
        <v>1166</v>
      </c>
      <c r="D3381" t="s">
        <v>457</v>
      </c>
      <c r="E3381" t="s">
        <v>629</v>
      </c>
      <c r="F3381" t="s">
        <v>672</v>
      </c>
      <c r="G3381" t="s">
        <v>673</v>
      </c>
      <c r="N3381">
        <v>6</v>
      </c>
      <c r="O3381">
        <v>42</v>
      </c>
      <c r="P3381">
        <v>42</v>
      </c>
      <c r="Q3381">
        <v>84</v>
      </c>
      <c r="R3381">
        <v>72</v>
      </c>
      <c r="S3381">
        <v>96</v>
      </c>
      <c r="T3381">
        <v>66</v>
      </c>
      <c r="U3381">
        <v>78</v>
      </c>
      <c r="V3381">
        <v>47</v>
      </c>
      <c r="W3381">
        <v>42</v>
      </c>
      <c r="X3381">
        <v>6</v>
      </c>
      <c r="Y3381">
        <v>12</v>
      </c>
      <c r="Z3381">
        <v>6</v>
      </c>
      <c r="AA3381">
        <v>6</v>
      </c>
      <c r="CH3381" t="str">
        <f t="shared" si="52"/>
        <v>JV1-0695-3</v>
      </c>
    </row>
    <row r="3382" spans="1:86">
      <c r="A3382" t="s">
        <v>5123</v>
      </c>
      <c r="B3382">
        <v>1157</v>
      </c>
      <c r="C3382" t="s">
        <v>1166</v>
      </c>
      <c r="D3382" t="s">
        <v>457</v>
      </c>
      <c r="E3382" t="s">
        <v>629</v>
      </c>
      <c r="F3382" t="s">
        <v>672</v>
      </c>
      <c r="G3382" t="s">
        <v>673</v>
      </c>
      <c r="O3382">
        <v>90</v>
      </c>
      <c r="P3382">
        <v>84</v>
      </c>
      <c r="Q3382">
        <v>180</v>
      </c>
      <c r="R3382">
        <v>144</v>
      </c>
      <c r="S3382">
        <v>204</v>
      </c>
      <c r="T3382">
        <v>138</v>
      </c>
      <c r="U3382">
        <v>144</v>
      </c>
      <c r="V3382">
        <v>77</v>
      </c>
      <c r="W3382">
        <v>36</v>
      </c>
      <c r="X3382">
        <v>30</v>
      </c>
      <c r="Z3382">
        <v>30</v>
      </c>
      <c r="CH3382" t="str">
        <f t="shared" si="52"/>
        <v>JV1-0695-3</v>
      </c>
    </row>
    <row r="3383" spans="1:86">
      <c r="A3383" t="s">
        <v>5124</v>
      </c>
      <c r="B3383">
        <v>3002</v>
      </c>
      <c r="C3383" t="s">
        <v>730</v>
      </c>
      <c r="D3383" t="s">
        <v>138</v>
      </c>
      <c r="E3383" t="s">
        <v>642</v>
      </c>
      <c r="F3383" t="s">
        <v>693</v>
      </c>
      <c r="G3383" t="s">
        <v>2283</v>
      </c>
      <c r="P3383">
        <v>90</v>
      </c>
      <c r="Q3383">
        <v>58</v>
      </c>
      <c r="R3383">
        <v>355</v>
      </c>
      <c r="S3383">
        <v>358</v>
      </c>
      <c r="T3383">
        <v>709</v>
      </c>
      <c r="U3383">
        <v>432</v>
      </c>
      <c r="V3383">
        <v>492</v>
      </c>
      <c r="W3383">
        <v>198</v>
      </c>
      <c r="X3383">
        <v>198</v>
      </c>
      <c r="Y3383">
        <v>70</v>
      </c>
      <c r="Z3383">
        <v>42</v>
      </c>
      <c r="CH3383" t="str">
        <f t="shared" si="52"/>
        <v>D-0045</v>
      </c>
    </row>
    <row r="3384" spans="1:86">
      <c r="A3384" t="s">
        <v>5125</v>
      </c>
      <c r="B3384">
        <v>3002</v>
      </c>
      <c r="C3384" t="s">
        <v>3490</v>
      </c>
      <c r="D3384" t="s">
        <v>210</v>
      </c>
      <c r="E3384" t="s">
        <v>642</v>
      </c>
      <c r="F3384" t="s">
        <v>633</v>
      </c>
      <c r="G3384" t="s">
        <v>3389</v>
      </c>
      <c r="P3384">
        <v>51</v>
      </c>
      <c r="Q3384">
        <v>77</v>
      </c>
      <c r="R3384">
        <v>238</v>
      </c>
      <c r="S3384">
        <v>319</v>
      </c>
      <c r="T3384">
        <v>477</v>
      </c>
      <c r="U3384">
        <v>404</v>
      </c>
      <c r="V3384">
        <v>444</v>
      </c>
      <c r="W3384">
        <v>330</v>
      </c>
      <c r="X3384">
        <v>286</v>
      </c>
      <c r="Y3384">
        <v>137</v>
      </c>
      <c r="Z3384">
        <v>158</v>
      </c>
      <c r="AB3384">
        <v>81</v>
      </c>
      <c r="CH3384" t="str">
        <f t="shared" si="52"/>
        <v>D-0256</v>
      </c>
    </row>
    <row r="3385" spans="1:86">
      <c r="A3385" t="s">
        <v>5126</v>
      </c>
      <c r="B3385">
        <v>3002</v>
      </c>
      <c r="C3385" t="s">
        <v>730</v>
      </c>
      <c r="D3385" t="s">
        <v>138</v>
      </c>
      <c r="E3385" t="s">
        <v>642</v>
      </c>
      <c r="F3385" t="s">
        <v>693</v>
      </c>
      <c r="G3385" t="s">
        <v>2283</v>
      </c>
      <c r="P3385">
        <v>137</v>
      </c>
      <c r="Q3385">
        <v>58</v>
      </c>
      <c r="R3385">
        <v>485</v>
      </c>
      <c r="S3385">
        <v>193</v>
      </c>
      <c r="T3385">
        <v>781</v>
      </c>
      <c r="U3385">
        <v>176</v>
      </c>
      <c r="V3385">
        <v>599</v>
      </c>
      <c r="W3385">
        <v>119</v>
      </c>
      <c r="X3385">
        <v>265</v>
      </c>
      <c r="Y3385">
        <v>88</v>
      </c>
      <c r="Z3385">
        <v>101</v>
      </c>
      <c r="CH3385" t="str">
        <f t="shared" si="52"/>
        <v>D-0045</v>
      </c>
    </row>
    <row r="3386" spans="1:86">
      <c r="A3386" t="s">
        <v>5127</v>
      </c>
      <c r="B3386">
        <v>5002</v>
      </c>
      <c r="C3386" t="s">
        <v>4597</v>
      </c>
      <c r="D3386" t="s">
        <v>138</v>
      </c>
      <c r="E3386" t="s">
        <v>642</v>
      </c>
      <c r="F3386" t="s">
        <v>693</v>
      </c>
      <c r="G3386" t="s">
        <v>3448</v>
      </c>
      <c r="P3386">
        <v>12</v>
      </c>
      <c r="Q3386">
        <v>242</v>
      </c>
      <c r="R3386">
        <v>189</v>
      </c>
      <c r="S3386">
        <v>1089</v>
      </c>
      <c r="T3386">
        <v>288</v>
      </c>
      <c r="U3386">
        <v>1470</v>
      </c>
      <c r="V3386">
        <v>269</v>
      </c>
      <c r="W3386">
        <v>950</v>
      </c>
      <c r="X3386">
        <v>63</v>
      </c>
      <c r="Y3386">
        <v>341</v>
      </c>
      <c r="Z3386">
        <v>14</v>
      </c>
      <c r="AA3386">
        <v>75</v>
      </c>
      <c r="CH3386" t="str">
        <f t="shared" si="52"/>
        <v>D-0045</v>
      </c>
    </row>
    <row r="3387" spans="1:86">
      <c r="A3387" t="s">
        <v>5128</v>
      </c>
      <c r="B3387">
        <v>79</v>
      </c>
      <c r="C3387" t="s">
        <v>940</v>
      </c>
      <c r="D3387" t="s">
        <v>249</v>
      </c>
      <c r="E3387" t="s">
        <v>642</v>
      </c>
      <c r="F3387" t="s">
        <v>657</v>
      </c>
      <c r="G3387" t="s">
        <v>941</v>
      </c>
      <c r="U3387">
        <v>16</v>
      </c>
      <c r="W3387">
        <v>27</v>
      </c>
      <c r="Y3387">
        <v>32</v>
      </c>
      <c r="AA3387">
        <v>4</v>
      </c>
      <c r="CH3387" t="str">
        <f t="shared" si="52"/>
        <v>D-0271</v>
      </c>
    </row>
    <row r="3388" spans="1:86">
      <c r="A3388" t="s">
        <v>5175</v>
      </c>
      <c r="B3388">
        <v>15002</v>
      </c>
      <c r="C3388" t="s">
        <v>5176</v>
      </c>
      <c r="D3388" t="s">
        <v>210</v>
      </c>
      <c r="E3388" t="s">
        <v>642</v>
      </c>
      <c r="F3388" t="s">
        <v>633</v>
      </c>
      <c r="G3388" t="s">
        <v>2283</v>
      </c>
      <c r="P3388">
        <v>104</v>
      </c>
      <c r="Q3388">
        <v>114</v>
      </c>
      <c r="R3388">
        <v>902</v>
      </c>
      <c r="S3388">
        <v>1465</v>
      </c>
      <c r="T3388">
        <v>2891</v>
      </c>
      <c r="U3388">
        <v>1643</v>
      </c>
      <c r="V3388">
        <v>3436</v>
      </c>
      <c r="W3388">
        <v>1746</v>
      </c>
      <c r="X3388">
        <v>1157</v>
      </c>
      <c r="Y3388">
        <v>680</v>
      </c>
      <c r="Z3388">
        <v>556</v>
      </c>
      <c r="AA3388">
        <v>103</v>
      </c>
      <c r="AB3388">
        <v>187</v>
      </c>
      <c r="AC3388">
        <v>18</v>
      </c>
      <c r="CH3388" t="str">
        <f t="shared" si="52"/>
        <v>D-0256</v>
      </c>
    </row>
    <row r="3389" spans="1:86">
      <c r="A3389" t="s">
        <v>5129</v>
      </c>
      <c r="B3389">
        <v>3</v>
      </c>
      <c r="C3389" t="s">
        <v>946</v>
      </c>
      <c r="D3389" t="s">
        <v>365</v>
      </c>
      <c r="E3389" t="s">
        <v>629</v>
      </c>
      <c r="F3389" t="s">
        <v>706</v>
      </c>
      <c r="G3389" t="s">
        <v>1351</v>
      </c>
      <c r="U3389">
        <v>1</v>
      </c>
      <c r="AB3389">
        <v>1</v>
      </c>
      <c r="AD3389">
        <v>1</v>
      </c>
      <c r="CH3389" t="str">
        <f t="shared" si="52"/>
        <v>D-0524</v>
      </c>
    </row>
    <row r="3390" spans="1:86">
      <c r="A3390" t="s">
        <v>5177</v>
      </c>
      <c r="B3390">
        <v>1</v>
      </c>
      <c r="C3390" t="s">
        <v>1194</v>
      </c>
      <c r="D3390" t="s">
        <v>199</v>
      </c>
      <c r="E3390" t="s">
        <v>629</v>
      </c>
      <c r="F3390" t="s">
        <v>725</v>
      </c>
      <c r="G3390" t="s">
        <v>4340</v>
      </c>
      <c r="Z3390">
        <v>1</v>
      </c>
      <c r="CH3390" t="str">
        <f t="shared" si="52"/>
        <v>D-0203</v>
      </c>
    </row>
    <row r="3391" spans="1:86">
      <c r="A3391" t="s">
        <v>5178</v>
      </c>
      <c r="B3391">
        <v>67</v>
      </c>
      <c r="C3391" t="s">
        <v>1270</v>
      </c>
      <c r="D3391" t="s">
        <v>444</v>
      </c>
      <c r="E3391" t="s">
        <v>629</v>
      </c>
      <c r="F3391" t="s">
        <v>636</v>
      </c>
      <c r="G3391" t="s">
        <v>1271</v>
      </c>
      <c r="R3391">
        <v>2</v>
      </c>
      <c r="S3391">
        <v>4</v>
      </c>
      <c r="T3391">
        <v>5</v>
      </c>
      <c r="U3391">
        <v>4</v>
      </c>
      <c r="V3391">
        <v>7</v>
      </c>
      <c r="W3391">
        <v>8</v>
      </c>
      <c r="X3391">
        <v>6</v>
      </c>
      <c r="Y3391">
        <v>6</v>
      </c>
      <c r="Z3391">
        <v>5</v>
      </c>
      <c r="AA3391">
        <v>4</v>
      </c>
      <c r="AB3391">
        <v>3</v>
      </c>
      <c r="AC3391">
        <v>2</v>
      </c>
      <c r="AD3391">
        <v>2</v>
      </c>
      <c r="AE3391">
        <v>2</v>
      </c>
      <c r="AF3391">
        <v>3</v>
      </c>
      <c r="AH3391">
        <v>2</v>
      </c>
      <c r="AJ3391">
        <v>2</v>
      </c>
      <c r="CH3391" t="str">
        <f t="shared" si="52"/>
        <v>D-0686</v>
      </c>
    </row>
    <row r="3392" spans="1:86">
      <c r="A3392" t="s">
        <v>5179</v>
      </c>
      <c r="B3392">
        <v>11921</v>
      </c>
      <c r="C3392" t="s">
        <v>752</v>
      </c>
      <c r="D3392" t="s">
        <v>210</v>
      </c>
      <c r="E3392" t="s">
        <v>642</v>
      </c>
      <c r="F3392" t="s">
        <v>633</v>
      </c>
      <c r="G3392" t="s">
        <v>2283</v>
      </c>
      <c r="P3392">
        <v>10</v>
      </c>
      <c r="Q3392">
        <v>516</v>
      </c>
      <c r="R3392">
        <v>499</v>
      </c>
      <c r="S3392">
        <v>1333</v>
      </c>
      <c r="T3392">
        <v>1643</v>
      </c>
      <c r="U3392">
        <v>1283</v>
      </c>
      <c r="V3392">
        <v>2131</v>
      </c>
      <c r="W3392">
        <v>1716</v>
      </c>
      <c r="X3392">
        <v>686</v>
      </c>
      <c r="Y3392">
        <v>1219</v>
      </c>
      <c r="Z3392">
        <v>445</v>
      </c>
      <c r="AA3392">
        <v>217</v>
      </c>
      <c r="AB3392">
        <v>153</v>
      </c>
      <c r="AC3392">
        <v>70</v>
      </c>
      <c r="CH3392" t="str">
        <f t="shared" si="52"/>
        <v>D-0256</v>
      </c>
    </row>
    <row r="3393" spans="1:86">
      <c r="A3393" t="s">
        <v>5180</v>
      </c>
      <c r="B3393">
        <v>3094</v>
      </c>
      <c r="C3393" t="s">
        <v>746</v>
      </c>
      <c r="D3393" t="s">
        <v>447</v>
      </c>
      <c r="E3393" t="s">
        <v>629</v>
      </c>
      <c r="F3393" t="s">
        <v>636</v>
      </c>
      <c r="G3393" t="s">
        <v>637</v>
      </c>
      <c r="R3393">
        <v>39</v>
      </c>
      <c r="X3393">
        <v>1758</v>
      </c>
      <c r="Y3393">
        <v>257</v>
      </c>
      <c r="Z3393">
        <v>811</v>
      </c>
      <c r="AB3393">
        <v>229</v>
      </c>
      <c r="CH3393" t="str">
        <f t="shared" si="52"/>
        <v>D-0686</v>
      </c>
    </row>
    <row r="3394" spans="1:86">
      <c r="A3394" t="s">
        <v>5181</v>
      </c>
      <c r="B3394">
        <v>137</v>
      </c>
      <c r="C3394" t="s">
        <v>1035</v>
      </c>
      <c r="D3394" t="s">
        <v>457</v>
      </c>
      <c r="E3394" t="s">
        <v>629</v>
      </c>
      <c r="F3394" t="s">
        <v>1036</v>
      </c>
      <c r="G3394" t="s">
        <v>1037</v>
      </c>
      <c r="S3394">
        <v>120</v>
      </c>
      <c r="T3394">
        <v>17</v>
      </c>
      <c r="CH3394" t="str">
        <f t="shared" ref="CH3394:CH3457" si="53">TRIM(IFERROR(IFERROR(MID($D3394,FIND("(D-",$D3394)+1,6),LEFT($D3394,FIND("(",$D3394)-1)),$D3394))</f>
        <v>JV1-0695-3</v>
      </c>
    </row>
    <row r="3395" spans="1:86">
      <c r="A3395" t="s">
        <v>5182</v>
      </c>
      <c r="B3395">
        <v>173</v>
      </c>
      <c r="C3395" t="s">
        <v>1035</v>
      </c>
      <c r="D3395" t="s">
        <v>457</v>
      </c>
      <c r="E3395" t="s">
        <v>629</v>
      </c>
      <c r="F3395" t="s">
        <v>1036</v>
      </c>
      <c r="G3395" t="s">
        <v>1037</v>
      </c>
      <c r="AF3395">
        <v>173</v>
      </c>
      <c r="CH3395" t="str">
        <f t="shared" si="53"/>
        <v>JV1-0695-3</v>
      </c>
    </row>
    <row r="3396" spans="1:86">
      <c r="A3396" t="s">
        <v>5183</v>
      </c>
      <c r="B3396">
        <v>25</v>
      </c>
      <c r="C3396" t="s">
        <v>1035</v>
      </c>
      <c r="D3396" t="s">
        <v>457</v>
      </c>
      <c r="E3396" t="s">
        <v>629</v>
      </c>
      <c r="F3396" t="s">
        <v>1036</v>
      </c>
      <c r="G3396" t="s">
        <v>1037</v>
      </c>
      <c r="S3396">
        <v>25</v>
      </c>
      <c r="CH3396" t="str">
        <f t="shared" si="53"/>
        <v>JV1-0695-3</v>
      </c>
    </row>
    <row r="3397" spans="1:86">
      <c r="A3397" t="s">
        <v>5184</v>
      </c>
      <c r="B3397">
        <v>108</v>
      </c>
      <c r="C3397" t="s">
        <v>1035</v>
      </c>
      <c r="D3397" t="s">
        <v>457</v>
      </c>
      <c r="E3397" t="s">
        <v>629</v>
      </c>
      <c r="F3397" t="s">
        <v>1036</v>
      </c>
      <c r="G3397" t="s">
        <v>1037</v>
      </c>
      <c r="AF3397">
        <v>66</v>
      </c>
      <c r="AH3397">
        <v>42</v>
      </c>
      <c r="CH3397" t="str">
        <f t="shared" si="53"/>
        <v>JV1-0695-3</v>
      </c>
    </row>
    <row r="3398" spans="1:86">
      <c r="A3398" t="s">
        <v>5185</v>
      </c>
      <c r="B3398">
        <v>7634</v>
      </c>
      <c r="C3398" t="s">
        <v>1079</v>
      </c>
      <c r="D3398" t="s">
        <v>365</v>
      </c>
      <c r="E3398" t="s">
        <v>642</v>
      </c>
      <c r="F3398" t="s">
        <v>706</v>
      </c>
      <c r="G3398" t="s">
        <v>1454</v>
      </c>
      <c r="Q3398">
        <v>408</v>
      </c>
      <c r="R3398">
        <v>780</v>
      </c>
      <c r="S3398">
        <v>2208</v>
      </c>
      <c r="T3398">
        <v>2102</v>
      </c>
      <c r="U3398">
        <v>1500</v>
      </c>
      <c r="V3398">
        <v>360</v>
      </c>
      <c r="W3398">
        <v>276</v>
      </c>
      <c r="CH3398" t="str">
        <f t="shared" si="53"/>
        <v>D-0524</v>
      </c>
    </row>
    <row r="3399" spans="1:86">
      <c r="A3399" t="s">
        <v>5186</v>
      </c>
      <c r="B3399">
        <v>1490</v>
      </c>
      <c r="C3399" t="s">
        <v>946</v>
      </c>
      <c r="D3399" t="s">
        <v>365</v>
      </c>
      <c r="E3399" t="s">
        <v>629</v>
      </c>
      <c r="F3399" t="s">
        <v>706</v>
      </c>
      <c r="G3399" t="s">
        <v>1351</v>
      </c>
      <c r="U3399">
        <v>24</v>
      </c>
      <c r="V3399">
        <v>36</v>
      </c>
      <c r="X3399">
        <v>806</v>
      </c>
      <c r="Z3399">
        <v>48</v>
      </c>
      <c r="AA3399">
        <v>48</v>
      </c>
      <c r="AC3399">
        <v>528</v>
      </c>
      <c r="CH3399" t="str">
        <f t="shared" si="53"/>
        <v>D-0524</v>
      </c>
    </row>
    <row r="3400" spans="1:86">
      <c r="A3400" t="s">
        <v>5187</v>
      </c>
      <c r="B3400">
        <v>1646</v>
      </c>
      <c r="C3400" t="s">
        <v>946</v>
      </c>
      <c r="D3400" t="s">
        <v>365</v>
      </c>
      <c r="E3400" t="s">
        <v>629</v>
      </c>
      <c r="F3400" t="s">
        <v>706</v>
      </c>
      <c r="G3400" t="s">
        <v>1351</v>
      </c>
      <c r="V3400">
        <v>12</v>
      </c>
      <c r="X3400">
        <v>110</v>
      </c>
      <c r="Y3400">
        <v>96</v>
      </c>
      <c r="Z3400">
        <v>180</v>
      </c>
      <c r="AA3400">
        <v>444</v>
      </c>
      <c r="AB3400">
        <v>372</v>
      </c>
      <c r="AC3400">
        <v>228</v>
      </c>
      <c r="AD3400">
        <v>144</v>
      </c>
      <c r="AF3400">
        <v>60</v>
      </c>
      <c r="CH3400" t="str">
        <f t="shared" si="53"/>
        <v>D-0524</v>
      </c>
    </row>
    <row r="3401" spans="1:86">
      <c r="A3401" t="s">
        <v>5188</v>
      </c>
      <c r="B3401">
        <v>302</v>
      </c>
      <c r="C3401" t="s">
        <v>946</v>
      </c>
      <c r="D3401" t="s">
        <v>365</v>
      </c>
      <c r="E3401" t="s">
        <v>629</v>
      </c>
      <c r="F3401" t="s">
        <v>706</v>
      </c>
      <c r="G3401" t="s">
        <v>1351</v>
      </c>
      <c r="V3401">
        <v>12</v>
      </c>
      <c r="W3401">
        <v>24</v>
      </c>
      <c r="X3401">
        <v>26</v>
      </c>
      <c r="Y3401">
        <v>24</v>
      </c>
      <c r="Z3401">
        <v>36</v>
      </c>
      <c r="AA3401">
        <v>48</v>
      </c>
      <c r="AB3401">
        <v>36</v>
      </c>
      <c r="AC3401">
        <v>24</v>
      </c>
      <c r="AD3401">
        <v>36</v>
      </c>
      <c r="AE3401">
        <v>12</v>
      </c>
      <c r="AF3401">
        <v>24</v>
      </c>
      <c r="CH3401" t="str">
        <f t="shared" si="53"/>
        <v>D-0524</v>
      </c>
    </row>
    <row r="3402" spans="1:86">
      <c r="A3402" t="s">
        <v>5189</v>
      </c>
      <c r="B3402">
        <v>302</v>
      </c>
      <c r="C3402" t="s">
        <v>1359</v>
      </c>
      <c r="D3402" t="s">
        <v>365</v>
      </c>
      <c r="E3402" t="s">
        <v>629</v>
      </c>
      <c r="F3402" t="s">
        <v>706</v>
      </c>
      <c r="G3402" t="s">
        <v>737</v>
      </c>
      <c r="V3402">
        <v>12</v>
      </c>
      <c r="W3402">
        <v>24</v>
      </c>
      <c r="X3402">
        <v>26</v>
      </c>
      <c r="Y3402">
        <v>36</v>
      </c>
      <c r="Z3402">
        <v>36</v>
      </c>
      <c r="AA3402">
        <v>36</v>
      </c>
      <c r="AB3402">
        <v>36</v>
      </c>
      <c r="AC3402">
        <v>24</v>
      </c>
      <c r="AD3402">
        <v>24</v>
      </c>
      <c r="AE3402">
        <v>12</v>
      </c>
      <c r="AF3402">
        <v>24</v>
      </c>
      <c r="AH3402">
        <v>12</v>
      </c>
      <c r="CH3402" t="str">
        <f t="shared" si="53"/>
        <v>D-0524</v>
      </c>
    </row>
    <row r="3403" spans="1:86">
      <c r="A3403" t="s">
        <v>5190</v>
      </c>
      <c r="B3403">
        <v>3182</v>
      </c>
      <c r="C3403" t="s">
        <v>1359</v>
      </c>
      <c r="D3403" t="s">
        <v>365</v>
      </c>
      <c r="E3403" t="s">
        <v>629</v>
      </c>
      <c r="F3403" t="s">
        <v>706</v>
      </c>
      <c r="G3403" t="s">
        <v>737</v>
      </c>
      <c r="V3403">
        <v>48</v>
      </c>
      <c r="W3403">
        <v>252</v>
      </c>
      <c r="X3403">
        <v>194</v>
      </c>
      <c r="Y3403">
        <v>420</v>
      </c>
      <c r="Z3403">
        <v>420</v>
      </c>
      <c r="AA3403">
        <v>432</v>
      </c>
      <c r="AB3403">
        <v>420</v>
      </c>
      <c r="AC3403">
        <v>180</v>
      </c>
      <c r="AD3403">
        <v>408</v>
      </c>
      <c r="AF3403">
        <v>324</v>
      </c>
      <c r="AH3403">
        <v>84</v>
      </c>
      <c r="CH3403" t="str">
        <f t="shared" si="53"/>
        <v>D-0524</v>
      </c>
    </row>
    <row r="3404" spans="1:86">
      <c r="A3404" t="s">
        <v>5191</v>
      </c>
      <c r="B3404">
        <v>1862</v>
      </c>
      <c r="C3404" t="s">
        <v>1079</v>
      </c>
      <c r="D3404" t="s">
        <v>365</v>
      </c>
      <c r="E3404" t="s">
        <v>642</v>
      </c>
      <c r="F3404" t="s">
        <v>706</v>
      </c>
      <c r="G3404" t="s">
        <v>1454</v>
      </c>
      <c r="M3404">
        <v>36</v>
      </c>
      <c r="O3404">
        <v>156</v>
      </c>
      <c r="P3404">
        <v>204</v>
      </c>
      <c r="Q3404">
        <v>204</v>
      </c>
      <c r="R3404">
        <v>204</v>
      </c>
      <c r="S3404">
        <v>216</v>
      </c>
      <c r="T3404">
        <v>218</v>
      </c>
      <c r="U3404">
        <v>216</v>
      </c>
      <c r="V3404">
        <v>204</v>
      </c>
      <c r="W3404">
        <v>204</v>
      </c>
      <c r="CH3404" t="str">
        <f t="shared" si="53"/>
        <v>D-0524</v>
      </c>
    </row>
    <row r="3405" spans="1:86">
      <c r="A3405" t="s">
        <v>5192</v>
      </c>
      <c r="B3405">
        <v>317</v>
      </c>
      <c r="C3405" t="s">
        <v>1029</v>
      </c>
      <c r="D3405" t="s">
        <v>397</v>
      </c>
      <c r="E3405" t="s">
        <v>696</v>
      </c>
      <c r="F3405" t="s">
        <v>716</v>
      </c>
      <c r="G3405" t="s">
        <v>2593</v>
      </c>
      <c r="H3405">
        <v>36</v>
      </c>
      <c r="I3405">
        <v>53</v>
      </c>
      <c r="K3405">
        <v>60</v>
      </c>
      <c r="L3405">
        <v>96</v>
      </c>
      <c r="AE3405">
        <v>36</v>
      </c>
      <c r="AF3405">
        <v>36</v>
      </c>
      <c r="CH3405" t="str">
        <f t="shared" si="53"/>
        <v>D-0578</v>
      </c>
    </row>
    <row r="3406" spans="1:86">
      <c r="A3406" t="s">
        <v>5193</v>
      </c>
      <c r="B3406">
        <v>1629</v>
      </c>
      <c r="C3406" t="s">
        <v>5194</v>
      </c>
      <c r="D3406" t="s">
        <v>207</v>
      </c>
      <c r="E3406" t="s">
        <v>974</v>
      </c>
      <c r="F3406" t="s">
        <v>645</v>
      </c>
      <c r="G3406" t="s">
        <v>5023</v>
      </c>
      <c r="H3406">
        <v>1</v>
      </c>
      <c r="J3406">
        <v>1</v>
      </c>
      <c r="L3406">
        <v>1</v>
      </c>
      <c r="M3406">
        <v>61</v>
      </c>
      <c r="N3406">
        <v>187</v>
      </c>
      <c r="O3406">
        <v>143</v>
      </c>
      <c r="P3406">
        <v>254</v>
      </c>
      <c r="Q3406">
        <v>223</v>
      </c>
      <c r="R3406">
        <v>260</v>
      </c>
      <c r="S3406">
        <v>233</v>
      </c>
      <c r="T3406">
        <v>265</v>
      </c>
      <c r="CH3406" t="str">
        <f t="shared" si="53"/>
        <v>D-0249</v>
      </c>
    </row>
    <row r="3407" spans="1:86">
      <c r="A3407" t="s">
        <v>5195</v>
      </c>
      <c r="B3407">
        <v>4227</v>
      </c>
      <c r="C3407" t="s">
        <v>5196</v>
      </c>
      <c r="D3407" t="s">
        <v>207</v>
      </c>
      <c r="E3407" t="s">
        <v>974</v>
      </c>
      <c r="F3407" t="s">
        <v>645</v>
      </c>
      <c r="G3407" t="s">
        <v>5197</v>
      </c>
      <c r="H3407">
        <v>144</v>
      </c>
      <c r="I3407">
        <v>132</v>
      </c>
      <c r="J3407">
        <v>192</v>
      </c>
      <c r="K3407">
        <v>168</v>
      </c>
      <c r="L3407">
        <v>240</v>
      </c>
      <c r="M3407">
        <v>246</v>
      </c>
      <c r="N3407">
        <v>336</v>
      </c>
      <c r="O3407">
        <v>336</v>
      </c>
      <c r="P3407">
        <v>465</v>
      </c>
      <c r="Q3407">
        <v>504</v>
      </c>
      <c r="R3407">
        <v>546</v>
      </c>
      <c r="S3407">
        <v>438</v>
      </c>
      <c r="T3407">
        <v>480</v>
      </c>
      <c r="CH3407" t="str">
        <f t="shared" si="53"/>
        <v>D-0249</v>
      </c>
    </row>
    <row r="3408" spans="1:86">
      <c r="A3408" t="s">
        <v>5198</v>
      </c>
      <c r="B3408">
        <v>275</v>
      </c>
      <c r="C3408" t="s">
        <v>5199</v>
      </c>
      <c r="D3408" t="s">
        <v>457</v>
      </c>
      <c r="E3408" t="s">
        <v>629</v>
      </c>
      <c r="F3408" t="s">
        <v>672</v>
      </c>
      <c r="G3408" t="s">
        <v>686</v>
      </c>
      <c r="N3408">
        <v>12</v>
      </c>
      <c r="O3408">
        <v>18</v>
      </c>
      <c r="P3408">
        <v>24</v>
      </c>
      <c r="Q3408">
        <v>48</v>
      </c>
      <c r="R3408">
        <v>42</v>
      </c>
      <c r="S3408">
        <v>42</v>
      </c>
      <c r="T3408">
        <v>35</v>
      </c>
      <c r="U3408">
        <v>18</v>
      </c>
      <c r="V3408">
        <v>12</v>
      </c>
      <c r="W3408">
        <v>6</v>
      </c>
      <c r="X3408">
        <v>6</v>
      </c>
      <c r="Y3408">
        <v>6</v>
      </c>
      <c r="Z3408">
        <v>6</v>
      </c>
      <c r="CH3408" t="str">
        <f t="shared" si="53"/>
        <v>JV1-0695-3</v>
      </c>
    </row>
    <row r="3409" spans="1:86">
      <c r="A3409" t="s">
        <v>5200</v>
      </c>
      <c r="B3409">
        <v>2214</v>
      </c>
      <c r="C3409" t="s">
        <v>5199</v>
      </c>
      <c r="D3409" t="s">
        <v>457</v>
      </c>
      <c r="E3409" t="s">
        <v>629</v>
      </c>
      <c r="F3409" t="s">
        <v>672</v>
      </c>
      <c r="G3409" t="s">
        <v>686</v>
      </c>
      <c r="N3409">
        <v>120</v>
      </c>
      <c r="O3409">
        <v>180</v>
      </c>
      <c r="P3409">
        <v>288</v>
      </c>
      <c r="Q3409">
        <v>312</v>
      </c>
      <c r="R3409">
        <v>300</v>
      </c>
      <c r="S3409">
        <v>348</v>
      </c>
      <c r="T3409">
        <v>270</v>
      </c>
      <c r="U3409">
        <v>228</v>
      </c>
      <c r="V3409">
        <v>120</v>
      </c>
      <c r="W3409">
        <v>48</v>
      </c>
      <c r="CH3409" t="str">
        <f t="shared" si="53"/>
        <v>JV1-0695-3</v>
      </c>
    </row>
    <row r="3410" spans="1:86">
      <c r="A3410" t="s">
        <v>5201</v>
      </c>
      <c r="B3410">
        <v>2478</v>
      </c>
      <c r="C3410" t="s">
        <v>5199</v>
      </c>
      <c r="D3410" t="s">
        <v>457</v>
      </c>
      <c r="E3410" t="s">
        <v>629</v>
      </c>
      <c r="F3410" t="s">
        <v>672</v>
      </c>
      <c r="G3410" t="s">
        <v>686</v>
      </c>
      <c r="N3410">
        <v>120</v>
      </c>
      <c r="O3410">
        <v>216</v>
      </c>
      <c r="P3410">
        <v>324</v>
      </c>
      <c r="Q3410">
        <v>396</v>
      </c>
      <c r="R3410">
        <v>348</v>
      </c>
      <c r="S3410">
        <v>384</v>
      </c>
      <c r="T3410">
        <v>282</v>
      </c>
      <c r="U3410">
        <v>228</v>
      </c>
      <c r="V3410">
        <v>132</v>
      </c>
      <c r="W3410">
        <v>48</v>
      </c>
      <c r="CH3410" t="str">
        <f t="shared" si="53"/>
        <v>JV1-0695-3</v>
      </c>
    </row>
    <row r="3411" spans="1:86">
      <c r="A3411" t="s">
        <v>5202</v>
      </c>
      <c r="B3411">
        <v>3726</v>
      </c>
      <c r="C3411" t="s">
        <v>5199</v>
      </c>
      <c r="D3411" t="s">
        <v>457</v>
      </c>
      <c r="E3411" t="s">
        <v>629</v>
      </c>
      <c r="F3411" t="s">
        <v>672</v>
      </c>
      <c r="G3411" t="s">
        <v>686</v>
      </c>
      <c r="N3411">
        <v>240</v>
      </c>
      <c r="O3411">
        <v>288</v>
      </c>
      <c r="P3411">
        <v>456</v>
      </c>
      <c r="Q3411">
        <v>600</v>
      </c>
      <c r="R3411">
        <v>576</v>
      </c>
      <c r="S3411">
        <v>636</v>
      </c>
      <c r="T3411">
        <v>438</v>
      </c>
      <c r="U3411">
        <v>348</v>
      </c>
      <c r="V3411">
        <v>84</v>
      </c>
      <c r="W3411">
        <v>60</v>
      </c>
      <c r="CH3411" t="str">
        <f t="shared" si="53"/>
        <v>JV1-0695-3</v>
      </c>
    </row>
    <row r="3412" spans="1:86">
      <c r="A3412" t="s">
        <v>5203</v>
      </c>
      <c r="B3412">
        <v>4038</v>
      </c>
      <c r="C3412" t="s">
        <v>5199</v>
      </c>
      <c r="D3412" t="s">
        <v>457</v>
      </c>
      <c r="E3412" t="s">
        <v>629</v>
      </c>
      <c r="F3412" t="s">
        <v>672</v>
      </c>
      <c r="G3412" t="s">
        <v>686</v>
      </c>
      <c r="N3412">
        <v>336</v>
      </c>
      <c r="O3412">
        <v>336</v>
      </c>
      <c r="P3412">
        <v>672</v>
      </c>
      <c r="Q3412">
        <v>672</v>
      </c>
      <c r="R3412">
        <v>1008</v>
      </c>
      <c r="S3412">
        <v>672</v>
      </c>
      <c r="T3412">
        <v>342</v>
      </c>
      <c r="CH3412" t="str">
        <f t="shared" si="53"/>
        <v>JV1-0695-3</v>
      </c>
    </row>
    <row r="3413" spans="1:86">
      <c r="A3413" t="s">
        <v>5204</v>
      </c>
      <c r="B3413">
        <v>906</v>
      </c>
      <c r="C3413" t="s">
        <v>5205</v>
      </c>
      <c r="D3413" t="s">
        <v>457</v>
      </c>
      <c r="E3413" t="s">
        <v>629</v>
      </c>
      <c r="F3413" t="s">
        <v>672</v>
      </c>
      <c r="G3413" t="s">
        <v>686</v>
      </c>
      <c r="N3413">
        <v>42</v>
      </c>
      <c r="O3413">
        <v>66</v>
      </c>
      <c r="P3413">
        <v>72</v>
      </c>
      <c r="Q3413">
        <v>138</v>
      </c>
      <c r="R3413">
        <v>126</v>
      </c>
      <c r="S3413">
        <v>126</v>
      </c>
      <c r="T3413">
        <v>96</v>
      </c>
      <c r="U3413">
        <v>66</v>
      </c>
      <c r="V3413">
        <v>42</v>
      </c>
      <c r="W3413">
        <v>24</v>
      </c>
      <c r="X3413">
        <v>30</v>
      </c>
      <c r="Y3413">
        <v>24</v>
      </c>
      <c r="Z3413">
        <v>18</v>
      </c>
      <c r="AA3413">
        <v>6</v>
      </c>
      <c r="AB3413">
        <v>12</v>
      </c>
      <c r="AC3413">
        <v>6</v>
      </c>
      <c r="AD3413">
        <v>12</v>
      </c>
      <c r="CH3413" t="str">
        <f t="shared" si="53"/>
        <v>JV1-0695-3</v>
      </c>
    </row>
    <row r="3414" spans="1:86">
      <c r="A3414" t="s">
        <v>5206</v>
      </c>
      <c r="B3414">
        <v>1356</v>
      </c>
      <c r="C3414" t="s">
        <v>5199</v>
      </c>
      <c r="D3414" t="s">
        <v>457</v>
      </c>
      <c r="E3414" t="s">
        <v>629</v>
      </c>
      <c r="F3414" t="s">
        <v>672</v>
      </c>
      <c r="G3414" t="s">
        <v>686</v>
      </c>
      <c r="N3414">
        <v>66</v>
      </c>
      <c r="O3414">
        <v>96</v>
      </c>
      <c r="P3414">
        <v>108</v>
      </c>
      <c r="Q3414">
        <v>192</v>
      </c>
      <c r="R3414">
        <v>186</v>
      </c>
      <c r="S3414">
        <v>186</v>
      </c>
      <c r="T3414">
        <v>138</v>
      </c>
      <c r="U3414">
        <v>96</v>
      </c>
      <c r="V3414">
        <v>66</v>
      </c>
      <c r="W3414">
        <v>42</v>
      </c>
      <c r="X3414">
        <v>42</v>
      </c>
      <c r="Y3414">
        <v>42</v>
      </c>
      <c r="Z3414">
        <v>24</v>
      </c>
      <c r="AA3414">
        <v>18</v>
      </c>
      <c r="AB3414">
        <v>18</v>
      </c>
      <c r="AC3414">
        <v>18</v>
      </c>
      <c r="AD3414">
        <v>18</v>
      </c>
      <c r="CH3414" t="str">
        <f t="shared" si="53"/>
        <v>JV1-0695-3</v>
      </c>
    </row>
    <row r="3415" spans="1:86">
      <c r="A3415" t="s">
        <v>5207</v>
      </c>
      <c r="B3415">
        <v>185</v>
      </c>
      <c r="C3415" t="s">
        <v>687</v>
      </c>
      <c r="D3415" t="s">
        <v>457</v>
      </c>
      <c r="E3415" t="s">
        <v>629</v>
      </c>
      <c r="F3415" t="s">
        <v>672</v>
      </c>
      <c r="G3415" t="s">
        <v>688</v>
      </c>
      <c r="O3415">
        <v>12</v>
      </c>
      <c r="P3415">
        <v>6</v>
      </c>
      <c r="Q3415">
        <v>48</v>
      </c>
      <c r="S3415">
        <v>48</v>
      </c>
      <c r="T3415">
        <v>11</v>
      </c>
      <c r="U3415">
        <v>42</v>
      </c>
      <c r="W3415">
        <v>6</v>
      </c>
      <c r="X3415">
        <v>6</v>
      </c>
      <c r="Y3415">
        <v>6</v>
      </c>
      <c r="CH3415" t="str">
        <f t="shared" si="53"/>
        <v>JV1-0695-3</v>
      </c>
    </row>
    <row r="3416" spans="1:86">
      <c r="A3416" t="s">
        <v>5208</v>
      </c>
      <c r="B3416">
        <v>1374</v>
      </c>
      <c r="C3416" t="s">
        <v>5199</v>
      </c>
      <c r="D3416" t="s">
        <v>457</v>
      </c>
      <c r="E3416" t="s">
        <v>629</v>
      </c>
      <c r="F3416" t="s">
        <v>672</v>
      </c>
      <c r="G3416" t="s">
        <v>686</v>
      </c>
      <c r="P3416">
        <v>228</v>
      </c>
      <c r="Q3416">
        <v>228</v>
      </c>
      <c r="R3416">
        <v>456</v>
      </c>
      <c r="S3416">
        <v>462</v>
      </c>
      <c r="CH3416" t="str">
        <f t="shared" si="53"/>
        <v>JV1-0695-3</v>
      </c>
    </row>
    <row r="3417" spans="1:86">
      <c r="A3417" t="s">
        <v>5209</v>
      </c>
      <c r="B3417">
        <v>3606</v>
      </c>
      <c r="C3417" t="s">
        <v>5199</v>
      </c>
      <c r="D3417" t="s">
        <v>457</v>
      </c>
      <c r="E3417" t="s">
        <v>629</v>
      </c>
      <c r="F3417" t="s">
        <v>672</v>
      </c>
      <c r="G3417" t="s">
        <v>686</v>
      </c>
      <c r="N3417">
        <v>216</v>
      </c>
      <c r="O3417">
        <v>360</v>
      </c>
      <c r="P3417">
        <v>300</v>
      </c>
      <c r="Q3417">
        <v>456</v>
      </c>
      <c r="R3417">
        <v>288</v>
      </c>
      <c r="S3417">
        <v>432</v>
      </c>
      <c r="T3417">
        <v>498</v>
      </c>
      <c r="U3417">
        <v>660</v>
      </c>
      <c r="V3417">
        <v>252</v>
      </c>
      <c r="W3417">
        <v>144</v>
      </c>
      <c r="CH3417" t="str">
        <f t="shared" si="53"/>
        <v>JV1-0695-3</v>
      </c>
    </row>
    <row r="3418" spans="1:86">
      <c r="A3418" t="s">
        <v>5210</v>
      </c>
      <c r="B3418">
        <v>2406</v>
      </c>
      <c r="C3418" t="s">
        <v>5205</v>
      </c>
      <c r="D3418" t="s">
        <v>457</v>
      </c>
      <c r="E3418" t="s">
        <v>629</v>
      </c>
      <c r="F3418" t="s">
        <v>672</v>
      </c>
      <c r="G3418" t="s">
        <v>686</v>
      </c>
      <c r="N3418">
        <v>110</v>
      </c>
      <c r="O3418">
        <v>110</v>
      </c>
      <c r="P3418">
        <v>220</v>
      </c>
      <c r="Q3418">
        <v>220</v>
      </c>
      <c r="R3418">
        <v>220</v>
      </c>
      <c r="S3418">
        <v>220</v>
      </c>
      <c r="T3418">
        <v>116</v>
      </c>
      <c r="U3418">
        <v>110</v>
      </c>
      <c r="V3418">
        <v>90</v>
      </c>
      <c r="W3418">
        <v>180</v>
      </c>
      <c r="X3418">
        <v>90</v>
      </c>
      <c r="Y3418">
        <v>180</v>
      </c>
      <c r="Z3418">
        <v>180</v>
      </c>
      <c r="AA3418">
        <v>90</v>
      </c>
      <c r="AB3418">
        <v>180</v>
      </c>
      <c r="AD3418">
        <v>90</v>
      </c>
      <c r="CH3418" t="str">
        <f t="shared" si="53"/>
        <v>JV1-0695-3</v>
      </c>
    </row>
    <row r="3419" spans="1:86">
      <c r="A3419" t="s">
        <v>5211</v>
      </c>
      <c r="B3419">
        <v>2886</v>
      </c>
      <c r="C3419" t="s">
        <v>5199</v>
      </c>
      <c r="D3419" t="s">
        <v>457</v>
      </c>
      <c r="E3419" t="s">
        <v>629</v>
      </c>
      <c r="F3419" t="s">
        <v>672</v>
      </c>
      <c r="G3419" t="s">
        <v>686</v>
      </c>
      <c r="N3419">
        <v>130</v>
      </c>
      <c r="O3419">
        <v>130</v>
      </c>
      <c r="P3419">
        <v>260</v>
      </c>
      <c r="Q3419">
        <v>260</v>
      </c>
      <c r="R3419">
        <v>260</v>
      </c>
      <c r="S3419">
        <v>260</v>
      </c>
      <c r="T3419">
        <v>136</v>
      </c>
      <c r="U3419">
        <v>130</v>
      </c>
      <c r="V3419">
        <v>110</v>
      </c>
      <c r="W3419">
        <v>220</v>
      </c>
      <c r="X3419">
        <v>110</v>
      </c>
      <c r="Y3419">
        <v>220</v>
      </c>
      <c r="Z3419">
        <v>220</v>
      </c>
      <c r="AA3419">
        <v>110</v>
      </c>
      <c r="AB3419">
        <v>220</v>
      </c>
      <c r="AD3419">
        <v>110</v>
      </c>
      <c r="CH3419" t="str">
        <f t="shared" si="53"/>
        <v>JV1-0695-3</v>
      </c>
    </row>
    <row r="3420" spans="1:86">
      <c r="A3420" t="s">
        <v>5212</v>
      </c>
      <c r="B3420">
        <v>606</v>
      </c>
      <c r="C3420" t="s">
        <v>5213</v>
      </c>
      <c r="D3420" t="s">
        <v>457</v>
      </c>
      <c r="E3420" t="s">
        <v>629</v>
      </c>
      <c r="F3420" t="s">
        <v>672</v>
      </c>
      <c r="G3420" t="s">
        <v>5214</v>
      </c>
      <c r="N3420">
        <v>24</v>
      </c>
      <c r="O3420">
        <v>12</v>
      </c>
      <c r="P3420">
        <v>36</v>
      </c>
      <c r="Q3420">
        <v>54</v>
      </c>
      <c r="R3420">
        <v>36</v>
      </c>
      <c r="U3420">
        <v>54</v>
      </c>
      <c r="V3420">
        <v>54</v>
      </c>
      <c r="W3420">
        <v>66</v>
      </c>
      <c r="X3420">
        <v>90</v>
      </c>
      <c r="Y3420">
        <v>30</v>
      </c>
      <c r="Z3420">
        <v>108</v>
      </c>
      <c r="AA3420">
        <v>12</v>
      </c>
      <c r="AC3420">
        <v>30</v>
      </c>
      <c r="CH3420" t="str">
        <f t="shared" si="53"/>
        <v>JV1-0695-3</v>
      </c>
    </row>
    <row r="3421" spans="1:86">
      <c r="A3421" t="s">
        <v>5215</v>
      </c>
      <c r="B3421">
        <v>149</v>
      </c>
      <c r="C3421" t="s">
        <v>5213</v>
      </c>
      <c r="D3421" t="s">
        <v>457</v>
      </c>
      <c r="E3421" t="s">
        <v>629</v>
      </c>
      <c r="F3421" t="s">
        <v>672</v>
      </c>
      <c r="G3421" t="s">
        <v>5214</v>
      </c>
      <c r="O3421">
        <v>6</v>
      </c>
      <c r="P3421">
        <v>6</v>
      </c>
      <c r="Q3421">
        <v>18</v>
      </c>
      <c r="R3421">
        <v>18</v>
      </c>
      <c r="S3421">
        <v>24</v>
      </c>
      <c r="T3421">
        <v>17</v>
      </c>
      <c r="U3421">
        <v>12</v>
      </c>
      <c r="V3421">
        <v>6</v>
      </c>
      <c r="W3421">
        <v>6</v>
      </c>
      <c r="X3421">
        <v>6</v>
      </c>
      <c r="Y3421">
        <v>6</v>
      </c>
      <c r="Z3421">
        <v>6</v>
      </c>
      <c r="AA3421">
        <v>6</v>
      </c>
      <c r="AB3421">
        <v>6</v>
      </c>
      <c r="AD3421">
        <v>6</v>
      </c>
      <c r="CH3421" t="str">
        <f t="shared" si="53"/>
        <v>JV1-0695-3</v>
      </c>
    </row>
    <row r="3422" spans="1:86">
      <c r="A3422" t="s">
        <v>5216</v>
      </c>
      <c r="B3422">
        <v>2718</v>
      </c>
      <c r="C3422" t="s">
        <v>5213</v>
      </c>
      <c r="D3422" t="s">
        <v>457</v>
      </c>
      <c r="E3422" t="s">
        <v>629</v>
      </c>
      <c r="F3422" t="s">
        <v>672</v>
      </c>
      <c r="G3422" t="s">
        <v>5214</v>
      </c>
      <c r="N3422">
        <v>66</v>
      </c>
      <c r="O3422">
        <v>162</v>
      </c>
      <c r="P3422">
        <v>6</v>
      </c>
      <c r="Q3422">
        <v>372</v>
      </c>
      <c r="R3422">
        <v>174</v>
      </c>
      <c r="S3422">
        <v>348</v>
      </c>
      <c r="T3422">
        <v>264</v>
      </c>
      <c r="U3422">
        <v>402</v>
      </c>
      <c r="V3422">
        <v>180</v>
      </c>
      <c r="W3422">
        <v>18</v>
      </c>
      <c r="X3422">
        <v>180</v>
      </c>
      <c r="Z3422">
        <v>216</v>
      </c>
      <c r="AB3422">
        <v>174</v>
      </c>
      <c r="AD3422">
        <v>102</v>
      </c>
      <c r="AF3422">
        <v>54</v>
      </c>
      <c r="CH3422" t="str">
        <f t="shared" si="53"/>
        <v>JV1-0695-3</v>
      </c>
    </row>
    <row r="3423" spans="1:86">
      <c r="A3423" t="s">
        <v>5217</v>
      </c>
      <c r="B3423">
        <v>1206</v>
      </c>
      <c r="C3423" t="s">
        <v>681</v>
      </c>
      <c r="D3423" t="s">
        <v>457</v>
      </c>
      <c r="E3423" t="s">
        <v>629</v>
      </c>
      <c r="F3423" t="s">
        <v>672</v>
      </c>
      <c r="G3423" t="s">
        <v>682</v>
      </c>
      <c r="O3423">
        <v>132</v>
      </c>
      <c r="P3423">
        <v>72</v>
      </c>
      <c r="Q3423">
        <v>216</v>
      </c>
      <c r="R3423">
        <v>120</v>
      </c>
      <c r="S3423">
        <v>300</v>
      </c>
      <c r="T3423">
        <v>54</v>
      </c>
      <c r="U3423">
        <v>192</v>
      </c>
      <c r="V3423">
        <v>36</v>
      </c>
      <c r="W3423">
        <v>84</v>
      </c>
      <c r="CH3423" t="str">
        <f t="shared" si="53"/>
        <v>JV1-0695-3</v>
      </c>
    </row>
    <row r="3424" spans="1:86">
      <c r="A3424" t="s">
        <v>5218</v>
      </c>
      <c r="B3424">
        <v>1206</v>
      </c>
      <c r="C3424" t="s">
        <v>5213</v>
      </c>
      <c r="D3424" t="s">
        <v>457</v>
      </c>
      <c r="E3424" t="s">
        <v>629</v>
      </c>
      <c r="F3424" t="s">
        <v>672</v>
      </c>
      <c r="G3424" t="s">
        <v>5214</v>
      </c>
      <c r="N3424">
        <v>36</v>
      </c>
      <c r="O3424">
        <v>54</v>
      </c>
      <c r="P3424">
        <v>60</v>
      </c>
      <c r="Q3424">
        <v>114</v>
      </c>
      <c r="R3424">
        <v>108</v>
      </c>
      <c r="S3424">
        <v>120</v>
      </c>
      <c r="T3424">
        <v>114</v>
      </c>
      <c r="U3424">
        <v>102</v>
      </c>
      <c r="V3424">
        <v>78</v>
      </c>
      <c r="W3424">
        <v>54</v>
      </c>
      <c r="X3424">
        <v>60</v>
      </c>
      <c r="Y3424">
        <v>42</v>
      </c>
      <c r="Z3424">
        <v>54</v>
      </c>
      <c r="AA3424">
        <v>42</v>
      </c>
      <c r="AB3424">
        <v>54</v>
      </c>
      <c r="AC3424">
        <v>36</v>
      </c>
      <c r="AD3424">
        <v>42</v>
      </c>
      <c r="AF3424">
        <v>24</v>
      </c>
      <c r="AH3424">
        <v>12</v>
      </c>
      <c r="CH3424" t="str">
        <f t="shared" si="53"/>
        <v>JV1-0695-3</v>
      </c>
    </row>
    <row r="3425" spans="1:86">
      <c r="A3425" t="s">
        <v>5219</v>
      </c>
      <c r="B3425">
        <v>1416</v>
      </c>
      <c r="C3425" t="s">
        <v>712</v>
      </c>
      <c r="D3425" t="s">
        <v>457</v>
      </c>
      <c r="E3425" t="s">
        <v>629</v>
      </c>
      <c r="F3425" t="s">
        <v>672</v>
      </c>
      <c r="G3425" t="s">
        <v>713</v>
      </c>
      <c r="O3425">
        <v>102</v>
      </c>
      <c r="P3425">
        <v>54</v>
      </c>
      <c r="Q3425">
        <v>162</v>
      </c>
      <c r="R3425">
        <v>90</v>
      </c>
      <c r="S3425">
        <v>222</v>
      </c>
      <c r="T3425">
        <v>42</v>
      </c>
      <c r="U3425">
        <v>144</v>
      </c>
      <c r="V3425">
        <v>30</v>
      </c>
      <c r="W3425">
        <v>66</v>
      </c>
      <c r="X3425">
        <v>90</v>
      </c>
      <c r="Y3425">
        <v>36</v>
      </c>
      <c r="Z3425">
        <v>84</v>
      </c>
      <c r="AA3425">
        <v>36</v>
      </c>
      <c r="AB3425">
        <v>72</v>
      </c>
      <c r="AC3425">
        <v>18</v>
      </c>
      <c r="AD3425">
        <v>48</v>
      </c>
      <c r="AF3425">
        <v>84</v>
      </c>
      <c r="AH3425">
        <v>36</v>
      </c>
      <c r="CH3425" t="str">
        <f t="shared" si="53"/>
        <v>JV1-0695-3</v>
      </c>
    </row>
    <row r="3426" spans="1:86">
      <c r="A3426" t="s">
        <v>5220</v>
      </c>
      <c r="B3426">
        <v>1332</v>
      </c>
      <c r="C3426" t="s">
        <v>712</v>
      </c>
      <c r="D3426" t="s">
        <v>457</v>
      </c>
      <c r="E3426" t="s">
        <v>629</v>
      </c>
      <c r="F3426" t="s">
        <v>672</v>
      </c>
      <c r="G3426" t="s">
        <v>713</v>
      </c>
      <c r="O3426">
        <v>102</v>
      </c>
      <c r="P3426">
        <v>54</v>
      </c>
      <c r="Q3426">
        <v>162</v>
      </c>
      <c r="R3426">
        <v>90</v>
      </c>
      <c r="S3426">
        <v>222</v>
      </c>
      <c r="T3426">
        <v>42</v>
      </c>
      <c r="U3426">
        <v>144</v>
      </c>
      <c r="V3426">
        <v>30</v>
      </c>
      <c r="W3426">
        <v>66</v>
      </c>
      <c r="X3426">
        <v>90</v>
      </c>
      <c r="Y3426">
        <v>36</v>
      </c>
      <c r="Z3426">
        <v>84</v>
      </c>
      <c r="AA3426">
        <v>36</v>
      </c>
      <c r="AB3426">
        <v>72</v>
      </c>
      <c r="AC3426">
        <v>18</v>
      </c>
      <c r="AD3426">
        <v>48</v>
      </c>
      <c r="AF3426">
        <v>24</v>
      </c>
      <c r="AH3426">
        <v>12</v>
      </c>
      <c r="CH3426" t="str">
        <f t="shared" si="53"/>
        <v>JV1-0695-3</v>
      </c>
    </row>
    <row r="3427" spans="1:86">
      <c r="A3427" t="s">
        <v>5221</v>
      </c>
      <c r="B3427">
        <v>618</v>
      </c>
      <c r="C3427" t="s">
        <v>712</v>
      </c>
      <c r="D3427" t="s">
        <v>457</v>
      </c>
      <c r="E3427" t="s">
        <v>629</v>
      </c>
      <c r="F3427" t="s">
        <v>672</v>
      </c>
      <c r="G3427" t="s">
        <v>713</v>
      </c>
      <c r="O3427">
        <v>24</v>
      </c>
      <c r="P3427">
        <v>12</v>
      </c>
      <c r="Q3427">
        <v>72</v>
      </c>
      <c r="R3427">
        <v>18</v>
      </c>
      <c r="S3427">
        <v>108</v>
      </c>
      <c r="U3427">
        <v>96</v>
      </c>
      <c r="W3427">
        <v>42</v>
      </c>
      <c r="X3427">
        <v>54</v>
      </c>
      <c r="Y3427">
        <v>6</v>
      </c>
      <c r="Z3427">
        <v>54</v>
      </c>
      <c r="AA3427">
        <v>18</v>
      </c>
      <c r="AB3427">
        <v>54</v>
      </c>
      <c r="AC3427">
        <v>12</v>
      </c>
      <c r="AD3427">
        <v>30</v>
      </c>
      <c r="AF3427">
        <v>12</v>
      </c>
      <c r="AH3427">
        <v>6</v>
      </c>
      <c r="CH3427" t="str">
        <f t="shared" si="53"/>
        <v>JV1-0695-3</v>
      </c>
    </row>
    <row r="3428" spans="1:86">
      <c r="A3428" t="s">
        <v>5222</v>
      </c>
      <c r="B3428">
        <v>714</v>
      </c>
      <c r="C3428" t="s">
        <v>5223</v>
      </c>
      <c r="D3428" t="s">
        <v>464</v>
      </c>
      <c r="E3428" t="s">
        <v>629</v>
      </c>
      <c r="F3428" t="s">
        <v>942</v>
      </c>
      <c r="G3428" t="s">
        <v>943</v>
      </c>
      <c r="P3428">
        <v>36</v>
      </c>
      <c r="Q3428">
        <v>60</v>
      </c>
      <c r="R3428">
        <v>108</v>
      </c>
      <c r="S3428">
        <v>84</v>
      </c>
      <c r="T3428">
        <v>78</v>
      </c>
      <c r="U3428">
        <v>60</v>
      </c>
      <c r="V3428">
        <v>72</v>
      </c>
      <c r="W3428">
        <v>72</v>
      </c>
      <c r="X3428">
        <v>72</v>
      </c>
      <c r="Y3428">
        <v>36</v>
      </c>
      <c r="Z3428">
        <v>36</v>
      </c>
      <c r="CH3428" t="str">
        <f t="shared" si="53"/>
        <v>JVC6-027-1</v>
      </c>
    </row>
    <row r="3429" spans="1:86">
      <c r="A3429" t="s">
        <v>5224</v>
      </c>
      <c r="B3429">
        <v>738</v>
      </c>
      <c r="C3429" t="s">
        <v>5223</v>
      </c>
      <c r="D3429" t="s">
        <v>464</v>
      </c>
      <c r="E3429" t="s">
        <v>629</v>
      </c>
      <c r="F3429" t="s">
        <v>942</v>
      </c>
      <c r="G3429" t="s">
        <v>943</v>
      </c>
      <c r="P3429">
        <v>36</v>
      </c>
      <c r="Q3429">
        <v>84</v>
      </c>
      <c r="R3429">
        <v>108</v>
      </c>
      <c r="S3429">
        <v>96</v>
      </c>
      <c r="T3429">
        <v>78</v>
      </c>
      <c r="U3429">
        <v>48</v>
      </c>
      <c r="V3429">
        <v>72</v>
      </c>
      <c r="W3429">
        <v>72</v>
      </c>
      <c r="X3429">
        <v>72</v>
      </c>
      <c r="Y3429">
        <v>36</v>
      </c>
      <c r="Z3429">
        <v>36</v>
      </c>
      <c r="CH3429" t="str">
        <f t="shared" si="53"/>
        <v>JVC6-027-1</v>
      </c>
    </row>
    <row r="3430" spans="1:86">
      <c r="A3430" t="s">
        <v>5225</v>
      </c>
      <c r="B3430">
        <v>4092</v>
      </c>
      <c r="C3430" t="s">
        <v>712</v>
      </c>
      <c r="D3430" t="s">
        <v>457</v>
      </c>
      <c r="E3430" t="s">
        <v>629</v>
      </c>
      <c r="F3430" t="s">
        <v>672</v>
      </c>
      <c r="G3430" t="s">
        <v>713</v>
      </c>
      <c r="N3430">
        <v>78</v>
      </c>
      <c r="O3430">
        <v>144</v>
      </c>
      <c r="P3430">
        <v>162</v>
      </c>
      <c r="Q3430">
        <v>234</v>
      </c>
      <c r="R3430">
        <v>222</v>
      </c>
      <c r="S3430">
        <v>294</v>
      </c>
      <c r="T3430">
        <v>222</v>
      </c>
      <c r="U3430">
        <v>216</v>
      </c>
      <c r="V3430">
        <v>240</v>
      </c>
      <c r="W3430">
        <v>240</v>
      </c>
      <c r="X3430">
        <v>222</v>
      </c>
      <c r="Y3430">
        <v>240</v>
      </c>
      <c r="Z3430">
        <v>228</v>
      </c>
      <c r="AA3430">
        <v>252</v>
      </c>
      <c r="AB3430">
        <v>342</v>
      </c>
      <c r="AC3430">
        <v>222</v>
      </c>
      <c r="AD3430">
        <v>264</v>
      </c>
      <c r="AF3430">
        <v>180</v>
      </c>
      <c r="AH3430">
        <v>54</v>
      </c>
      <c r="AJ3430">
        <v>36</v>
      </c>
      <c r="CH3430" t="str">
        <f t="shared" si="53"/>
        <v>JV1-0695-3</v>
      </c>
    </row>
    <row r="3431" spans="1:86">
      <c r="A3431" t="s">
        <v>5226</v>
      </c>
      <c r="B3431">
        <v>3834</v>
      </c>
      <c r="C3431" t="s">
        <v>701</v>
      </c>
      <c r="D3431" t="s">
        <v>457</v>
      </c>
      <c r="E3431" t="s">
        <v>629</v>
      </c>
      <c r="F3431" t="s">
        <v>672</v>
      </c>
      <c r="G3431" t="s">
        <v>688</v>
      </c>
      <c r="N3431">
        <v>162</v>
      </c>
      <c r="O3431">
        <v>270</v>
      </c>
      <c r="P3431">
        <v>24</v>
      </c>
      <c r="Q3431">
        <v>408</v>
      </c>
      <c r="R3431">
        <v>540</v>
      </c>
      <c r="S3431">
        <v>414</v>
      </c>
      <c r="T3431">
        <v>462</v>
      </c>
      <c r="U3431">
        <v>438</v>
      </c>
      <c r="V3431">
        <v>306</v>
      </c>
      <c r="W3431">
        <v>252</v>
      </c>
      <c r="X3431">
        <v>84</v>
      </c>
      <c r="Y3431">
        <v>162</v>
      </c>
      <c r="Z3431">
        <v>78</v>
      </c>
      <c r="AA3431">
        <v>78</v>
      </c>
      <c r="AB3431">
        <v>84</v>
      </c>
      <c r="AC3431">
        <v>42</v>
      </c>
      <c r="AD3431">
        <v>24</v>
      </c>
      <c r="AH3431">
        <v>6</v>
      </c>
      <c r="CH3431" t="str">
        <f t="shared" si="53"/>
        <v>JV1-0695-3</v>
      </c>
    </row>
    <row r="3432" spans="1:86">
      <c r="A3432" t="s">
        <v>5227</v>
      </c>
      <c r="B3432">
        <v>3084</v>
      </c>
      <c r="C3432" t="s">
        <v>712</v>
      </c>
      <c r="D3432" t="s">
        <v>457</v>
      </c>
      <c r="E3432" t="s">
        <v>629</v>
      </c>
      <c r="F3432" t="s">
        <v>672</v>
      </c>
      <c r="G3432" t="s">
        <v>713</v>
      </c>
      <c r="N3432">
        <v>72</v>
      </c>
      <c r="O3432">
        <v>102</v>
      </c>
      <c r="P3432">
        <v>108</v>
      </c>
      <c r="Q3432">
        <v>180</v>
      </c>
      <c r="R3432">
        <v>174</v>
      </c>
      <c r="S3432">
        <v>204</v>
      </c>
      <c r="T3432">
        <v>192</v>
      </c>
      <c r="U3432">
        <v>204</v>
      </c>
      <c r="V3432">
        <v>222</v>
      </c>
      <c r="W3432">
        <v>222</v>
      </c>
      <c r="X3432">
        <v>198</v>
      </c>
      <c r="Y3432">
        <v>216</v>
      </c>
      <c r="Z3432">
        <v>192</v>
      </c>
      <c r="AA3432">
        <v>222</v>
      </c>
      <c r="AB3432">
        <v>156</v>
      </c>
      <c r="AC3432">
        <v>102</v>
      </c>
      <c r="AD3432">
        <v>132</v>
      </c>
      <c r="AF3432">
        <v>90</v>
      </c>
      <c r="AH3432">
        <v>42</v>
      </c>
      <c r="AJ3432">
        <v>48</v>
      </c>
      <c r="AL3432">
        <v>6</v>
      </c>
      <c r="CH3432" t="str">
        <f t="shared" si="53"/>
        <v>JV1-0695-3</v>
      </c>
    </row>
    <row r="3433" spans="1:86">
      <c r="A3433" t="s">
        <v>5228</v>
      </c>
      <c r="B3433">
        <v>1122</v>
      </c>
      <c r="C3433" t="s">
        <v>701</v>
      </c>
      <c r="D3433" t="s">
        <v>457</v>
      </c>
      <c r="E3433" t="s">
        <v>629</v>
      </c>
      <c r="F3433" t="s">
        <v>672</v>
      </c>
      <c r="G3433" t="s">
        <v>688</v>
      </c>
      <c r="N3433">
        <v>42</v>
      </c>
      <c r="O3433">
        <v>96</v>
      </c>
      <c r="P3433">
        <v>24</v>
      </c>
      <c r="Q3433">
        <v>72</v>
      </c>
      <c r="R3433">
        <v>270</v>
      </c>
      <c r="S3433">
        <v>150</v>
      </c>
      <c r="T3433">
        <v>222</v>
      </c>
      <c r="U3433">
        <v>222</v>
      </c>
      <c r="V3433">
        <v>24</v>
      </c>
      <c r="CH3433" t="str">
        <f t="shared" si="53"/>
        <v>JV1-0695-3</v>
      </c>
    </row>
    <row r="3434" spans="1:86">
      <c r="A3434" t="s">
        <v>5229</v>
      </c>
      <c r="B3434">
        <v>606</v>
      </c>
      <c r="C3434" t="s">
        <v>712</v>
      </c>
      <c r="D3434" t="s">
        <v>457</v>
      </c>
      <c r="E3434" t="s">
        <v>629</v>
      </c>
      <c r="F3434" t="s">
        <v>672</v>
      </c>
      <c r="G3434" t="s">
        <v>713</v>
      </c>
      <c r="N3434">
        <v>36</v>
      </c>
      <c r="O3434">
        <v>48</v>
      </c>
      <c r="P3434">
        <v>60</v>
      </c>
      <c r="Q3434">
        <v>90</v>
      </c>
      <c r="R3434">
        <v>102</v>
      </c>
      <c r="S3434">
        <v>102</v>
      </c>
      <c r="T3434">
        <v>108</v>
      </c>
      <c r="U3434">
        <v>60</v>
      </c>
      <c r="CH3434" t="str">
        <f t="shared" si="53"/>
        <v>JV1-0695-3</v>
      </c>
    </row>
    <row r="3435" spans="1:86">
      <c r="A3435" t="s">
        <v>5230</v>
      </c>
      <c r="B3435">
        <v>750</v>
      </c>
      <c r="C3435" t="s">
        <v>701</v>
      </c>
      <c r="D3435" t="s">
        <v>457</v>
      </c>
      <c r="E3435" t="s">
        <v>629</v>
      </c>
      <c r="F3435" t="s">
        <v>672</v>
      </c>
      <c r="G3435" t="s">
        <v>688</v>
      </c>
      <c r="O3435">
        <v>60</v>
      </c>
      <c r="P3435">
        <v>108</v>
      </c>
      <c r="Q3435">
        <v>96</v>
      </c>
      <c r="R3435">
        <v>90</v>
      </c>
      <c r="S3435">
        <v>114</v>
      </c>
      <c r="T3435">
        <v>84</v>
      </c>
      <c r="U3435">
        <v>60</v>
      </c>
      <c r="V3435">
        <v>36</v>
      </c>
      <c r="W3435">
        <v>6</v>
      </c>
      <c r="Y3435">
        <v>42</v>
      </c>
      <c r="Z3435">
        <v>18</v>
      </c>
      <c r="AD3435">
        <v>36</v>
      </c>
      <c r="CH3435" t="str">
        <f t="shared" si="53"/>
        <v>JV1-0695-3</v>
      </c>
    </row>
    <row r="3436" spans="1:86">
      <c r="A3436" t="s">
        <v>5231</v>
      </c>
      <c r="B3436">
        <v>738</v>
      </c>
      <c r="C3436" t="s">
        <v>701</v>
      </c>
      <c r="D3436" t="s">
        <v>457</v>
      </c>
      <c r="E3436" t="s">
        <v>629</v>
      </c>
      <c r="F3436" t="s">
        <v>672</v>
      </c>
      <c r="G3436" t="s">
        <v>688</v>
      </c>
      <c r="O3436">
        <v>24</v>
      </c>
      <c r="P3436">
        <v>102</v>
      </c>
      <c r="Q3436">
        <v>60</v>
      </c>
      <c r="R3436">
        <v>186</v>
      </c>
      <c r="S3436">
        <v>84</v>
      </c>
      <c r="T3436">
        <v>132</v>
      </c>
      <c r="U3436">
        <v>150</v>
      </c>
      <c r="CH3436" t="str">
        <f t="shared" si="53"/>
        <v>JV1-0695-3</v>
      </c>
    </row>
    <row r="3437" spans="1:86">
      <c r="A3437" t="s">
        <v>5232</v>
      </c>
      <c r="B3437">
        <v>3210</v>
      </c>
      <c r="C3437" t="s">
        <v>712</v>
      </c>
      <c r="D3437" t="s">
        <v>457</v>
      </c>
      <c r="E3437" t="s">
        <v>629</v>
      </c>
      <c r="F3437" t="s">
        <v>672</v>
      </c>
      <c r="G3437" t="s">
        <v>713</v>
      </c>
      <c r="N3437">
        <v>66</v>
      </c>
      <c r="O3437">
        <v>126</v>
      </c>
      <c r="P3437">
        <v>132</v>
      </c>
      <c r="Q3437">
        <v>222</v>
      </c>
      <c r="R3437">
        <v>216</v>
      </c>
      <c r="S3437">
        <v>270</v>
      </c>
      <c r="T3437">
        <v>228</v>
      </c>
      <c r="U3437">
        <v>234</v>
      </c>
      <c r="V3437">
        <v>216</v>
      </c>
      <c r="W3437">
        <v>228</v>
      </c>
      <c r="X3437">
        <v>180</v>
      </c>
      <c r="Y3437">
        <v>198</v>
      </c>
      <c r="Z3437">
        <v>168</v>
      </c>
      <c r="AA3437">
        <v>198</v>
      </c>
      <c r="AB3437">
        <v>150</v>
      </c>
      <c r="AC3437">
        <v>90</v>
      </c>
      <c r="AD3437">
        <v>126</v>
      </c>
      <c r="AF3437">
        <v>84</v>
      </c>
      <c r="AH3437">
        <v>42</v>
      </c>
      <c r="AJ3437">
        <v>36</v>
      </c>
      <c r="CH3437" t="str">
        <f t="shared" si="53"/>
        <v>JV1-0695-3</v>
      </c>
    </row>
    <row r="3438" spans="1:86">
      <c r="A3438" t="s">
        <v>5233</v>
      </c>
      <c r="B3438">
        <v>557</v>
      </c>
      <c r="C3438" t="s">
        <v>700</v>
      </c>
      <c r="D3438" t="s">
        <v>457</v>
      </c>
      <c r="E3438" t="s">
        <v>629</v>
      </c>
      <c r="F3438" t="s">
        <v>672</v>
      </c>
      <c r="G3438" t="s">
        <v>680</v>
      </c>
      <c r="N3438">
        <v>12</v>
      </c>
      <c r="O3438">
        <v>30</v>
      </c>
      <c r="P3438">
        <v>48</v>
      </c>
      <c r="Q3438">
        <v>72</v>
      </c>
      <c r="R3438">
        <v>78</v>
      </c>
      <c r="S3438">
        <v>72</v>
      </c>
      <c r="T3438">
        <v>71</v>
      </c>
      <c r="U3438">
        <v>42</v>
      </c>
      <c r="V3438">
        <v>36</v>
      </c>
      <c r="W3438">
        <v>30</v>
      </c>
      <c r="X3438">
        <v>12</v>
      </c>
      <c r="Y3438">
        <v>18</v>
      </c>
      <c r="Z3438">
        <v>12</v>
      </c>
      <c r="AC3438">
        <v>12</v>
      </c>
      <c r="AD3438">
        <v>12</v>
      </c>
      <c r="CH3438" t="str">
        <f t="shared" si="53"/>
        <v>JV1-0695-3</v>
      </c>
    </row>
    <row r="3439" spans="1:86">
      <c r="A3439" t="s">
        <v>5234</v>
      </c>
      <c r="B3439">
        <v>1338</v>
      </c>
      <c r="C3439" t="s">
        <v>712</v>
      </c>
      <c r="D3439" t="s">
        <v>457</v>
      </c>
      <c r="E3439" t="s">
        <v>629</v>
      </c>
      <c r="F3439" t="s">
        <v>672</v>
      </c>
      <c r="G3439" t="s">
        <v>713</v>
      </c>
      <c r="N3439">
        <v>72</v>
      </c>
      <c r="O3439">
        <v>90</v>
      </c>
      <c r="P3439">
        <v>114</v>
      </c>
      <c r="Q3439">
        <v>258</v>
      </c>
      <c r="R3439">
        <v>234</v>
      </c>
      <c r="S3439">
        <v>258</v>
      </c>
      <c r="T3439">
        <v>240</v>
      </c>
      <c r="U3439">
        <v>72</v>
      </c>
      <c r="CH3439" t="str">
        <f t="shared" si="53"/>
        <v>JV1-0695-3</v>
      </c>
    </row>
    <row r="3440" spans="1:86">
      <c r="A3440" t="s">
        <v>5235</v>
      </c>
      <c r="B3440">
        <v>509</v>
      </c>
      <c r="C3440" t="s">
        <v>712</v>
      </c>
      <c r="D3440" t="s">
        <v>457</v>
      </c>
      <c r="E3440" t="s">
        <v>629</v>
      </c>
      <c r="F3440" t="s">
        <v>672</v>
      </c>
      <c r="G3440" t="s">
        <v>713</v>
      </c>
      <c r="N3440">
        <v>6</v>
      </c>
      <c r="O3440">
        <v>36</v>
      </c>
      <c r="P3440">
        <v>30</v>
      </c>
      <c r="Q3440">
        <v>72</v>
      </c>
      <c r="R3440">
        <v>60</v>
      </c>
      <c r="S3440">
        <v>84</v>
      </c>
      <c r="T3440">
        <v>59</v>
      </c>
      <c r="U3440">
        <v>66</v>
      </c>
      <c r="V3440">
        <v>36</v>
      </c>
      <c r="W3440">
        <v>36</v>
      </c>
      <c r="X3440">
        <v>6</v>
      </c>
      <c r="Y3440">
        <v>6</v>
      </c>
      <c r="Z3440">
        <v>6</v>
      </c>
      <c r="AA3440">
        <v>6</v>
      </c>
      <c r="CH3440" t="str">
        <f t="shared" si="53"/>
        <v>JV1-0695-3</v>
      </c>
    </row>
    <row r="3441" spans="1:86">
      <c r="A3441" t="s">
        <v>5236</v>
      </c>
      <c r="B3441">
        <v>678</v>
      </c>
      <c r="C3441" t="s">
        <v>712</v>
      </c>
      <c r="D3441" t="s">
        <v>457</v>
      </c>
      <c r="E3441" t="s">
        <v>629</v>
      </c>
      <c r="F3441" t="s">
        <v>672</v>
      </c>
      <c r="G3441" t="s">
        <v>713</v>
      </c>
      <c r="N3441">
        <v>36</v>
      </c>
      <c r="O3441">
        <v>72</v>
      </c>
      <c r="P3441">
        <v>78</v>
      </c>
      <c r="Q3441">
        <v>120</v>
      </c>
      <c r="R3441">
        <v>102</v>
      </c>
      <c r="S3441">
        <v>126</v>
      </c>
      <c r="T3441">
        <v>114</v>
      </c>
      <c r="U3441">
        <v>30</v>
      </c>
      <c r="CH3441" t="str">
        <f t="shared" si="53"/>
        <v>JV1-0695-3</v>
      </c>
    </row>
    <row r="3442" spans="1:86">
      <c r="A3442" t="s">
        <v>5237</v>
      </c>
      <c r="B3442">
        <v>2124</v>
      </c>
      <c r="C3442" t="s">
        <v>712</v>
      </c>
      <c r="D3442" t="s">
        <v>457</v>
      </c>
      <c r="E3442" t="s">
        <v>629</v>
      </c>
      <c r="F3442" t="s">
        <v>672</v>
      </c>
      <c r="G3442" t="s">
        <v>713</v>
      </c>
      <c r="N3442">
        <v>30</v>
      </c>
      <c r="O3442">
        <v>174</v>
      </c>
      <c r="P3442">
        <v>156</v>
      </c>
      <c r="Q3442">
        <v>258</v>
      </c>
      <c r="R3442">
        <v>306</v>
      </c>
      <c r="S3442">
        <v>378</v>
      </c>
      <c r="T3442">
        <v>258</v>
      </c>
      <c r="U3442">
        <v>234</v>
      </c>
      <c r="V3442">
        <v>156</v>
      </c>
      <c r="W3442">
        <v>96</v>
      </c>
      <c r="X3442">
        <v>48</v>
      </c>
      <c r="Y3442">
        <v>18</v>
      </c>
      <c r="Z3442">
        <v>6</v>
      </c>
      <c r="AA3442">
        <v>6</v>
      </c>
      <c r="CH3442" t="str">
        <f t="shared" si="53"/>
        <v>JV1-0695-3</v>
      </c>
    </row>
    <row r="3443" spans="1:86">
      <c r="A3443" t="s">
        <v>5238</v>
      </c>
      <c r="B3443">
        <v>876</v>
      </c>
      <c r="C3443" t="s">
        <v>712</v>
      </c>
      <c r="D3443" t="s">
        <v>457</v>
      </c>
      <c r="E3443" t="s">
        <v>629</v>
      </c>
      <c r="F3443" t="s">
        <v>672</v>
      </c>
      <c r="G3443" t="s">
        <v>713</v>
      </c>
      <c r="V3443">
        <v>114</v>
      </c>
      <c r="W3443">
        <v>84</v>
      </c>
      <c r="X3443">
        <v>66</v>
      </c>
      <c r="Y3443">
        <v>72</v>
      </c>
      <c r="Z3443">
        <v>138</v>
      </c>
      <c r="AA3443">
        <v>114</v>
      </c>
      <c r="AB3443">
        <v>84</v>
      </c>
      <c r="AC3443">
        <v>42</v>
      </c>
      <c r="AD3443">
        <v>90</v>
      </c>
      <c r="AF3443">
        <v>72</v>
      </c>
      <c r="CH3443" t="str">
        <f t="shared" si="53"/>
        <v>JV1-0695-3</v>
      </c>
    </row>
    <row r="3444" spans="1:86">
      <c r="A3444" t="s">
        <v>5239</v>
      </c>
      <c r="B3444">
        <v>630</v>
      </c>
      <c r="C3444" t="s">
        <v>712</v>
      </c>
      <c r="D3444" t="s">
        <v>457</v>
      </c>
      <c r="E3444" t="s">
        <v>629</v>
      </c>
      <c r="F3444" t="s">
        <v>672</v>
      </c>
      <c r="G3444" t="s">
        <v>713</v>
      </c>
      <c r="V3444">
        <v>72</v>
      </c>
      <c r="W3444">
        <v>66</v>
      </c>
      <c r="X3444">
        <v>42</v>
      </c>
      <c r="Y3444">
        <v>42</v>
      </c>
      <c r="Z3444">
        <v>120</v>
      </c>
      <c r="AA3444">
        <v>102</v>
      </c>
      <c r="AB3444">
        <v>42</v>
      </c>
      <c r="AC3444">
        <v>30</v>
      </c>
      <c r="AD3444">
        <v>66</v>
      </c>
      <c r="AF3444">
        <v>48</v>
      </c>
      <c r="CH3444" t="str">
        <f t="shared" si="53"/>
        <v>JV1-0695-3</v>
      </c>
    </row>
    <row r="3445" spans="1:86">
      <c r="A3445" t="s">
        <v>5240</v>
      </c>
      <c r="B3445">
        <v>912</v>
      </c>
      <c r="C3445" t="s">
        <v>712</v>
      </c>
      <c r="D3445" t="s">
        <v>457</v>
      </c>
      <c r="E3445" t="s">
        <v>629</v>
      </c>
      <c r="F3445" t="s">
        <v>672</v>
      </c>
      <c r="G3445" t="s">
        <v>713</v>
      </c>
      <c r="V3445">
        <v>120</v>
      </c>
      <c r="W3445">
        <v>102</v>
      </c>
      <c r="X3445">
        <v>72</v>
      </c>
      <c r="Y3445">
        <v>78</v>
      </c>
      <c r="Z3445">
        <v>126</v>
      </c>
      <c r="AA3445">
        <v>90</v>
      </c>
      <c r="AB3445">
        <v>78</v>
      </c>
      <c r="AC3445">
        <v>48</v>
      </c>
      <c r="AD3445">
        <v>96</v>
      </c>
      <c r="AF3445">
        <v>102</v>
      </c>
      <c r="CH3445" t="str">
        <f t="shared" si="53"/>
        <v>JV1-0695-3</v>
      </c>
    </row>
    <row r="3446" spans="1:86">
      <c r="A3446" t="s">
        <v>5241</v>
      </c>
      <c r="B3446">
        <v>888</v>
      </c>
      <c r="C3446" t="s">
        <v>712</v>
      </c>
      <c r="D3446" t="s">
        <v>457</v>
      </c>
      <c r="E3446" t="s">
        <v>629</v>
      </c>
      <c r="F3446" t="s">
        <v>672</v>
      </c>
      <c r="G3446" t="s">
        <v>713</v>
      </c>
      <c r="P3446">
        <v>147</v>
      </c>
      <c r="Q3446">
        <v>147</v>
      </c>
      <c r="R3446">
        <v>147</v>
      </c>
      <c r="S3446">
        <v>147</v>
      </c>
      <c r="T3446">
        <v>153</v>
      </c>
      <c r="U3446">
        <v>147</v>
      </c>
      <c r="CH3446" t="str">
        <f t="shared" si="53"/>
        <v>JV1-0695-3</v>
      </c>
    </row>
    <row r="3447" spans="1:86">
      <c r="A3447" t="s">
        <v>5242</v>
      </c>
      <c r="B3447">
        <v>1404</v>
      </c>
      <c r="C3447" t="s">
        <v>712</v>
      </c>
      <c r="D3447" t="s">
        <v>457</v>
      </c>
      <c r="E3447" t="s">
        <v>629</v>
      </c>
      <c r="F3447" t="s">
        <v>672</v>
      </c>
      <c r="G3447" t="s">
        <v>713</v>
      </c>
      <c r="O3447">
        <v>186</v>
      </c>
      <c r="P3447">
        <v>204</v>
      </c>
      <c r="Q3447">
        <v>210</v>
      </c>
      <c r="R3447">
        <v>210</v>
      </c>
      <c r="S3447">
        <v>294</v>
      </c>
      <c r="T3447">
        <v>234</v>
      </c>
      <c r="U3447">
        <v>66</v>
      </c>
      <c r="CH3447" t="str">
        <f t="shared" si="53"/>
        <v>JV1-0695-3</v>
      </c>
    </row>
    <row r="3448" spans="1:86">
      <c r="A3448" t="s">
        <v>5243</v>
      </c>
      <c r="B3448">
        <v>810</v>
      </c>
      <c r="C3448" t="s">
        <v>687</v>
      </c>
      <c r="D3448" t="s">
        <v>457</v>
      </c>
      <c r="E3448" t="s">
        <v>629</v>
      </c>
      <c r="F3448" t="s">
        <v>672</v>
      </c>
      <c r="G3448" t="s">
        <v>688</v>
      </c>
      <c r="N3448">
        <v>18</v>
      </c>
      <c r="O3448">
        <v>36</v>
      </c>
      <c r="P3448">
        <v>48</v>
      </c>
      <c r="Q3448">
        <v>66</v>
      </c>
      <c r="R3448">
        <v>72</v>
      </c>
      <c r="S3448">
        <v>84</v>
      </c>
      <c r="T3448">
        <v>90</v>
      </c>
      <c r="U3448">
        <v>84</v>
      </c>
      <c r="V3448">
        <v>78</v>
      </c>
      <c r="W3448">
        <v>66</v>
      </c>
      <c r="X3448">
        <v>36</v>
      </c>
      <c r="Y3448">
        <v>30</v>
      </c>
      <c r="Z3448">
        <v>24</v>
      </c>
      <c r="AA3448">
        <v>24</v>
      </c>
      <c r="AB3448">
        <v>24</v>
      </c>
      <c r="AC3448">
        <v>12</v>
      </c>
      <c r="AD3448">
        <v>12</v>
      </c>
      <c r="AE3448">
        <v>6</v>
      </c>
      <c r="CH3448" t="str">
        <f t="shared" si="53"/>
        <v>JV1-0695-3</v>
      </c>
    </row>
    <row r="3449" spans="1:86">
      <c r="A3449" t="s">
        <v>5244</v>
      </c>
      <c r="B3449">
        <v>1446</v>
      </c>
      <c r="C3449" t="s">
        <v>712</v>
      </c>
      <c r="D3449" t="s">
        <v>457</v>
      </c>
      <c r="E3449" t="s">
        <v>629</v>
      </c>
      <c r="F3449" t="s">
        <v>672</v>
      </c>
      <c r="G3449" t="s">
        <v>713</v>
      </c>
      <c r="O3449">
        <v>120</v>
      </c>
      <c r="P3449">
        <v>120</v>
      </c>
      <c r="Q3449">
        <v>240</v>
      </c>
      <c r="R3449">
        <v>240</v>
      </c>
      <c r="S3449">
        <v>240</v>
      </c>
      <c r="T3449">
        <v>246</v>
      </c>
      <c r="U3449">
        <v>240</v>
      </c>
      <c r="CH3449" t="str">
        <f t="shared" si="53"/>
        <v>JV1-0695-3</v>
      </c>
    </row>
    <row r="3450" spans="1:86">
      <c r="A3450" t="s">
        <v>5245</v>
      </c>
      <c r="B3450">
        <v>2454</v>
      </c>
      <c r="C3450" t="s">
        <v>712</v>
      </c>
      <c r="D3450" t="s">
        <v>457</v>
      </c>
      <c r="E3450" t="s">
        <v>629</v>
      </c>
      <c r="F3450" t="s">
        <v>672</v>
      </c>
      <c r="G3450" t="s">
        <v>713</v>
      </c>
      <c r="O3450">
        <v>204</v>
      </c>
      <c r="P3450">
        <v>204</v>
      </c>
      <c r="Q3450">
        <v>408</v>
      </c>
      <c r="R3450">
        <v>408</v>
      </c>
      <c r="S3450">
        <v>408</v>
      </c>
      <c r="T3450">
        <v>414</v>
      </c>
      <c r="U3450">
        <v>408</v>
      </c>
      <c r="CH3450" t="str">
        <f t="shared" si="53"/>
        <v>JV1-0695-3</v>
      </c>
    </row>
    <row r="3451" spans="1:86">
      <c r="A3451" t="s">
        <v>5246</v>
      </c>
      <c r="B3451">
        <v>1236</v>
      </c>
      <c r="C3451" t="s">
        <v>712</v>
      </c>
      <c r="D3451" t="s">
        <v>457</v>
      </c>
      <c r="E3451" t="s">
        <v>629</v>
      </c>
      <c r="F3451" t="s">
        <v>672</v>
      </c>
      <c r="G3451" t="s">
        <v>713</v>
      </c>
      <c r="O3451">
        <v>162</v>
      </c>
      <c r="P3451">
        <v>180</v>
      </c>
      <c r="Q3451">
        <v>186</v>
      </c>
      <c r="R3451">
        <v>186</v>
      </c>
      <c r="S3451">
        <v>258</v>
      </c>
      <c r="T3451">
        <v>210</v>
      </c>
      <c r="U3451">
        <v>54</v>
      </c>
      <c r="CH3451" t="str">
        <f t="shared" si="53"/>
        <v>JV1-0695-3</v>
      </c>
    </row>
    <row r="3452" spans="1:86">
      <c r="A3452" t="s">
        <v>5247</v>
      </c>
      <c r="B3452">
        <v>2334</v>
      </c>
      <c r="C3452" t="s">
        <v>712</v>
      </c>
      <c r="D3452" t="s">
        <v>457</v>
      </c>
      <c r="E3452" t="s">
        <v>629</v>
      </c>
      <c r="F3452" t="s">
        <v>672</v>
      </c>
      <c r="G3452" t="s">
        <v>713</v>
      </c>
      <c r="O3452">
        <v>462</v>
      </c>
      <c r="P3452">
        <v>288</v>
      </c>
      <c r="Q3452">
        <v>450</v>
      </c>
      <c r="R3452">
        <v>300</v>
      </c>
      <c r="S3452">
        <v>420</v>
      </c>
      <c r="T3452">
        <v>330</v>
      </c>
      <c r="U3452">
        <v>84</v>
      </c>
      <c r="CH3452" t="str">
        <f t="shared" si="53"/>
        <v>JV1-0695-3</v>
      </c>
    </row>
    <row r="3453" spans="1:86">
      <c r="A3453" t="s">
        <v>5248</v>
      </c>
      <c r="B3453">
        <v>810</v>
      </c>
      <c r="C3453" t="s">
        <v>2625</v>
      </c>
      <c r="D3453" t="s">
        <v>457</v>
      </c>
      <c r="E3453" t="s">
        <v>629</v>
      </c>
      <c r="F3453" t="s">
        <v>672</v>
      </c>
      <c r="G3453" t="s">
        <v>682</v>
      </c>
      <c r="N3453">
        <v>30</v>
      </c>
      <c r="O3453">
        <v>54</v>
      </c>
      <c r="P3453">
        <v>60</v>
      </c>
      <c r="Q3453">
        <v>72</v>
      </c>
      <c r="R3453">
        <v>78</v>
      </c>
      <c r="S3453">
        <v>90</v>
      </c>
      <c r="T3453">
        <v>90</v>
      </c>
      <c r="U3453">
        <v>78</v>
      </c>
      <c r="V3453">
        <v>72</v>
      </c>
      <c r="W3453">
        <v>66</v>
      </c>
      <c r="X3453">
        <v>36</v>
      </c>
      <c r="Y3453">
        <v>24</v>
      </c>
      <c r="Z3453">
        <v>18</v>
      </c>
      <c r="AA3453">
        <v>18</v>
      </c>
      <c r="AB3453">
        <v>12</v>
      </c>
      <c r="AC3453">
        <v>12</v>
      </c>
      <c r="CH3453" t="str">
        <f t="shared" si="53"/>
        <v>JV1-0695-3</v>
      </c>
    </row>
    <row r="3454" spans="1:86">
      <c r="A3454" t="s">
        <v>5249</v>
      </c>
      <c r="B3454">
        <v>2166</v>
      </c>
      <c r="C3454" t="s">
        <v>712</v>
      </c>
      <c r="D3454" t="s">
        <v>457</v>
      </c>
      <c r="E3454" t="s">
        <v>629</v>
      </c>
      <c r="F3454" t="s">
        <v>672</v>
      </c>
      <c r="G3454" t="s">
        <v>713</v>
      </c>
      <c r="O3454">
        <v>180</v>
      </c>
      <c r="P3454">
        <v>180</v>
      </c>
      <c r="Q3454">
        <v>360</v>
      </c>
      <c r="R3454">
        <v>360</v>
      </c>
      <c r="S3454">
        <v>360</v>
      </c>
      <c r="T3454">
        <v>366</v>
      </c>
      <c r="U3454">
        <v>360</v>
      </c>
      <c r="CH3454" t="str">
        <f t="shared" si="53"/>
        <v>JV1-0695-3</v>
      </c>
    </row>
    <row r="3455" spans="1:86">
      <c r="A3455" t="s">
        <v>5250</v>
      </c>
      <c r="B3455">
        <v>26</v>
      </c>
      <c r="C3455" t="s">
        <v>3739</v>
      </c>
      <c r="D3455" t="s">
        <v>251</v>
      </c>
      <c r="E3455" t="s">
        <v>629</v>
      </c>
      <c r="F3455" t="s">
        <v>657</v>
      </c>
      <c r="G3455" t="s">
        <v>3740</v>
      </c>
      <c r="N3455">
        <v>2</v>
      </c>
      <c r="P3455">
        <v>1</v>
      </c>
      <c r="Q3455">
        <v>1</v>
      </c>
      <c r="R3455">
        <v>1</v>
      </c>
      <c r="S3455">
        <v>2</v>
      </c>
      <c r="T3455">
        <v>1</v>
      </c>
      <c r="U3455">
        <v>1</v>
      </c>
      <c r="V3455">
        <v>1</v>
      </c>
      <c r="W3455">
        <v>1</v>
      </c>
      <c r="X3455">
        <v>2</v>
      </c>
      <c r="Y3455">
        <v>2</v>
      </c>
      <c r="Z3455">
        <v>1</v>
      </c>
      <c r="AB3455">
        <v>1</v>
      </c>
      <c r="AC3455">
        <v>1</v>
      </c>
      <c r="AD3455">
        <v>1</v>
      </c>
      <c r="AE3455">
        <v>2</v>
      </c>
      <c r="AF3455">
        <v>2</v>
      </c>
      <c r="AH3455">
        <v>2</v>
      </c>
      <c r="AJ3455">
        <v>1</v>
      </c>
      <c r="CH3455" t="str">
        <f t="shared" si="53"/>
        <v>D-0272</v>
      </c>
    </row>
    <row r="3456" spans="1:86">
      <c r="A3456" t="s">
        <v>5251</v>
      </c>
      <c r="B3456">
        <v>3</v>
      </c>
      <c r="C3456" t="s">
        <v>771</v>
      </c>
      <c r="D3456" t="s">
        <v>251</v>
      </c>
      <c r="E3456" t="s">
        <v>629</v>
      </c>
      <c r="F3456" t="s">
        <v>657</v>
      </c>
      <c r="G3456" t="s">
        <v>3420</v>
      </c>
      <c r="M3456">
        <v>1</v>
      </c>
      <c r="N3456">
        <v>1</v>
      </c>
      <c r="O3456">
        <v>1</v>
      </c>
      <c r="CH3456" t="str">
        <f t="shared" si="53"/>
        <v>D-0272</v>
      </c>
    </row>
    <row r="3457" spans="1:86">
      <c r="A3457" t="s">
        <v>5252</v>
      </c>
      <c r="B3457">
        <v>99</v>
      </c>
      <c r="C3457" t="s">
        <v>3399</v>
      </c>
      <c r="D3457" t="s">
        <v>210</v>
      </c>
      <c r="E3457" t="s">
        <v>642</v>
      </c>
      <c r="F3457" t="s">
        <v>633</v>
      </c>
      <c r="G3457" t="s">
        <v>2283</v>
      </c>
      <c r="P3457">
        <v>3</v>
      </c>
      <c r="Q3457">
        <v>3</v>
      </c>
      <c r="R3457">
        <v>8</v>
      </c>
      <c r="S3457">
        <v>8</v>
      </c>
      <c r="T3457">
        <v>14</v>
      </c>
      <c r="U3457">
        <v>12</v>
      </c>
      <c r="V3457">
        <v>12</v>
      </c>
      <c r="W3457">
        <v>9</v>
      </c>
      <c r="X3457">
        <v>8</v>
      </c>
      <c r="Y3457">
        <v>5</v>
      </c>
      <c r="Z3457">
        <v>5</v>
      </c>
      <c r="AA3457">
        <v>3</v>
      </c>
      <c r="AB3457">
        <v>3</v>
      </c>
      <c r="AC3457">
        <v>3</v>
      </c>
      <c r="AD3457">
        <v>3</v>
      </c>
      <c r="CH3457" t="str">
        <f t="shared" si="53"/>
        <v>D-0256</v>
      </c>
    </row>
    <row r="3458" spans="1:86">
      <c r="A3458" t="s">
        <v>5253</v>
      </c>
      <c r="B3458">
        <v>55</v>
      </c>
      <c r="C3458" t="s">
        <v>4601</v>
      </c>
      <c r="D3458" t="s">
        <v>210</v>
      </c>
      <c r="E3458" t="s">
        <v>642</v>
      </c>
      <c r="F3458" t="s">
        <v>633</v>
      </c>
      <c r="G3458" t="s">
        <v>4602</v>
      </c>
      <c r="P3458">
        <v>3</v>
      </c>
      <c r="Q3458">
        <v>3</v>
      </c>
      <c r="R3458">
        <v>3</v>
      </c>
      <c r="S3458">
        <v>3</v>
      </c>
      <c r="T3458">
        <v>5</v>
      </c>
      <c r="U3458">
        <v>5</v>
      </c>
      <c r="V3458">
        <v>4</v>
      </c>
      <c r="W3458">
        <v>4</v>
      </c>
      <c r="X3458">
        <v>4</v>
      </c>
      <c r="Y3458">
        <v>4</v>
      </c>
      <c r="Z3458">
        <v>4</v>
      </c>
      <c r="AA3458">
        <v>4</v>
      </c>
      <c r="AB3458">
        <v>3</v>
      </c>
      <c r="AC3458">
        <v>3</v>
      </c>
      <c r="AD3458">
        <v>3</v>
      </c>
      <c r="CH3458" t="str">
        <f t="shared" ref="CH3458:CH3521" si="54">TRIM(IFERROR(IFERROR(MID($D3458,FIND("(D-",$D3458)+1,6),LEFT($D3458,FIND("(",$D3458)-1)),$D3458))</f>
        <v>D-0256</v>
      </c>
    </row>
    <row r="3459" spans="1:86">
      <c r="A3459" t="s">
        <v>5254</v>
      </c>
      <c r="B3459">
        <v>76</v>
      </c>
      <c r="C3459" t="s">
        <v>4827</v>
      </c>
      <c r="D3459" t="s">
        <v>210</v>
      </c>
      <c r="E3459" t="s">
        <v>642</v>
      </c>
      <c r="F3459" t="s">
        <v>633</v>
      </c>
      <c r="G3459" t="s">
        <v>4828</v>
      </c>
      <c r="P3459">
        <v>3</v>
      </c>
      <c r="Q3459">
        <v>3</v>
      </c>
      <c r="R3459">
        <v>6</v>
      </c>
      <c r="S3459">
        <v>7</v>
      </c>
      <c r="T3459">
        <v>8</v>
      </c>
      <c r="U3459">
        <v>8</v>
      </c>
      <c r="V3459">
        <v>9</v>
      </c>
      <c r="W3459">
        <v>8</v>
      </c>
      <c r="X3459">
        <v>7</v>
      </c>
      <c r="Y3459">
        <v>4</v>
      </c>
      <c r="Z3459">
        <v>6</v>
      </c>
      <c r="AB3459">
        <v>4</v>
      </c>
      <c r="AD3459">
        <v>3</v>
      </c>
      <c r="CH3459" t="str">
        <f t="shared" si="54"/>
        <v>D-0256</v>
      </c>
    </row>
    <row r="3460" spans="1:86">
      <c r="A3460" t="s">
        <v>5255</v>
      </c>
      <c r="B3460">
        <v>83</v>
      </c>
      <c r="C3460" t="s">
        <v>3490</v>
      </c>
      <c r="D3460" t="s">
        <v>210</v>
      </c>
      <c r="E3460" t="s">
        <v>642</v>
      </c>
      <c r="F3460" t="s">
        <v>633</v>
      </c>
      <c r="G3460" t="s">
        <v>3389</v>
      </c>
      <c r="P3460">
        <v>3</v>
      </c>
      <c r="Q3460">
        <v>3</v>
      </c>
      <c r="R3460">
        <v>7</v>
      </c>
      <c r="S3460">
        <v>8</v>
      </c>
      <c r="T3460">
        <v>10</v>
      </c>
      <c r="U3460">
        <v>9</v>
      </c>
      <c r="V3460">
        <v>10</v>
      </c>
      <c r="W3460">
        <v>8</v>
      </c>
      <c r="X3460">
        <v>8</v>
      </c>
      <c r="Y3460">
        <v>4</v>
      </c>
      <c r="Z3460">
        <v>5</v>
      </c>
      <c r="AA3460">
        <v>2</v>
      </c>
      <c r="AB3460">
        <v>4</v>
      </c>
      <c r="AD3460">
        <v>2</v>
      </c>
      <c r="CH3460" t="str">
        <f t="shared" si="54"/>
        <v>D-0256</v>
      </c>
    </row>
    <row r="3461" spans="1:86">
      <c r="A3461" t="s">
        <v>5256</v>
      </c>
      <c r="B3461">
        <v>791</v>
      </c>
      <c r="C3461" t="s">
        <v>1165</v>
      </c>
      <c r="D3461" t="s">
        <v>457</v>
      </c>
      <c r="E3461" t="s">
        <v>629</v>
      </c>
      <c r="F3461" t="s">
        <v>672</v>
      </c>
      <c r="G3461" t="s">
        <v>673</v>
      </c>
      <c r="N3461">
        <v>18</v>
      </c>
      <c r="O3461">
        <v>30</v>
      </c>
      <c r="P3461">
        <v>36</v>
      </c>
      <c r="Q3461">
        <v>48</v>
      </c>
      <c r="R3461">
        <v>42</v>
      </c>
      <c r="S3461">
        <v>54</v>
      </c>
      <c r="T3461">
        <v>48</v>
      </c>
      <c r="U3461">
        <v>42</v>
      </c>
      <c r="V3461">
        <v>53</v>
      </c>
      <c r="W3461">
        <v>42</v>
      </c>
      <c r="X3461">
        <v>66</v>
      </c>
      <c r="Y3461">
        <v>66</v>
      </c>
      <c r="Z3461">
        <v>60</v>
      </c>
      <c r="AA3461">
        <v>54</v>
      </c>
      <c r="AB3461">
        <v>48</v>
      </c>
      <c r="AC3461">
        <v>30</v>
      </c>
      <c r="AD3461">
        <v>30</v>
      </c>
      <c r="AF3461">
        <v>24</v>
      </c>
      <c r="CH3461" t="str">
        <f t="shared" si="54"/>
        <v>JV1-0695-3</v>
      </c>
    </row>
    <row r="3462" spans="1:86">
      <c r="A3462" t="s">
        <v>5257</v>
      </c>
      <c r="B3462">
        <v>761</v>
      </c>
      <c r="C3462" t="s">
        <v>1168</v>
      </c>
      <c r="D3462" t="s">
        <v>457</v>
      </c>
      <c r="E3462" t="s">
        <v>629</v>
      </c>
      <c r="F3462" t="s">
        <v>672</v>
      </c>
      <c r="G3462" t="s">
        <v>673</v>
      </c>
      <c r="N3462">
        <v>6</v>
      </c>
      <c r="O3462">
        <v>48</v>
      </c>
      <c r="P3462">
        <v>60</v>
      </c>
      <c r="Q3462">
        <v>102</v>
      </c>
      <c r="R3462">
        <v>114</v>
      </c>
      <c r="S3462">
        <v>108</v>
      </c>
      <c r="T3462">
        <v>66</v>
      </c>
      <c r="U3462">
        <v>48</v>
      </c>
      <c r="V3462">
        <v>23</v>
      </c>
      <c r="W3462">
        <v>36</v>
      </c>
      <c r="X3462">
        <v>24</v>
      </c>
      <c r="Y3462">
        <v>24</v>
      </c>
      <c r="Z3462">
        <v>30</v>
      </c>
      <c r="AA3462">
        <v>24</v>
      </c>
      <c r="AB3462">
        <v>18</v>
      </c>
      <c r="AC3462">
        <v>6</v>
      </c>
      <c r="AD3462">
        <v>12</v>
      </c>
      <c r="AF3462">
        <v>12</v>
      </c>
      <c r="CH3462" t="str">
        <f t="shared" si="54"/>
        <v>JV1-0695-3</v>
      </c>
    </row>
    <row r="3463" spans="1:86">
      <c r="A3463" t="s">
        <v>5258</v>
      </c>
      <c r="B3463">
        <v>1109</v>
      </c>
      <c r="C3463" t="s">
        <v>1166</v>
      </c>
      <c r="D3463" t="s">
        <v>457</v>
      </c>
      <c r="E3463" t="s">
        <v>629</v>
      </c>
      <c r="F3463" t="s">
        <v>672</v>
      </c>
      <c r="G3463" t="s">
        <v>673</v>
      </c>
      <c r="O3463">
        <v>24</v>
      </c>
      <c r="P3463">
        <v>108</v>
      </c>
      <c r="Q3463">
        <v>168</v>
      </c>
      <c r="R3463">
        <v>168</v>
      </c>
      <c r="T3463">
        <v>113</v>
      </c>
      <c r="U3463">
        <v>72</v>
      </c>
      <c r="W3463">
        <v>120</v>
      </c>
      <c r="Y3463">
        <v>132</v>
      </c>
      <c r="Z3463">
        <v>120</v>
      </c>
      <c r="AB3463">
        <v>60</v>
      </c>
      <c r="AD3463">
        <v>24</v>
      </c>
      <c r="CH3463" t="str">
        <f t="shared" si="54"/>
        <v>JV1-0695-3</v>
      </c>
    </row>
    <row r="3464" spans="1:86">
      <c r="A3464" t="s">
        <v>5259</v>
      </c>
      <c r="B3464">
        <v>149</v>
      </c>
      <c r="C3464" t="s">
        <v>1166</v>
      </c>
      <c r="D3464" t="s">
        <v>457</v>
      </c>
      <c r="E3464" t="s">
        <v>629</v>
      </c>
      <c r="F3464" t="s">
        <v>672</v>
      </c>
      <c r="G3464" t="s">
        <v>673</v>
      </c>
      <c r="O3464">
        <v>12</v>
      </c>
      <c r="P3464">
        <v>12</v>
      </c>
      <c r="Q3464">
        <v>24</v>
      </c>
      <c r="R3464">
        <v>12</v>
      </c>
      <c r="S3464">
        <v>30</v>
      </c>
      <c r="T3464">
        <v>18</v>
      </c>
      <c r="U3464">
        <v>18</v>
      </c>
      <c r="V3464">
        <v>17</v>
      </c>
      <c r="W3464">
        <v>6</v>
      </c>
      <c r="CH3464" t="str">
        <f t="shared" si="54"/>
        <v>JV1-0695-3</v>
      </c>
    </row>
    <row r="3465" spans="1:86">
      <c r="A3465" t="s">
        <v>5260</v>
      </c>
      <c r="B3465">
        <v>1037</v>
      </c>
      <c r="C3465" t="s">
        <v>1165</v>
      </c>
      <c r="D3465" t="s">
        <v>457</v>
      </c>
      <c r="E3465" t="s">
        <v>629</v>
      </c>
      <c r="F3465" t="s">
        <v>672</v>
      </c>
      <c r="G3465" t="s">
        <v>673</v>
      </c>
      <c r="O3465">
        <v>60</v>
      </c>
      <c r="P3465">
        <v>132</v>
      </c>
      <c r="Q3465">
        <v>204</v>
      </c>
      <c r="R3465">
        <v>192</v>
      </c>
      <c r="T3465">
        <v>137</v>
      </c>
      <c r="U3465">
        <v>84</v>
      </c>
      <c r="W3465">
        <v>72</v>
      </c>
      <c r="Y3465">
        <v>60</v>
      </c>
      <c r="Z3465">
        <v>48</v>
      </c>
      <c r="AB3465">
        <v>36</v>
      </c>
      <c r="AD3465">
        <v>12</v>
      </c>
      <c r="CH3465" t="str">
        <f t="shared" si="54"/>
        <v>JV1-0695-3</v>
      </c>
    </row>
    <row r="3466" spans="1:86">
      <c r="A3466" t="s">
        <v>5261</v>
      </c>
      <c r="B3466">
        <v>1889</v>
      </c>
      <c r="C3466" t="s">
        <v>1167</v>
      </c>
      <c r="D3466" t="s">
        <v>457</v>
      </c>
      <c r="E3466" t="s">
        <v>629</v>
      </c>
      <c r="F3466" t="s">
        <v>672</v>
      </c>
      <c r="G3466" t="s">
        <v>686</v>
      </c>
      <c r="O3466">
        <v>90</v>
      </c>
      <c r="P3466">
        <v>186</v>
      </c>
      <c r="Q3466">
        <v>210</v>
      </c>
      <c r="R3466">
        <v>228</v>
      </c>
      <c r="S3466">
        <v>240</v>
      </c>
      <c r="T3466">
        <v>210</v>
      </c>
      <c r="U3466">
        <v>192</v>
      </c>
      <c r="V3466">
        <v>161</v>
      </c>
      <c r="W3466">
        <v>132</v>
      </c>
      <c r="X3466">
        <v>30</v>
      </c>
      <c r="Y3466">
        <v>36</v>
      </c>
      <c r="Z3466">
        <v>36</v>
      </c>
      <c r="AA3466">
        <v>48</v>
      </c>
      <c r="AB3466">
        <v>30</v>
      </c>
      <c r="AC3466">
        <v>18</v>
      </c>
      <c r="AD3466">
        <v>24</v>
      </c>
      <c r="AF3466">
        <v>12</v>
      </c>
      <c r="AJ3466">
        <v>6</v>
      </c>
      <c r="CH3466" t="str">
        <f t="shared" si="54"/>
        <v>JV1-0695-3</v>
      </c>
    </row>
    <row r="3467" spans="1:86">
      <c r="A3467" t="s">
        <v>5262</v>
      </c>
      <c r="B3467">
        <v>191</v>
      </c>
      <c r="C3467" t="s">
        <v>1168</v>
      </c>
      <c r="D3467" t="s">
        <v>457</v>
      </c>
      <c r="E3467" t="s">
        <v>629</v>
      </c>
      <c r="F3467" t="s">
        <v>672</v>
      </c>
      <c r="G3467" t="s">
        <v>673</v>
      </c>
      <c r="N3467">
        <v>12</v>
      </c>
      <c r="O3467">
        <v>12</v>
      </c>
      <c r="P3467">
        <v>12</v>
      </c>
      <c r="Q3467">
        <v>12</v>
      </c>
      <c r="R3467">
        <v>12</v>
      </c>
      <c r="S3467">
        <v>18</v>
      </c>
      <c r="T3467">
        <v>12</v>
      </c>
      <c r="U3467">
        <v>12</v>
      </c>
      <c r="V3467">
        <v>17</v>
      </c>
      <c r="W3467">
        <v>12</v>
      </c>
      <c r="X3467">
        <v>12</v>
      </c>
      <c r="Y3467">
        <v>12</v>
      </c>
      <c r="Z3467">
        <v>12</v>
      </c>
      <c r="AA3467">
        <v>12</v>
      </c>
      <c r="AB3467">
        <v>6</v>
      </c>
      <c r="AC3467">
        <v>6</v>
      </c>
      <c r="CH3467" t="str">
        <f t="shared" si="54"/>
        <v>JV1-0695-3</v>
      </c>
    </row>
    <row r="3468" spans="1:86">
      <c r="A3468" t="s">
        <v>5263</v>
      </c>
      <c r="B3468">
        <v>257</v>
      </c>
      <c r="C3468" t="s">
        <v>1168</v>
      </c>
      <c r="D3468" t="s">
        <v>457</v>
      </c>
      <c r="E3468" t="s">
        <v>629</v>
      </c>
      <c r="F3468" t="s">
        <v>672</v>
      </c>
      <c r="G3468" t="s">
        <v>673</v>
      </c>
      <c r="N3468">
        <v>6</v>
      </c>
      <c r="O3468">
        <v>12</v>
      </c>
      <c r="P3468">
        <v>18</v>
      </c>
      <c r="Q3468">
        <v>18</v>
      </c>
      <c r="R3468">
        <v>18</v>
      </c>
      <c r="S3468">
        <v>30</v>
      </c>
      <c r="T3468">
        <v>18</v>
      </c>
      <c r="U3468">
        <v>18</v>
      </c>
      <c r="V3468">
        <v>17</v>
      </c>
      <c r="W3468">
        <v>12</v>
      </c>
      <c r="X3468">
        <v>12</v>
      </c>
      <c r="Y3468">
        <v>18</v>
      </c>
      <c r="Z3468">
        <v>18</v>
      </c>
      <c r="AA3468">
        <v>18</v>
      </c>
      <c r="AB3468">
        <v>12</v>
      </c>
      <c r="AC3468">
        <v>6</v>
      </c>
      <c r="AD3468">
        <v>6</v>
      </c>
      <c r="CH3468" t="str">
        <f t="shared" si="54"/>
        <v>JV1-0695-3</v>
      </c>
    </row>
    <row r="3469" spans="1:86">
      <c r="A3469" t="s">
        <v>5264</v>
      </c>
      <c r="B3469">
        <v>2123</v>
      </c>
      <c r="C3469" t="s">
        <v>1168</v>
      </c>
      <c r="D3469" t="s">
        <v>457</v>
      </c>
      <c r="E3469" t="s">
        <v>629</v>
      </c>
      <c r="F3469" t="s">
        <v>672</v>
      </c>
      <c r="G3469" t="s">
        <v>673</v>
      </c>
      <c r="N3469">
        <v>18</v>
      </c>
      <c r="O3469">
        <v>84</v>
      </c>
      <c r="P3469">
        <v>102</v>
      </c>
      <c r="Q3469">
        <v>144</v>
      </c>
      <c r="R3469">
        <v>180</v>
      </c>
      <c r="S3469">
        <v>192</v>
      </c>
      <c r="T3469">
        <v>228</v>
      </c>
      <c r="U3469">
        <v>210</v>
      </c>
      <c r="V3469">
        <v>221</v>
      </c>
      <c r="W3469">
        <v>192</v>
      </c>
      <c r="X3469">
        <v>150</v>
      </c>
      <c r="Y3469">
        <v>102</v>
      </c>
      <c r="Z3469">
        <v>108</v>
      </c>
      <c r="AA3469">
        <v>60</v>
      </c>
      <c r="AB3469">
        <v>72</v>
      </c>
      <c r="AC3469">
        <v>18</v>
      </c>
      <c r="AD3469">
        <v>30</v>
      </c>
      <c r="AF3469">
        <v>12</v>
      </c>
      <c r="CH3469" t="str">
        <f t="shared" si="54"/>
        <v>JV1-0695-3</v>
      </c>
    </row>
    <row r="3470" spans="1:86">
      <c r="A3470" t="s">
        <v>5265</v>
      </c>
      <c r="B3470">
        <v>1331</v>
      </c>
      <c r="C3470" t="s">
        <v>718</v>
      </c>
      <c r="D3470" t="s">
        <v>457</v>
      </c>
      <c r="E3470" t="s">
        <v>629</v>
      </c>
      <c r="F3470" t="s">
        <v>672</v>
      </c>
      <c r="G3470" t="s">
        <v>673</v>
      </c>
      <c r="N3470">
        <v>18</v>
      </c>
      <c r="O3470">
        <v>30</v>
      </c>
      <c r="P3470">
        <v>36</v>
      </c>
      <c r="Q3470">
        <v>42</v>
      </c>
      <c r="R3470">
        <v>60</v>
      </c>
      <c r="S3470">
        <v>72</v>
      </c>
      <c r="T3470">
        <v>84</v>
      </c>
      <c r="U3470">
        <v>84</v>
      </c>
      <c r="V3470">
        <v>125</v>
      </c>
      <c r="W3470">
        <v>114</v>
      </c>
      <c r="X3470">
        <v>120</v>
      </c>
      <c r="Y3470">
        <v>120</v>
      </c>
      <c r="Z3470">
        <v>114</v>
      </c>
      <c r="AA3470">
        <v>90</v>
      </c>
      <c r="AB3470">
        <v>84</v>
      </c>
      <c r="AC3470">
        <v>42</v>
      </c>
      <c r="AD3470">
        <v>54</v>
      </c>
      <c r="AF3470">
        <v>30</v>
      </c>
      <c r="AH3470">
        <v>12</v>
      </c>
      <c r="CH3470" t="str">
        <f t="shared" si="54"/>
        <v>JV1-0695-3</v>
      </c>
    </row>
    <row r="3471" spans="1:86">
      <c r="A3471" t="s">
        <v>5266</v>
      </c>
      <c r="B3471">
        <v>155</v>
      </c>
      <c r="C3471" t="s">
        <v>1165</v>
      </c>
      <c r="D3471" t="s">
        <v>457</v>
      </c>
      <c r="E3471" t="s">
        <v>629</v>
      </c>
      <c r="F3471" t="s">
        <v>672</v>
      </c>
      <c r="G3471" t="s">
        <v>673</v>
      </c>
      <c r="N3471">
        <v>6</v>
      </c>
      <c r="O3471">
        <v>6</v>
      </c>
      <c r="P3471">
        <v>12</v>
      </c>
      <c r="Q3471">
        <v>12</v>
      </c>
      <c r="R3471">
        <v>12</v>
      </c>
      <c r="S3471">
        <v>18</v>
      </c>
      <c r="T3471">
        <v>12</v>
      </c>
      <c r="U3471">
        <v>12</v>
      </c>
      <c r="V3471">
        <v>11</v>
      </c>
      <c r="W3471">
        <v>6</v>
      </c>
      <c r="X3471">
        <v>6</v>
      </c>
      <c r="Y3471">
        <v>12</v>
      </c>
      <c r="Z3471">
        <v>12</v>
      </c>
      <c r="AA3471">
        <v>12</v>
      </c>
      <c r="AB3471">
        <v>6</v>
      </c>
      <c r="CH3471" t="str">
        <f t="shared" si="54"/>
        <v>JV1-0695-3</v>
      </c>
    </row>
    <row r="3472" spans="1:86">
      <c r="A3472" t="s">
        <v>5267</v>
      </c>
      <c r="B3472">
        <v>3</v>
      </c>
      <c r="C3472" t="s">
        <v>948</v>
      </c>
      <c r="D3472" t="s">
        <v>365</v>
      </c>
      <c r="E3472" t="s">
        <v>642</v>
      </c>
      <c r="F3472" t="s">
        <v>706</v>
      </c>
      <c r="G3472" t="s">
        <v>1355</v>
      </c>
      <c r="O3472">
        <v>1</v>
      </c>
      <c r="Q3472">
        <v>1</v>
      </c>
      <c r="T3472">
        <v>1</v>
      </c>
      <c r="CH3472" t="str">
        <f t="shared" si="54"/>
        <v>D-0524</v>
      </c>
    </row>
    <row r="3473" spans="1:86">
      <c r="A3473" t="s">
        <v>5268</v>
      </c>
      <c r="B3473">
        <v>215</v>
      </c>
      <c r="C3473" t="s">
        <v>1165</v>
      </c>
      <c r="D3473" t="s">
        <v>457</v>
      </c>
      <c r="E3473" t="s">
        <v>629</v>
      </c>
      <c r="F3473" t="s">
        <v>672</v>
      </c>
      <c r="G3473" t="s">
        <v>673</v>
      </c>
      <c r="N3473">
        <v>12</v>
      </c>
      <c r="O3473">
        <v>12</v>
      </c>
      <c r="P3473">
        <v>12</v>
      </c>
      <c r="Q3473">
        <v>18</v>
      </c>
      <c r="R3473">
        <v>18</v>
      </c>
      <c r="S3473">
        <v>18</v>
      </c>
      <c r="T3473">
        <v>17</v>
      </c>
      <c r="U3473">
        <v>12</v>
      </c>
      <c r="W3473">
        <v>12</v>
      </c>
      <c r="X3473">
        <v>12</v>
      </c>
      <c r="Y3473">
        <v>12</v>
      </c>
      <c r="Z3473">
        <v>12</v>
      </c>
      <c r="AA3473">
        <v>12</v>
      </c>
      <c r="AB3473">
        <v>12</v>
      </c>
      <c r="AF3473">
        <v>12</v>
      </c>
      <c r="AH3473">
        <v>12</v>
      </c>
      <c r="CH3473" t="str">
        <f t="shared" si="54"/>
        <v>JV1-0695-3</v>
      </c>
    </row>
    <row r="3474" spans="1:86">
      <c r="A3474" t="s">
        <v>5269</v>
      </c>
      <c r="B3474">
        <v>245</v>
      </c>
      <c r="C3474" t="s">
        <v>1165</v>
      </c>
      <c r="D3474" t="s">
        <v>457</v>
      </c>
      <c r="E3474" t="s">
        <v>629</v>
      </c>
      <c r="F3474" t="s">
        <v>672</v>
      </c>
      <c r="G3474" t="s">
        <v>673</v>
      </c>
      <c r="N3474">
        <v>6</v>
      </c>
      <c r="O3474">
        <v>12</v>
      </c>
      <c r="P3474">
        <v>12</v>
      </c>
      <c r="Q3474">
        <v>12</v>
      </c>
      <c r="R3474">
        <v>18</v>
      </c>
      <c r="S3474">
        <v>18</v>
      </c>
      <c r="T3474">
        <v>18</v>
      </c>
      <c r="U3474">
        <v>12</v>
      </c>
      <c r="V3474">
        <v>23</v>
      </c>
      <c r="W3474">
        <v>18</v>
      </c>
      <c r="X3474">
        <v>18</v>
      </c>
      <c r="Y3474">
        <v>12</v>
      </c>
      <c r="Z3474">
        <v>18</v>
      </c>
      <c r="AA3474">
        <v>12</v>
      </c>
      <c r="AB3474">
        <v>12</v>
      </c>
      <c r="AC3474">
        <v>6</v>
      </c>
      <c r="AD3474">
        <v>12</v>
      </c>
      <c r="AF3474">
        <v>6</v>
      </c>
      <c r="CH3474" t="str">
        <f t="shared" si="54"/>
        <v>JV1-0695-3</v>
      </c>
    </row>
    <row r="3475" spans="1:86">
      <c r="A3475" t="s">
        <v>5270</v>
      </c>
      <c r="B3475">
        <v>737</v>
      </c>
      <c r="C3475" t="s">
        <v>1168</v>
      </c>
      <c r="D3475" t="s">
        <v>457</v>
      </c>
      <c r="E3475" t="s">
        <v>629</v>
      </c>
      <c r="F3475" t="s">
        <v>672</v>
      </c>
      <c r="G3475" t="s">
        <v>673</v>
      </c>
      <c r="O3475">
        <v>48</v>
      </c>
      <c r="P3475">
        <v>96</v>
      </c>
      <c r="Q3475">
        <v>132</v>
      </c>
      <c r="R3475">
        <v>132</v>
      </c>
      <c r="T3475">
        <v>89</v>
      </c>
      <c r="U3475">
        <v>60</v>
      </c>
      <c r="W3475">
        <v>60</v>
      </c>
      <c r="Y3475">
        <v>48</v>
      </c>
      <c r="Z3475">
        <v>36</v>
      </c>
      <c r="AB3475">
        <v>24</v>
      </c>
      <c r="AD3475">
        <v>12</v>
      </c>
      <c r="CH3475" t="str">
        <f t="shared" si="54"/>
        <v>JV1-0695-3</v>
      </c>
    </row>
    <row r="3476" spans="1:86">
      <c r="A3476" t="s">
        <v>5271</v>
      </c>
      <c r="B3476">
        <v>2255</v>
      </c>
      <c r="C3476" t="s">
        <v>1165</v>
      </c>
      <c r="D3476" t="s">
        <v>457</v>
      </c>
      <c r="E3476" t="s">
        <v>629</v>
      </c>
      <c r="F3476" t="s">
        <v>672</v>
      </c>
      <c r="G3476" t="s">
        <v>673</v>
      </c>
      <c r="O3476">
        <v>375</v>
      </c>
      <c r="P3476">
        <v>375</v>
      </c>
      <c r="Q3476">
        <v>375</v>
      </c>
      <c r="R3476">
        <v>375</v>
      </c>
      <c r="S3476">
        <v>375</v>
      </c>
      <c r="T3476">
        <v>380</v>
      </c>
      <c r="CH3476" t="str">
        <f t="shared" si="54"/>
        <v>JV1-0695-3</v>
      </c>
    </row>
    <row r="3477" spans="1:86">
      <c r="A3477" t="s">
        <v>5272</v>
      </c>
      <c r="B3477">
        <v>2255</v>
      </c>
      <c r="C3477" t="s">
        <v>1165</v>
      </c>
      <c r="D3477" t="s">
        <v>457</v>
      </c>
      <c r="E3477" t="s">
        <v>629</v>
      </c>
      <c r="F3477" t="s">
        <v>672</v>
      </c>
      <c r="G3477" t="s">
        <v>673</v>
      </c>
      <c r="T3477">
        <v>375</v>
      </c>
      <c r="U3477">
        <v>375</v>
      </c>
      <c r="V3477">
        <v>380</v>
      </c>
      <c r="W3477">
        <v>375</v>
      </c>
      <c r="X3477">
        <v>375</v>
      </c>
      <c r="Y3477">
        <v>375</v>
      </c>
      <c r="CH3477" t="str">
        <f t="shared" si="54"/>
        <v>JV1-0695-3</v>
      </c>
    </row>
    <row r="3478" spans="1:86">
      <c r="A3478" t="s">
        <v>5273</v>
      </c>
      <c r="B3478">
        <v>606</v>
      </c>
      <c r="C3478" t="s">
        <v>5274</v>
      </c>
      <c r="D3478" t="s">
        <v>457</v>
      </c>
      <c r="E3478" t="s">
        <v>629</v>
      </c>
      <c r="F3478" t="s">
        <v>672</v>
      </c>
      <c r="G3478" t="s">
        <v>673</v>
      </c>
      <c r="N3478">
        <v>12</v>
      </c>
      <c r="O3478">
        <v>42</v>
      </c>
      <c r="P3478">
        <v>60</v>
      </c>
      <c r="Q3478">
        <v>90</v>
      </c>
      <c r="R3478">
        <v>90</v>
      </c>
      <c r="S3478">
        <v>108</v>
      </c>
      <c r="T3478">
        <v>66</v>
      </c>
      <c r="U3478">
        <v>66</v>
      </c>
      <c r="V3478">
        <v>24</v>
      </c>
      <c r="W3478">
        <v>30</v>
      </c>
      <c r="Y3478">
        <v>12</v>
      </c>
      <c r="AA3478">
        <v>6</v>
      </c>
      <c r="CH3478" t="str">
        <f t="shared" si="54"/>
        <v>JV1-0695-3</v>
      </c>
    </row>
    <row r="3479" spans="1:86">
      <c r="A3479" t="s">
        <v>5275</v>
      </c>
      <c r="B3479">
        <v>1002</v>
      </c>
      <c r="C3479" t="s">
        <v>5274</v>
      </c>
      <c r="D3479" t="s">
        <v>457</v>
      </c>
      <c r="E3479" t="s">
        <v>629</v>
      </c>
      <c r="F3479" t="s">
        <v>672</v>
      </c>
      <c r="G3479" t="s">
        <v>673</v>
      </c>
      <c r="N3479">
        <v>12</v>
      </c>
      <c r="O3479">
        <v>36</v>
      </c>
      <c r="P3479">
        <v>48</v>
      </c>
      <c r="Q3479">
        <v>72</v>
      </c>
      <c r="R3479">
        <v>78</v>
      </c>
      <c r="S3479">
        <v>96</v>
      </c>
      <c r="T3479">
        <v>78</v>
      </c>
      <c r="U3479">
        <v>66</v>
      </c>
      <c r="V3479">
        <v>78</v>
      </c>
      <c r="W3479">
        <v>54</v>
      </c>
      <c r="X3479">
        <v>66</v>
      </c>
      <c r="Y3479">
        <v>66</v>
      </c>
      <c r="Z3479">
        <v>66</v>
      </c>
      <c r="AA3479">
        <v>54</v>
      </c>
      <c r="AB3479">
        <v>60</v>
      </c>
      <c r="AC3479">
        <v>18</v>
      </c>
      <c r="AD3479">
        <v>36</v>
      </c>
      <c r="AF3479">
        <v>18</v>
      </c>
      <c r="CH3479" t="str">
        <f t="shared" si="54"/>
        <v>JV1-0695-3</v>
      </c>
    </row>
    <row r="3480" spans="1:86">
      <c r="A3480" t="s">
        <v>5276</v>
      </c>
      <c r="B3480">
        <v>1548</v>
      </c>
      <c r="C3480" t="s">
        <v>5277</v>
      </c>
      <c r="D3480" t="s">
        <v>457</v>
      </c>
      <c r="E3480" t="s">
        <v>629</v>
      </c>
      <c r="F3480" t="s">
        <v>672</v>
      </c>
      <c r="G3480" t="s">
        <v>1000</v>
      </c>
      <c r="N3480">
        <v>54</v>
      </c>
      <c r="O3480">
        <v>72</v>
      </c>
      <c r="P3480">
        <v>96</v>
      </c>
      <c r="Q3480">
        <v>144</v>
      </c>
      <c r="R3480">
        <v>138</v>
      </c>
      <c r="S3480">
        <v>138</v>
      </c>
      <c r="T3480">
        <v>132</v>
      </c>
      <c r="U3480">
        <v>84</v>
      </c>
      <c r="V3480">
        <v>102</v>
      </c>
      <c r="W3480">
        <v>84</v>
      </c>
      <c r="X3480">
        <v>72</v>
      </c>
      <c r="Y3480">
        <v>120</v>
      </c>
      <c r="Z3480">
        <v>102</v>
      </c>
      <c r="AA3480">
        <v>48</v>
      </c>
      <c r="AB3480">
        <v>66</v>
      </c>
      <c r="AC3480">
        <v>36</v>
      </c>
      <c r="AD3480">
        <v>42</v>
      </c>
      <c r="AF3480">
        <v>12</v>
      </c>
      <c r="AH3480">
        <v>6</v>
      </c>
      <c r="CH3480" t="str">
        <f t="shared" si="54"/>
        <v>JV1-0695-3</v>
      </c>
    </row>
    <row r="3481" spans="1:86">
      <c r="A3481" t="s">
        <v>5278</v>
      </c>
      <c r="B3481">
        <v>1746</v>
      </c>
      <c r="C3481" t="s">
        <v>5279</v>
      </c>
      <c r="D3481" t="s">
        <v>457</v>
      </c>
      <c r="E3481" t="s">
        <v>629</v>
      </c>
      <c r="F3481" t="s">
        <v>672</v>
      </c>
      <c r="G3481" t="s">
        <v>1000</v>
      </c>
      <c r="N3481">
        <v>36</v>
      </c>
      <c r="O3481">
        <v>42</v>
      </c>
      <c r="P3481">
        <v>54</v>
      </c>
      <c r="Q3481">
        <v>72</v>
      </c>
      <c r="R3481">
        <v>60</v>
      </c>
      <c r="S3481">
        <v>72</v>
      </c>
      <c r="T3481">
        <v>72</v>
      </c>
      <c r="U3481">
        <v>60</v>
      </c>
      <c r="V3481">
        <v>126</v>
      </c>
      <c r="W3481">
        <v>180</v>
      </c>
      <c r="X3481">
        <v>126</v>
      </c>
      <c r="Y3481">
        <v>246</v>
      </c>
      <c r="Z3481">
        <v>216</v>
      </c>
      <c r="AA3481">
        <v>96</v>
      </c>
      <c r="AB3481">
        <v>132</v>
      </c>
      <c r="AC3481">
        <v>54</v>
      </c>
      <c r="AD3481">
        <v>66</v>
      </c>
      <c r="AF3481">
        <v>24</v>
      </c>
      <c r="AH3481">
        <v>12</v>
      </c>
      <c r="CH3481" t="str">
        <f t="shared" si="54"/>
        <v>JV1-0695-3</v>
      </c>
    </row>
    <row r="3482" spans="1:86">
      <c r="A3482" t="s">
        <v>5280</v>
      </c>
      <c r="B3482">
        <v>1122</v>
      </c>
      <c r="C3482" t="s">
        <v>5274</v>
      </c>
      <c r="D3482" t="s">
        <v>457</v>
      </c>
      <c r="E3482" t="s">
        <v>629</v>
      </c>
      <c r="F3482" t="s">
        <v>672</v>
      </c>
      <c r="G3482" t="s">
        <v>673</v>
      </c>
      <c r="O3482">
        <v>132</v>
      </c>
      <c r="Q3482">
        <v>324</v>
      </c>
      <c r="S3482">
        <v>264</v>
      </c>
      <c r="U3482">
        <v>240</v>
      </c>
      <c r="W3482">
        <v>162</v>
      </c>
      <c r="CH3482" t="str">
        <f t="shared" si="54"/>
        <v>JV1-0695-3</v>
      </c>
    </row>
    <row r="3483" spans="1:86">
      <c r="A3483" t="s">
        <v>5281</v>
      </c>
      <c r="B3483">
        <v>533</v>
      </c>
      <c r="C3483" t="s">
        <v>5277</v>
      </c>
      <c r="D3483" t="s">
        <v>457</v>
      </c>
      <c r="E3483" t="s">
        <v>629</v>
      </c>
      <c r="F3483" t="s">
        <v>672</v>
      </c>
      <c r="G3483" t="s">
        <v>1000</v>
      </c>
      <c r="O3483">
        <v>24</v>
      </c>
      <c r="P3483">
        <v>48</v>
      </c>
      <c r="Q3483">
        <v>60</v>
      </c>
      <c r="R3483">
        <v>60</v>
      </c>
      <c r="T3483">
        <v>48</v>
      </c>
      <c r="U3483">
        <v>48</v>
      </c>
      <c r="W3483">
        <v>60</v>
      </c>
      <c r="Y3483">
        <v>77</v>
      </c>
      <c r="Z3483">
        <v>60</v>
      </c>
      <c r="AB3483">
        <v>36</v>
      </c>
      <c r="AD3483">
        <v>12</v>
      </c>
      <c r="CH3483" t="str">
        <f t="shared" si="54"/>
        <v>JV1-0695-3</v>
      </c>
    </row>
    <row r="3484" spans="1:86">
      <c r="A3484" t="s">
        <v>5282</v>
      </c>
      <c r="B3484">
        <v>275</v>
      </c>
      <c r="C3484" t="s">
        <v>5274</v>
      </c>
      <c r="D3484" t="s">
        <v>457</v>
      </c>
      <c r="E3484" t="s">
        <v>629</v>
      </c>
      <c r="F3484" t="s">
        <v>672</v>
      </c>
      <c r="G3484" t="s">
        <v>673</v>
      </c>
      <c r="N3484">
        <v>12</v>
      </c>
      <c r="O3484">
        <v>18</v>
      </c>
      <c r="P3484">
        <v>30</v>
      </c>
      <c r="Q3484">
        <v>36</v>
      </c>
      <c r="R3484">
        <v>30</v>
      </c>
      <c r="S3484">
        <v>24</v>
      </c>
      <c r="T3484">
        <v>18</v>
      </c>
      <c r="U3484">
        <v>18</v>
      </c>
      <c r="V3484">
        <v>12</v>
      </c>
      <c r="W3484">
        <v>18</v>
      </c>
      <c r="X3484">
        <v>12</v>
      </c>
      <c r="Y3484">
        <v>17</v>
      </c>
      <c r="Z3484">
        <v>12</v>
      </c>
      <c r="AA3484">
        <v>6</v>
      </c>
      <c r="AB3484">
        <v>6</v>
      </c>
      <c r="AD3484">
        <v>6</v>
      </c>
      <c r="CH3484" t="str">
        <f t="shared" si="54"/>
        <v>JV1-0695-3</v>
      </c>
    </row>
    <row r="3485" spans="1:86">
      <c r="A3485" t="s">
        <v>5283</v>
      </c>
      <c r="B3485">
        <v>2646</v>
      </c>
      <c r="C3485" t="s">
        <v>5274</v>
      </c>
      <c r="D3485" t="s">
        <v>457</v>
      </c>
      <c r="E3485" t="s">
        <v>629</v>
      </c>
      <c r="F3485" t="s">
        <v>672</v>
      </c>
      <c r="G3485" t="s">
        <v>673</v>
      </c>
      <c r="O3485">
        <v>132</v>
      </c>
      <c r="P3485">
        <v>348</v>
      </c>
      <c r="Q3485">
        <v>516</v>
      </c>
      <c r="R3485">
        <v>504</v>
      </c>
      <c r="T3485">
        <v>312</v>
      </c>
      <c r="U3485">
        <v>192</v>
      </c>
      <c r="W3485">
        <v>168</v>
      </c>
      <c r="Y3485">
        <v>186</v>
      </c>
      <c r="Z3485">
        <v>156</v>
      </c>
      <c r="AB3485">
        <v>84</v>
      </c>
      <c r="AD3485">
        <v>48</v>
      </c>
      <c r="CH3485" t="str">
        <f t="shared" si="54"/>
        <v>JV1-0695-3</v>
      </c>
    </row>
    <row r="3486" spans="1:86">
      <c r="A3486" t="s">
        <v>5284</v>
      </c>
      <c r="B3486">
        <v>509</v>
      </c>
      <c r="C3486" t="s">
        <v>5279</v>
      </c>
      <c r="D3486" t="s">
        <v>457</v>
      </c>
      <c r="E3486" t="s">
        <v>629</v>
      </c>
      <c r="F3486" t="s">
        <v>672</v>
      </c>
      <c r="G3486" t="s">
        <v>1000</v>
      </c>
      <c r="O3486">
        <v>12</v>
      </c>
      <c r="P3486">
        <v>18</v>
      </c>
      <c r="Q3486">
        <v>24</v>
      </c>
      <c r="R3486">
        <v>24</v>
      </c>
      <c r="S3486">
        <v>36</v>
      </c>
      <c r="T3486">
        <v>30</v>
      </c>
      <c r="U3486">
        <v>18</v>
      </c>
      <c r="V3486">
        <v>36</v>
      </c>
      <c r="W3486">
        <v>30</v>
      </c>
      <c r="X3486">
        <v>42</v>
      </c>
      <c r="Y3486">
        <v>41</v>
      </c>
      <c r="Z3486">
        <v>48</v>
      </c>
      <c r="AA3486">
        <v>24</v>
      </c>
      <c r="AB3486">
        <v>42</v>
      </c>
      <c r="AC3486">
        <v>18</v>
      </c>
      <c r="AD3486">
        <v>36</v>
      </c>
      <c r="AF3486">
        <v>18</v>
      </c>
      <c r="AH3486">
        <v>12</v>
      </c>
      <c r="CH3486" t="str">
        <f t="shared" si="54"/>
        <v>JV1-0695-3</v>
      </c>
    </row>
    <row r="3487" spans="1:86">
      <c r="A3487" t="s">
        <v>5285</v>
      </c>
      <c r="B3487">
        <v>593</v>
      </c>
      <c r="C3487" t="s">
        <v>5279</v>
      </c>
      <c r="D3487" t="s">
        <v>457</v>
      </c>
      <c r="E3487" t="s">
        <v>629</v>
      </c>
      <c r="F3487" t="s">
        <v>672</v>
      </c>
      <c r="G3487" t="s">
        <v>1000</v>
      </c>
      <c r="O3487">
        <v>24</v>
      </c>
      <c r="P3487">
        <v>36</v>
      </c>
      <c r="Q3487">
        <v>48</v>
      </c>
      <c r="R3487">
        <v>48</v>
      </c>
      <c r="T3487">
        <v>48</v>
      </c>
      <c r="U3487">
        <v>60</v>
      </c>
      <c r="W3487">
        <v>84</v>
      </c>
      <c r="Y3487">
        <v>101</v>
      </c>
      <c r="Z3487">
        <v>72</v>
      </c>
      <c r="AB3487">
        <v>48</v>
      </c>
      <c r="AD3487">
        <v>24</v>
      </c>
      <c r="CH3487" t="str">
        <f t="shared" si="54"/>
        <v>JV1-0695-3</v>
      </c>
    </row>
    <row r="3488" spans="1:86">
      <c r="A3488" t="s">
        <v>5286</v>
      </c>
      <c r="B3488">
        <v>810</v>
      </c>
      <c r="C3488" t="s">
        <v>5279</v>
      </c>
      <c r="D3488" t="s">
        <v>457</v>
      </c>
      <c r="E3488" t="s">
        <v>629</v>
      </c>
      <c r="F3488" t="s">
        <v>672</v>
      </c>
      <c r="G3488" t="s">
        <v>1000</v>
      </c>
      <c r="N3488">
        <v>30</v>
      </c>
      <c r="O3488">
        <v>24</v>
      </c>
      <c r="P3488">
        <v>36</v>
      </c>
      <c r="Q3488">
        <v>42</v>
      </c>
      <c r="R3488">
        <v>66</v>
      </c>
      <c r="S3488">
        <v>42</v>
      </c>
      <c r="T3488">
        <v>78</v>
      </c>
      <c r="U3488">
        <v>36</v>
      </c>
      <c r="V3488">
        <v>66</v>
      </c>
      <c r="W3488">
        <v>30</v>
      </c>
      <c r="X3488">
        <v>66</v>
      </c>
      <c r="Y3488">
        <v>36</v>
      </c>
      <c r="Z3488">
        <v>72</v>
      </c>
      <c r="AA3488">
        <v>24</v>
      </c>
      <c r="AB3488">
        <v>60</v>
      </c>
      <c r="AC3488">
        <v>18</v>
      </c>
      <c r="AD3488">
        <v>42</v>
      </c>
      <c r="AF3488">
        <v>24</v>
      </c>
      <c r="AH3488">
        <v>18</v>
      </c>
      <c r="CH3488" t="str">
        <f t="shared" si="54"/>
        <v>JV1-0695-3</v>
      </c>
    </row>
    <row r="3489" spans="1:86">
      <c r="A3489" t="s">
        <v>5287</v>
      </c>
      <c r="B3489">
        <v>149</v>
      </c>
      <c r="C3489" t="s">
        <v>5279</v>
      </c>
      <c r="D3489" t="s">
        <v>457</v>
      </c>
      <c r="E3489" t="s">
        <v>629</v>
      </c>
      <c r="F3489" t="s">
        <v>672</v>
      </c>
      <c r="G3489" t="s">
        <v>1000</v>
      </c>
      <c r="O3489">
        <v>6</v>
      </c>
      <c r="P3489">
        <v>6</v>
      </c>
      <c r="Q3489">
        <v>12</v>
      </c>
      <c r="R3489">
        <v>12</v>
      </c>
      <c r="S3489">
        <v>12</v>
      </c>
      <c r="T3489">
        <v>12</v>
      </c>
      <c r="U3489">
        <v>12</v>
      </c>
      <c r="V3489">
        <v>12</v>
      </c>
      <c r="W3489">
        <v>6</v>
      </c>
      <c r="X3489">
        <v>6</v>
      </c>
      <c r="Y3489">
        <v>11</v>
      </c>
      <c r="Z3489">
        <v>12</v>
      </c>
      <c r="AA3489">
        <v>6</v>
      </c>
      <c r="AB3489">
        <v>12</v>
      </c>
      <c r="AD3489">
        <v>6</v>
      </c>
      <c r="AF3489">
        <v>6</v>
      </c>
      <c r="CH3489" t="str">
        <f t="shared" si="54"/>
        <v>JV1-0695-3</v>
      </c>
    </row>
    <row r="3490" spans="1:86">
      <c r="A3490" t="s">
        <v>5288</v>
      </c>
      <c r="B3490">
        <v>1878</v>
      </c>
      <c r="C3490" t="s">
        <v>5279</v>
      </c>
      <c r="D3490" t="s">
        <v>457</v>
      </c>
      <c r="E3490" t="s">
        <v>629</v>
      </c>
      <c r="F3490" t="s">
        <v>672</v>
      </c>
      <c r="G3490" t="s">
        <v>1000</v>
      </c>
      <c r="N3490">
        <v>6</v>
      </c>
      <c r="O3490">
        <v>6</v>
      </c>
      <c r="P3490">
        <v>6</v>
      </c>
      <c r="Q3490">
        <v>6</v>
      </c>
      <c r="R3490">
        <v>6</v>
      </c>
      <c r="S3490">
        <v>6</v>
      </c>
      <c r="T3490">
        <v>6</v>
      </c>
      <c r="U3490">
        <v>6</v>
      </c>
      <c r="V3490">
        <v>204</v>
      </c>
      <c r="W3490">
        <v>6</v>
      </c>
      <c r="X3490">
        <v>390</v>
      </c>
      <c r="Y3490">
        <v>12</v>
      </c>
      <c r="Z3490">
        <v>432</v>
      </c>
      <c r="AB3490">
        <v>396</v>
      </c>
      <c r="AD3490">
        <v>258</v>
      </c>
      <c r="AF3490">
        <v>132</v>
      </c>
      <c r="CH3490" t="str">
        <f t="shared" si="54"/>
        <v>JV1-0695-3</v>
      </c>
    </row>
    <row r="3491" spans="1:86">
      <c r="A3491" t="s">
        <v>5289</v>
      </c>
      <c r="B3491">
        <v>1923</v>
      </c>
      <c r="C3491" t="s">
        <v>5279</v>
      </c>
      <c r="D3491" t="s">
        <v>457</v>
      </c>
      <c r="E3491" t="s">
        <v>629</v>
      </c>
      <c r="F3491" t="s">
        <v>672</v>
      </c>
      <c r="G3491" t="s">
        <v>1000</v>
      </c>
      <c r="V3491">
        <v>213</v>
      </c>
      <c r="W3491">
        <v>213</v>
      </c>
      <c r="X3491">
        <v>213</v>
      </c>
      <c r="Y3491">
        <v>219</v>
      </c>
      <c r="Z3491">
        <v>213</v>
      </c>
      <c r="AA3491">
        <v>213</v>
      </c>
      <c r="AB3491">
        <v>213</v>
      </c>
      <c r="AC3491">
        <v>213</v>
      </c>
      <c r="AD3491">
        <v>213</v>
      </c>
      <c r="CH3491" t="str">
        <f t="shared" si="54"/>
        <v>JV1-0695-3</v>
      </c>
    </row>
    <row r="3492" spans="1:86">
      <c r="A3492" t="s">
        <v>5290</v>
      </c>
      <c r="B3492">
        <v>1092</v>
      </c>
      <c r="C3492" t="s">
        <v>5279</v>
      </c>
      <c r="D3492" t="s">
        <v>457</v>
      </c>
      <c r="E3492" t="s">
        <v>629</v>
      </c>
      <c r="F3492" t="s">
        <v>672</v>
      </c>
      <c r="G3492" t="s">
        <v>1000</v>
      </c>
      <c r="U3492">
        <v>24</v>
      </c>
      <c r="V3492">
        <v>24</v>
      </c>
      <c r="W3492">
        <v>66</v>
      </c>
      <c r="X3492">
        <v>138</v>
      </c>
      <c r="Y3492">
        <v>156</v>
      </c>
      <c r="Z3492">
        <v>186</v>
      </c>
      <c r="AA3492">
        <v>156</v>
      </c>
      <c r="AB3492">
        <v>102</v>
      </c>
      <c r="AC3492">
        <v>30</v>
      </c>
      <c r="AD3492">
        <v>24</v>
      </c>
      <c r="AF3492">
        <v>174</v>
      </c>
      <c r="AH3492">
        <v>12</v>
      </c>
      <c r="CH3492" t="str">
        <f t="shared" si="54"/>
        <v>JV1-0695-3</v>
      </c>
    </row>
    <row r="3493" spans="1:86">
      <c r="A3493" t="s">
        <v>5291</v>
      </c>
      <c r="B3493">
        <v>1482</v>
      </c>
      <c r="C3493" t="s">
        <v>5274</v>
      </c>
      <c r="D3493" t="s">
        <v>457</v>
      </c>
      <c r="E3493" t="s">
        <v>629</v>
      </c>
      <c r="F3493" t="s">
        <v>672</v>
      </c>
      <c r="G3493" t="s">
        <v>673</v>
      </c>
      <c r="N3493">
        <v>18</v>
      </c>
      <c r="O3493">
        <v>30</v>
      </c>
      <c r="P3493">
        <v>48</v>
      </c>
      <c r="Q3493">
        <v>48</v>
      </c>
      <c r="R3493">
        <v>66</v>
      </c>
      <c r="S3493">
        <v>66</v>
      </c>
      <c r="T3493">
        <v>66</v>
      </c>
      <c r="U3493">
        <v>84</v>
      </c>
      <c r="V3493">
        <v>96</v>
      </c>
      <c r="W3493">
        <v>96</v>
      </c>
      <c r="X3493">
        <v>120</v>
      </c>
      <c r="Y3493">
        <v>132</v>
      </c>
      <c r="Z3493">
        <v>150</v>
      </c>
      <c r="AA3493">
        <v>126</v>
      </c>
      <c r="AB3493">
        <v>132</v>
      </c>
      <c r="AC3493">
        <v>60</v>
      </c>
      <c r="AD3493">
        <v>72</v>
      </c>
      <c r="AF3493">
        <v>54</v>
      </c>
      <c r="AH3493">
        <v>18</v>
      </c>
      <c r="CH3493" t="str">
        <f t="shared" si="54"/>
        <v>JV1-0695-3</v>
      </c>
    </row>
    <row r="3494" spans="1:86">
      <c r="A3494" t="s">
        <v>5292</v>
      </c>
      <c r="B3494">
        <v>13</v>
      </c>
      <c r="C3494" t="s">
        <v>715</v>
      </c>
      <c r="D3494" t="s">
        <v>308</v>
      </c>
      <c r="E3494" t="s">
        <v>629</v>
      </c>
      <c r="F3494" t="s">
        <v>633</v>
      </c>
      <c r="G3494" t="s">
        <v>2286</v>
      </c>
      <c r="AA3494">
        <v>13</v>
      </c>
      <c r="CH3494" t="str">
        <f t="shared" si="54"/>
        <v>D-0454</v>
      </c>
    </row>
    <row r="3495" spans="1:86">
      <c r="A3495" t="s">
        <v>5293</v>
      </c>
      <c r="B3495">
        <v>25</v>
      </c>
      <c r="C3495" t="s">
        <v>987</v>
      </c>
      <c r="D3495" t="s">
        <v>308</v>
      </c>
      <c r="E3495" t="s">
        <v>629</v>
      </c>
      <c r="F3495" t="s">
        <v>633</v>
      </c>
      <c r="G3495" t="s">
        <v>2593</v>
      </c>
      <c r="X3495">
        <v>13</v>
      </c>
      <c r="AA3495">
        <v>2</v>
      </c>
      <c r="AB3495">
        <v>10</v>
      </c>
      <c r="CH3495" t="str">
        <f t="shared" si="54"/>
        <v>D-0454</v>
      </c>
    </row>
    <row r="3496" spans="1:86">
      <c r="A3496" t="s">
        <v>5294</v>
      </c>
      <c r="B3496">
        <v>2700</v>
      </c>
      <c r="C3496" t="s">
        <v>771</v>
      </c>
      <c r="D3496" t="s">
        <v>251</v>
      </c>
      <c r="E3496" t="s">
        <v>629</v>
      </c>
      <c r="F3496" t="s">
        <v>657</v>
      </c>
      <c r="G3496" t="s">
        <v>3420</v>
      </c>
      <c r="V3496">
        <v>108</v>
      </c>
      <c r="X3496">
        <v>396</v>
      </c>
      <c r="Y3496">
        <v>108</v>
      </c>
      <c r="Z3496">
        <v>558</v>
      </c>
      <c r="AA3496">
        <v>344</v>
      </c>
      <c r="AB3496">
        <v>586</v>
      </c>
      <c r="AC3496">
        <v>144</v>
      </c>
      <c r="AD3496">
        <v>312</v>
      </c>
      <c r="AF3496">
        <v>144</v>
      </c>
      <c r="CH3496" t="str">
        <f t="shared" si="54"/>
        <v>D-0272</v>
      </c>
    </row>
    <row r="3497" spans="1:86">
      <c r="A3497" t="s">
        <v>5295</v>
      </c>
      <c r="B3497">
        <v>2700</v>
      </c>
      <c r="C3497" t="s">
        <v>771</v>
      </c>
      <c r="D3497" t="s">
        <v>251</v>
      </c>
      <c r="E3497" t="s">
        <v>629</v>
      </c>
      <c r="F3497" t="s">
        <v>657</v>
      </c>
      <c r="G3497" t="s">
        <v>3420</v>
      </c>
      <c r="R3497">
        <v>36</v>
      </c>
      <c r="S3497">
        <v>36</v>
      </c>
      <c r="T3497">
        <v>36</v>
      </c>
      <c r="U3497">
        <v>5</v>
      </c>
      <c r="V3497">
        <v>342</v>
      </c>
      <c r="X3497">
        <v>237</v>
      </c>
      <c r="Y3497">
        <v>396</v>
      </c>
      <c r="Z3497">
        <v>301</v>
      </c>
      <c r="AA3497">
        <v>273</v>
      </c>
      <c r="AB3497">
        <v>389</v>
      </c>
      <c r="AC3497">
        <v>132</v>
      </c>
      <c r="AD3497">
        <v>356</v>
      </c>
      <c r="AF3497">
        <v>161</v>
      </c>
      <c r="CH3497" t="str">
        <f t="shared" si="54"/>
        <v>D-0272</v>
      </c>
    </row>
    <row r="3498" spans="1:86">
      <c r="A3498" t="s">
        <v>5296</v>
      </c>
      <c r="B3498">
        <v>2836</v>
      </c>
      <c r="C3498" t="s">
        <v>771</v>
      </c>
      <c r="D3498" t="s">
        <v>251</v>
      </c>
      <c r="E3498" t="s">
        <v>629</v>
      </c>
      <c r="F3498" t="s">
        <v>657</v>
      </c>
      <c r="G3498" t="s">
        <v>3420</v>
      </c>
      <c r="M3498">
        <v>1</v>
      </c>
      <c r="N3498">
        <v>10</v>
      </c>
      <c r="O3498">
        <v>20</v>
      </c>
      <c r="P3498">
        <v>35</v>
      </c>
      <c r="Q3498">
        <v>51</v>
      </c>
      <c r="R3498">
        <v>50</v>
      </c>
      <c r="S3498">
        <v>76</v>
      </c>
      <c r="T3498">
        <v>48</v>
      </c>
      <c r="U3498">
        <v>79</v>
      </c>
      <c r="V3498">
        <v>121</v>
      </c>
      <c r="W3498">
        <v>310</v>
      </c>
      <c r="X3498">
        <v>354</v>
      </c>
      <c r="Y3498">
        <v>181</v>
      </c>
      <c r="Z3498">
        <v>307</v>
      </c>
      <c r="AA3498">
        <v>255</v>
      </c>
      <c r="AB3498">
        <v>344</v>
      </c>
      <c r="AC3498">
        <v>64</v>
      </c>
      <c r="AD3498">
        <v>241</v>
      </c>
      <c r="AE3498">
        <v>86</v>
      </c>
      <c r="AF3498">
        <v>112</v>
      </c>
      <c r="AH3498">
        <v>54</v>
      </c>
      <c r="AJ3498">
        <v>37</v>
      </c>
      <c r="CH3498" t="str">
        <f t="shared" si="54"/>
        <v>D-0272</v>
      </c>
    </row>
    <row r="3499" spans="1:86">
      <c r="A3499" t="s">
        <v>5297</v>
      </c>
      <c r="B3499">
        <v>2400</v>
      </c>
      <c r="C3499" t="s">
        <v>4597</v>
      </c>
      <c r="D3499" t="s">
        <v>138</v>
      </c>
      <c r="E3499" t="s">
        <v>642</v>
      </c>
      <c r="F3499" t="s">
        <v>693</v>
      </c>
      <c r="G3499" t="s">
        <v>3448</v>
      </c>
      <c r="P3499">
        <v>31</v>
      </c>
      <c r="Q3499">
        <v>180</v>
      </c>
      <c r="R3499">
        <v>50</v>
      </c>
      <c r="S3499">
        <v>753</v>
      </c>
      <c r="U3499">
        <v>804</v>
      </c>
      <c r="V3499">
        <v>30</v>
      </c>
      <c r="W3499">
        <v>382</v>
      </c>
      <c r="X3499">
        <v>8</v>
      </c>
      <c r="Y3499">
        <v>108</v>
      </c>
      <c r="AA3499">
        <v>54</v>
      </c>
      <c r="CH3499" t="str">
        <f t="shared" si="54"/>
        <v>D-0045</v>
      </c>
    </row>
    <row r="3500" spans="1:86">
      <c r="A3500" t="s">
        <v>5298</v>
      </c>
      <c r="B3500">
        <v>2400</v>
      </c>
      <c r="C3500" t="s">
        <v>4597</v>
      </c>
      <c r="D3500" t="s">
        <v>138</v>
      </c>
      <c r="E3500" t="s">
        <v>642</v>
      </c>
      <c r="F3500" t="s">
        <v>693</v>
      </c>
      <c r="G3500" t="s">
        <v>3448</v>
      </c>
      <c r="Q3500">
        <v>108</v>
      </c>
      <c r="S3500">
        <v>828</v>
      </c>
      <c r="U3500">
        <v>848</v>
      </c>
      <c r="W3500">
        <v>508</v>
      </c>
      <c r="Y3500">
        <v>108</v>
      </c>
      <c r="CH3500" t="str">
        <f t="shared" si="54"/>
        <v>D-0045</v>
      </c>
    </row>
    <row r="3501" spans="1:86">
      <c r="A3501" t="s">
        <v>5299</v>
      </c>
      <c r="B3501">
        <v>1522</v>
      </c>
      <c r="C3501" t="s">
        <v>4597</v>
      </c>
      <c r="D3501" t="s">
        <v>138</v>
      </c>
      <c r="E3501" t="s">
        <v>642</v>
      </c>
      <c r="F3501" t="s">
        <v>693</v>
      </c>
      <c r="G3501" t="s">
        <v>3448</v>
      </c>
      <c r="P3501">
        <v>30</v>
      </c>
      <c r="Q3501">
        <v>170</v>
      </c>
      <c r="R3501">
        <v>102</v>
      </c>
      <c r="S3501">
        <v>112</v>
      </c>
      <c r="T3501">
        <v>186</v>
      </c>
      <c r="U3501">
        <v>132</v>
      </c>
      <c r="V3501">
        <v>150</v>
      </c>
      <c r="W3501">
        <v>358</v>
      </c>
      <c r="X3501">
        <v>78</v>
      </c>
      <c r="Y3501">
        <v>180</v>
      </c>
      <c r="Z3501">
        <v>18</v>
      </c>
      <c r="AA3501">
        <v>6</v>
      </c>
      <c r="CH3501" t="str">
        <f t="shared" si="54"/>
        <v>D-0045</v>
      </c>
    </row>
    <row r="3502" spans="1:86">
      <c r="A3502" t="s">
        <v>5300</v>
      </c>
      <c r="B3502">
        <v>96</v>
      </c>
      <c r="C3502" t="s">
        <v>2408</v>
      </c>
      <c r="D3502" t="s">
        <v>237</v>
      </c>
      <c r="E3502" t="s">
        <v>629</v>
      </c>
      <c r="F3502" t="s">
        <v>665</v>
      </c>
      <c r="G3502" t="s">
        <v>3502</v>
      </c>
      <c r="T3502">
        <v>6</v>
      </c>
      <c r="U3502">
        <v>6</v>
      </c>
      <c r="V3502">
        <v>12</v>
      </c>
      <c r="W3502">
        <v>18</v>
      </c>
      <c r="X3502">
        <v>12</v>
      </c>
      <c r="Y3502">
        <v>18</v>
      </c>
      <c r="Z3502">
        <v>6</v>
      </c>
      <c r="AA3502">
        <v>6</v>
      </c>
      <c r="AB3502">
        <v>6</v>
      </c>
      <c r="AD3502">
        <v>6</v>
      </c>
      <c r="CH3502" t="str">
        <f t="shared" si="54"/>
        <v>D-0267</v>
      </c>
    </row>
    <row r="3503" spans="1:86">
      <c r="A3503" t="s">
        <v>5301</v>
      </c>
      <c r="B3503">
        <v>132</v>
      </c>
      <c r="C3503" t="s">
        <v>2408</v>
      </c>
      <c r="D3503" t="s">
        <v>237</v>
      </c>
      <c r="E3503" t="s">
        <v>629</v>
      </c>
      <c r="F3503" t="s">
        <v>665</v>
      </c>
      <c r="G3503" t="s">
        <v>3502</v>
      </c>
      <c r="T3503">
        <v>6</v>
      </c>
      <c r="U3503">
        <v>6</v>
      </c>
      <c r="V3503">
        <v>18</v>
      </c>
      <c r="W3503">
        <v>24</v>
      </c>
      <c r="X3503">
        <v>18</v>
      </c>
      <c r="Y3503">
        <v>18</v>
      </c>
      <c r="Z3503">
        <v>18</v>
      </c>
      <c r="AA3503">
        <v>6</v>
      </c>
      <c r="AB3503">
        <v>12</v>
      </c>
      <c r="AD3503">
        <v>6</v>
      </c>
      <c r="CH3503" t="str">
        <f t="shared" si="54"/>
        <v>D-0267</v>
      </c>
    </row>
    <row r="3504" spans="1:86">
      <c r="A3504" t="s">
        <v>5302</v>
      </c>
      <c r="B3504">
        <v>513</v>
      </c>
      <c r="C3504" t="s">
        <v>2408</v>
      </c>
      <c r="D3504" t="s">
        <v>237</v>
      </c>
      <c r="E3504" t="s">
        <v>629</v>
      </c>
      <c r="F3504" t="s">
        <v>665</v>
      </c>
      <c r="G3504" t="s">
        <v>3502</v>
      </c>
      <c r="T3504">
        <v>24</v>
      </c>
      <c r="U3504">
        <v>18</v>
      </c>
      <c r="V3504">
        <v>48</v>
      </c>
      <c r="W3504">
        <v>48</v>
      </c>
      <c r="X3504">
        <v>81</v>
      </c>
      <c r="Y3504">
        <v>72</v>
      </c>
      <c r="Z3504">
        <v>78</v>
      </c>
      <c r="AA3504">
        <v>48</v>
      </c>
      <c r="AB3504">
        <v>42</v>
      </c>
      <c r="AC3504">
        <v>6</v>
      </c>
      <c r="AD3504">
        <v>36</v>
      </c>
      <c r="AE3504">
        <v>6</v>
      </c>
      <c r="AF3504">
        <v>6</v>
      </c>
      <c r="CH3504" t="str">
        <f t="shared" si="54"/>
        <v>D-0267</v>
      </c>
    </row>
    <row r="3505" spans="1:86">
      <c r="A3505" t="s">
        <v>5303</v>
      </c>
      <c r="B3505">
        <v>252</v>
      </c>
      <c r="C3505" t="s">
        <v>2408</v>
      </c>
      <c r="D3505" t="s">
        <v>237</v>
      </c>
      <c r="E3505" t="s">
        <v>629</v>
      </c>
      <c r="F3505" t="s">
        <v>665</v>
      </c>
      <c r="G3505" t="s">
        <v>3502</v>
      </c>
      <c r="T3505">
        <v>6</v>
      </c>
      <c r="U3505">
        <v>12</v>
      </c>
      <c r="V3505">
        <v>24</v>
      </c>
      <c r="W3505">
        <v>30</v>
      </c>
      <c r="X3505">
        <v>42</v>
      </c>
      <c r="Y3505">
        <v>36</v>
      </c>
      <c r="Z3505">
        <v>36</v>
      </c>
      <c r="AA3505">
        <v>18</v>
      </c>
      <c r="AB3505">
        <v>24</v>
      </c>
      <c r="AC3505">
        <v>6</v>
      </c>
      <c r="AD3505">
        <v>12</v>
      </c>
      <c r="AF3505">
        <v>6</v>
      </c>
      <c r="CH3505" t="str">
        <f t="shared" si="54"/>
        <v>D-0267</v>
      </c>
    </row>
    <row r="3506" spans="1:86">
      <c r="A3506" t="s">
        <v>5304</v>
      </c>
      <c r="B3506">
        <v>591</v>
      </c>
      <c r="C3506" t="s">
        <v>2408</v>
      </c>
      <c r="D3506" t="s">
        <v>237</v>
      </c>
      <c r="E3506" t="s">
        <v>629</v>
      </c>
      <c r="F3506" t="s">
        <v>665</v>
      </c>
      <c r="G3506" t="s">
        <v>3502</v>
      </c>
      <c r="T3506">
        <v>18</v>
      </c>
      <c r="U3506">
        <v>18</v>
      </c>
      <c r="V3506">
        <v>42</v>
      </c>
      <c r="W3506">
        <v>42</v>
      </c>
      <c r="X3506">
        <v>81</v>
      </c>
      <c r="Y3506">
        <v>72</v>
      </c>
      <c r="Z3506">
        <v>90</v>
      </c>
      <c r="AA3506">
        <v>66</v>
      </c>
      <c r="AB3506">
        <v>72</v>
      </c>
      <c r="AC3506">
        <v>24</v>
      </c>
      <c r="AD3506">
        <v>30</v>
      </c>
      <c r="AE3506">
        <v>12</v>
      </c>
      <c r="AF3506">
        <v>18</v>
      </c>
      <c r="AJ3506">
        <v>6</v>
      </c>
      <c r="CH3506" t="str">
        <f t="shared" si="54"/>
        <v>D-0267</v>
      </c>
    </row>
    <row r="3507" spans="1:86">
      <c r="A3507" t="s">
        <v>5305</v>
      </c>
      <c r="B3507">
        <v>1002</v>
      </c>
      <c r="C3507" t="s">
        <v>2408</v>
      </c>
      <c r="D3507" t="s">
        <v>237</v>
      </c>
      <c r="E3507" t="s">
        <v>629</v>
      </c>
      <c r="F3507" t="s">
        <v>665</v>
      </c>
      <c r="G3507" t="s">
        <v>3502</v>
      </c>
      <c r="R3507">
        <v>32</v>
      </c>
      <c r="T3507">
        <v>67</v>
      </c>
      <c r="U3507">
        <v>110</v>
      </c>
      <c r="W3507">
        <v>182</v>
      </c>
      <c r="Y3507">
        <v>207</v>
      </c>
      <c r="Z3507">
        <v>208</v>
      </c>
      <c r="AB3507">
        <v>131</v>
      </c>
      <c r="AD3507">
        <v>65</v>
      </c>
      <c r="CH3507" t="str">
        <f t="shared" si="54"/>
        <v>D-0267</v>
      </c>
    </row>
    <row r="3508" spans="1:86">
      <c r="A3508" t="s">
        <v>5306</v>
      </c>
      <c r="B3508">
        <v>2003</v>
      </c>
      <c r="C3508" t="s">
        <v>2408</v>
      </c>
      <c r="D3508" t="s">
        <v>237</v>
      </c>
      <c r="E3508" t="s">
        <v>629</v>
      </c>
      <c r="F3508" t="s">
        <v>665</v>
      </c>
      <c r="G3508" t="s">
        <v>3502</v>
      </c>
      <c r="T3508">
        <v>40</v>
      </c>
      <c r="U3508">
        <v>60</v>
      </c>
      <c r="V3508">
        <v>180</v>
      </c>
      <c r="W3508">
        <v>160</v>
      </c>
      <c r="X3508">
        <v>223</v>
      </c>
      <c r="Y3508">
        <v>200</v>
      </c>
      <c r="Z3508">
        <v>280</v>
      </c>
      <c r="AA3508">
        <v>240</v>
      </c>
      <c r="AB3508">
        <v>220</v>
      </c>
      <c r="AC3508">
        <v>100</v>
      </c>
      <c r="AD3508">
        <v>180</v>
      </c>
      <c r="AF3508">
        <v>120</v>
      </c>
      <c r="CH3508" t="str">
        <f t="shared" si="54"/>
        <v>D-0267</v>
      </c>
    </row>
    <row r="3509" spans="1:86">
      <c r="A3509" t="s">
        <v>5307</v>
      </c>
      <c r="B3509">
        <v>1265</v>
      </c>
      <c r="C3509" t="s">
        <v>2408</v>
      </c>
      <c r="D3509" t="s">
        <v>237</v>
      </c>
      <c r="E3509" t="s">
        <v>629</v>
      </c>
      <c r="F3509" t="s">
        <v>665</v>
      </c>
      <c r="G3509" t="s">
        <v>3502</v>
      </c>
      <c r="V3509">
        <v>315</v>
      </c>
      <c r="X3509">
        <v>615</v>
      </c>
      <c r="AF3509">
        <v>335</v>
      </c>
      <c r="CH3509" t="str">
        <f t="shared" si="54"/>
        <v>D-0267</v>
      </c>
    </row>
    <row r="3510" spans="1:86">
      <c r="A3510" t="s">
        <v>5308</v>
      </c>
      <c r="B3510">
        <v>5235</v>
      </c>
      <c r="C3510" t="s">
        <v>2408</v>
      </c>
      <c r="D3510" t="s">
        <v>237</v>
      </c>
      <c r="E3510" t="s">
        <v>629</v>
      </c>
      <c r="F3510" t="s">
        <v>665</v>
      </c>
      <c r="G3510" t="s">
        <v>3502</v>
      </c>
      <c r="T3510">
        <v>168</v>
      </c>
      <c r="U3510">
        <v>206</v>
      </c>
      <c r="V3510">
        <v>478</v>
      </c>
      <c r="W3510">
        <v>502</v>
      </c>
      <c r="X3510">
        <v>651</v>
      </c>
      <c r="Y3510">
        <v>759</v>
      </c>
      <c r="Z3510">
        <v>828</v>
      </c>
      <c r="AA3510">
        <v>260</v>
      </c>
      <c r="AB3510">
        <v>583</v>
      </c>
      <c r="AC3510">
        <v>252</v>
      </c>
      <c r="AD3510">
        <v>286</v>
      </c>
      <c r="AE3510">
        <v>128</v>
      </c>
      <c r="AF3510">
        <v>134</v>
      </c>
      <c r="CH3510" t="str">
        <f t="shared" si="54"/>
        <v>D-0267</v>
      </c>
    </row>
    <row r="3511" spans="1:86">
      <c r="A3511" t="s">
        <v>5309</v>
      </c>
      <c r="B3511">
        <v>1305</v>
      </c>
      <c r="C3511" t="s">
        <v>2410</v>
      </c>
      <c r="D3511" t="s">
        <v>237</v>
      </c>
      <c r="E3511" t="s">
        <v>629</v>
      </c>
      <c r="F3511" t="s">
        <v>665</v>
      </c>
      <c r="G3511" t="s">
        <v>3508</v>
      </c>
      <c r="T3511">
        <v>72</v>
      </c>
      <c r="V3511">
        <v>186</v>
      </c>
      <c r="X3511">
        <v>369</v>
      </c>
      <c r="Z3511">
        <v>348</v>
      </c>
      <c r="AB3511">
        <v>228</v>
      </c>
      <c r="AD3511">
        <v>84</v>
      </c>
      <c r="AF3511">
        <v>18</v>
      </c>
      <c r="CH3511" t="str">
        <f t="shared" si="54"/>
        <v>D-0267</v>
      </c>
    </row>
    <row r="3512" spans="1:86">
      <c r="A3512" t="s">
        <v>5310</v>
      </c>
      <c r="B3512">
        <v>3603</v>
      </c>
      <c r="C3512" t="s">
        <v>2410</v>
      </c>
      <c r="D3512" t="s">
        <v>237</v>
      </c>
      <c r="E3512" t="s">
        <v>629</v>
      </c>
      <c r="F3512" t="s">
        <v>665</v>
      </c>
      <c r="G3512" t="s">
        <v>3508</v>
      </c>
      <c r="T3512">
        <v>72</v>
      </c>
      <c r="U3512">
        <v>108</v>
      </c>
      <c r="V3512">
        <v>324</v>
      </c>
      <c r="W3512">
        <v>288</v>
      </c>
      <c r="X3512">
        <v>399</v>
      </c>
      <c r="Y3512">
        <v>360</v>
      </c>
      <c r="Z3512">
        <v>504</v>
      </c>
      <c r="AA3512">
        <v>432</v>
      </c>
      <c r="AB3512">
        <v>396</v>
      </c>
      <c r="AC3512">
        <v>180</v>
      </c>
      <c r="AD3512">
        <v>324</v>
      </c>
      <c r="AF3512">
        <v>216</v>
      </c>
      <c r="CH3512" t="str">
        <f t="shared" si="54"/>
        <v>D-0267</v>
      </c>
    </row>
    <row r="3513" spans="1:86">
      <c r="A3513" t="s">
        <v>5311</v>
      </c>
      <c r="B3513">
        <v>90</v>
      </c>
      <c r="C3513" t="s">
        <v>2412</v>
      </c>
      <c r="D3513" t="s">
        <v>237</v>
      </c>
      <c r="E3513" t="s">
        <v>629</v>
      </c>
      <c r="F3513" t="s">
        <v>665</v>
      </c>
      <c r="G3513" t="s">
        <v>3502</v>
      </c>
      <c r="T3513">
        <v>6</v>
      </c>
      <c r="V3513">
        <v>12</v>
      </c>
      <c r="X3513">
        <v>24</v>
      </c>
      <c r="Z3513">
        <v>24</v>
      </c>
      <c r="AB3513">
        <v>18</v>
      </c>
      <c r="AD3513">
        <v>6</v>
      </c>
      <c r="CH3513" t="str">
        <f t="shared" si="54"/>
        <v>D-0267</v>
      </c>
    </row>
    <row r="3514" spans="1:86">
      <c r="A3514" t="s">
        <v>5312</v>
      </c>
      <c r="B3514">
        <v>531</v>
      </c>
      <c r="C3514" t="s">
        <v>2412</v>
      </c>
      <c r="D3514" t="s">
        <v>237</v>
      </c>
      <c r="E3514" t="s">
        <v>629</v>
      </c>
      <c r="F3514" t="s">
        <v>665</v>
      </c>
      <c r="G3514" t="s">
        <v>3502</v>
      </c>
      <c r="T3514">
        <v>30</v>
      </c>
      <c r="V3514">
        <v>72</v>
      </c>
      <c r="X3514">
        <v>153</v>
      </c>
      <c r="Z3514">
        <v>138</v>
      </c>
      <c r="AB3514">
        <v>96</v>
      </c>
      <c r="AD3514">
        <v>36</v>
      </c>
      <c r="AF3514">
        <v>6</v>
      </c>
      <c r="CH3514" t="str">
        <f t="shared" si="54"/>
        <v>D-0267</v>
      </c>
    </row>
    <row r="3515" spans="1:86">
      <c r="A3515" t="s">
        <v>5313</v>
      </c>
      <c r="B3515">
        <v>1395</v>
      </c>
      <c r="C3515" t="s">
        <v>2412</v>
      </c>
      <c r="D3515" t="s">
        <v>237</v>
      </c>
      <c r="E3515" t="s">
        <v>629</v>
      </c>
      <c r="F3515" t="s">
        <v>665</v>
      </c>
      <c r="G3515" t="s">
        <v>3502</v>
      </c>
      <c r="T3515">
        <v>84</v>
      </c>
      <c r="U3515">
        <v>108</v>
      </c>
      <c r="V3515">
        <v>156</v>
      </c>
      <c r="W3515">
        <v>264</v>
      </c>
      <c r="X3515">
        <v>279</v>
      </c>
      <c r="Y3515">
        <v>210</v>
      </c>
      <c r="Z3515">
        <v>156</v>
      </c>
      <c r="AA3515">
        <v>96</v>
      </c>
      <c r="AB3515">
        <v>42</v>
      </c>
      <c r="CH3515" t="str">
        <f t="shared" si="54"/>
        <v>D-0267</v>
      </c>
    </row>
    <row r="3516" spans="1:86">
      <c r="A3516" t="s">
        <v>5314</v>
      </c>
      <c r="B3516">
        <v>96</v>
      </c>
      <c r="C3516" t="s">
        <v>2412</v>
      </c>
      <c r="D3516" t="s">
        <v>237</v>
      </c>
      <c r="E3516" t="s">
        <v>629</v>
      </c>
      <c r="F3516" t="s">
        <v>665</v>
      </c>
      <c r="G3516" t="s">
        <v>3502</v>
      </c>
      <c r="T3516">
        <v>6</v>
      </c>
      <c r="U3516">
        <v>6</v>
      </c>
      <c r="V3516">
        <v>12</v>
      </c>
      <c r="W3516">
        <v>18</v>
      </c>
      <c r="X3516">
        <v>12</v>
      </c>
      <c r="Y3516">
        <v>18</v>
      </c>
      <c r="Z3516">
        <v>6</v>
      </c>
      <c r="AA3516">
        <v>6</v>
      </c>
      <c r="AB3516">
        <v>6</v>
      </c>
      <c r="AD3516">
        <v>6</v>
      </c>
      <c r="CH3516" t="str">
        <f t="shared" si="54"/>
        <v>D-0267</v>
      </c>
    </row>
    <row r="3517" spans="1:86">
      <c r="A3517" t="s">
        <v>5315</v>
      </c>
      <c r="B3517">
        <v>513</v>
      </c>
      <c r="C3517" t="s">
        <v>2412</v>
      </c>
      <c r="D3517" t="s">
        <v>237</v>
      </c>
      <c r="E3517" t="s">
        <v>629</v>
      </c>
      <c r="F3517" t="s">
        <v>665</v>
      </c>
      <c r="G3517" t="s">
        <v>3502</v>
      </c>
      <c r="T3517">
        <v>24</v>
      </c>
      <c r="U3517">
        <v>18</v>
      </c>
      <c r="V3517">
        <v>48</v>
      </c>
      <c r="W3517">
        <v>48</v>
      </c>
      <c r="X3517">
        <v>81</v>
      </c>
      <c r="Y3517">
        <v>72</v>
      </c>
      <c r="Z3517">
        <v>78</v>
      </c>
      <c r="AA3517">
        <v>48</v>
      </c>
      <c r="AB3517">
        <v>42</v>
      </c>
      <c r="AC3517">
        <v>6</v>
      </c>
      <c r="AD3517">
        <v>36</v>
      </c>
      <c r="AE3517">
        <v>6</v>
      </c>
      <c r="AF3517">
        <v>6</v>
      </c>
      <c r="CH3517" t="str">
        <f t="shared" si="54"/>
        <v>D-0267</v>
      </c>
    </row>
    <row r="3518" spans="1:86">
      <c r="A3518" t="s">
        <v>5316</v>
      </c>
      <c r="B3518">
        <v>258</v>
      </c>
      <c r="C3518" t="s">
        <v>2412</v>
      </c>
      <c r="D3518" t="s">
        <v>237</v>
      </c>
      <c r="E3518" t="s">
        <v>629</v>
      </c>
      <c r="F3518" t="s">
        <v>665</v>
      </c>
      <c r="G3518" t="s">
        <v>3502</v>
      </c>
      <c r="T3518">
        <v>6</v>
      </c>
      <c r="U3518">
        <v>12</v>
      </c>
      <c r="V3518">
        <v>30</v>
      </c>
      <c r="W3518">
        <v>30</v>
      </c>
      <c r="X3518">
        <v>42</v>
      </c>
      <c r="Y3518">
        <v>36</v>
      </c>
      <c r="Z3518">
        <v>36</v>
      </c>
      <c r="AA3518">
        <v>18</v>
      </c>
      <c r="AB3518">
        <v>24</v>
      </c>
      <c r="AC3518">
        <v>6</v>
      </c>
      <c r="AD3518">
        <v>12</v>
      </c>
      <c r="AF3518">
        <v>6</v>
      </c>
      <c r="CH3518" t="str">
        <f t="shared" si="54"/>
        <v>D-0267</v>
      </c>
    </row>
    <row r="3519" spans="1:86">
      <c r="A3519" t="s">
        <v>5317</v>
      </c>
      <c r="B3519">
        <v>621</v>
      </c>
      <c r="C3519" t="s">
        <v>2412</v>
      </c>
      <c r="D3519" t="s">
        <v>237</v>
      </c>
      <c r="E3519" t="s">
        <v>629</v>
      </c>
      <c r="F3519" t="s">
        <v>665</v>
      </c>
      <c r="G3519" t="s">
        <v>3502</v>
      </c>
      <c r="T3519">
        <v>72</v>
      </c>
      <c r="U3519">
        <v>90</v>
      </c>
      <c r="V3519">
        <v>114</v>
      </c>
      <c r="W3519">
        <v>120</v>
      </c>
      <c r="X3519">
        <v>105</v>
      </c>
      <c r="Y3519">
        <v>78</v>
      </c>
      <c r="Z3519">
        <v>42</v>
      </c>
      <c r="CH3519" t="str">
        <f t="shared" si="54"/>
        <v>D-0267</v>
      </c>
    </row>
    <row r="3520" spans="1:86">
      <c r="A3520" t="s">
        <v>5318</v>
      </c>
      <c r="B3520">
        <v>2404</v>
      </c>
      <c r="C3520" t="s">
        <v>2412</v>
      </c>
      <c r="D3520" t="s">
        <v>237</v>
      </c>
      <c r="E3520" t="s">
        <v>629</v>
      </c>
      <c r="F3520" t="s">
        <v>665</v>
      </c>
      <c r="G3520" t="s">
        <v>3502</v>
      </c>
      <c r="R3520">
        <v>77</v>
      </c>
      <c r="T3520">
        <v>160</v>
      </c>
      <c r="U3520">
        <v>264</v>
      </c>
      <c r="W3520">
        <v>438</v>
      </c>
      <c r="Y3520">
        <v>497</v>
      </c>
      <c r="Z3520">
        <v>495</v>
      </c>
      <c r="AB3520">
        <v>316</v>
      </c>
      <c r="AD3520">
        <v>157</v>
      </c>
      <c r="CH3520" t="str">
        <f t="shared" si="54"/>
        <v>D-0267</v>
      </c>
    </row>
    <row r="3521" spans="1:86">
      <c r="A3521" t="s">
        <v>5319</v>
      </c>
      <c r="B3521">
        <v>10011</v>
      </c>
      <c r="C3521" t="s">
        <v>2412</v>
      </c>
      <c r="D3521" t="s">
        <v>237</v>
      </c>
      <c r="E3521" t="s">
        <v>629</v>
      </c>
      <c r="F3521" t="s">
        <v>665</v>
      </c>
      <c r="G3521" t="s">
        <v>3502</v>
      </c>
      <c r="V3521">
        <v>834</v>
      </c>
      <c r="W3521">
        <v>834</v>
      </c>
      <c r="X3521">
        <v>837</v>
      </c>
      <c r="Y3521">
        <v>1668</v>
      </c>
      <c r="Z3521">
        <v>1668</v>
      </c>
      <c r="AA3521">
        <v>1668</v>
      </c>
      <c r="AB3521">
        <v>834</v>
      </c>
      <c r="AC3521">
        <v>834</v>
      </c>
      <c r="AD3521">
        <v>834</v>
      </c>
      <c r="CH3521" t="str">
        <f t="shared" si="54"/>
        <v>D-0267</v>
      </c>
    </row>
    <row r="3522" spans="1:86">
      <c r="A3522" t="s">
        <v>5320</v>
      </c>
      <c r="B3522">
        <v>186</v>
      </c>
      <c r="C3522" t="s">
        <v>2413</v>
      </c>
      <c r="D3522" t="s">
        <v>237</v>
      </c>
      <c r="E3522" t="s">
        <v>629</v>
      </c>
      <c r="F3522" t="s">
        <v>665</v>
      </c>
      <c r="G3522" t="s">
        <v>3502</v>
      </c>
      <c r="T3522">
        <v>12</v>
      </c>
      <c r="V3522">
        <v>24</v>
      </c>
      <c r="X3522">
        <v>54</v>
      </c>
      <c r="Z3522">
        <v>48</v>
      </c>
      <c r="AB3522">
        <v>36</v>
      </c>
      <c r="AD3522">
        <v>12</v>
      </c>
      <c r="CH3522" t="str">
        <f t="shared" ref="CH3522:CH3585" si="55">TRIM(IFERROR(IFERROR(MID($D3522,FIND("(D-",$D3522)+1,6),LEFT($D3522,FIND("(",$D3522)-1)),$D3522))</f>
        <v>D-0267</v>
      </c>
    </row>
    <row r="3523" spans="1:86">
      <c r="A3523" t="s">
        <v>5321</v>
      </c>
      <c r="B3523">
        <v>6770</v>
      </c>
      <c r="C3523" t="s">
        <v>2413</v>
      </c>
      <c r="D3523" t="s">
        <v>237</v>
      </c>
      <c r="E3523" t="s">
        <v>629</v>
      </c>
      <c r="F3523" t="s">
        <v>665</v>
      </c>
      <c r="G3523" t="s">
        <v>3502</v>
      </c>
      <c r="R3523">
        <v>1</v>
      </c>
      <c r="S3523">
        <v>243</v>
      </c>
      <c r="T3523">
        <v>723</v>
      </c>
      <c r="U3523">
        <v>665</v>
      </c>
      <c r="V3523">
        <v>1200</v>
      </c>
      <c r="W3523">
        <v>1281</v>
      </c>
      <c r="X3523">
        <v>887</v>
      </c>
      <c r="Y3523">
        <v>908</v>
      </c>
      <c r="Z3523">
        <v>511</v>
      </c>
      <c r="AA3523">
        <v>159</v>
      </c>
      <c r="AB3523">
        <v>128</v>
      </c>
      <c r="AC3523">
        <v>5</v>
      </c>
      <c r="AD3523">
        <v>13</v>
      </c>
      <c r="AE3523">
        <v>5</v>
      </c>
      <c r="AF3523">
        <v>11</v>
      </c>
      <c r="AH3523">
        <v>16</v>
      </c>
      <c r="AJ3523">
        <v>14</v>
      </c>
      <c r="CH3523" t="str">
        <f t="shared" si="55"/>
        <v>D-0267</v>
      </c>
    </row>
    <row r="3524" spans="1:86">
      <c r="A3524" t="s">
        <v>5322</v>
      </c>
      <c r="B3524">
        <v>6209</v>
      </c>
      <c r="C3524" t="s">
        <v>2413</v>
      </c>
      <c r="D3524" t="s">
        <v>237</v>
      </c>
      <c r="E3524" t="s">
        <v>629</v>
      </c>
      <c r="F3524" t="s">
        <v>665</v>
      </c>
      <c r="G3524" t="s">
        <v>3502</v>
      </c>
      <c r="R3524">
        <v>2</v>
      </c>
      <c r="S3524">
        <v>217</v>
      </c>
      <c r="T3524">
        <v>642</v>
      </c>
      <c r="U3524">
        <v>590</v>
      </c>
      <c r="V3524">
        <v>1065</v>
      </c>
      <c r="W3524">
        <v>1136</v>
      </c>
      <c r="X3524">
        <v>788</v>
      </c>
      <c r="Y3524">
        <v>806</v>
      </c>
      <c r="Z3524">
        <v>575</v>
      </c>
      <c r="AA3524">
        <v>178</v>
      </c>
      <c r="AB3524">
        <v>144</v>
      </c>
      <c r="AC3524">
        <v>5</v>
      </c>
      <c r="AD3524">
        <v>13</v>
      </c>
      <c r="AE3524">
        <v>5</v>
      </c>
      <c r="AF3524">
        <v>11</v>
      </c>
      <c r="AH3524">
        <v>18</v>
      </c>
      <c r="AJ3524">
        <v>14</v>
      </c>
      <c r="CH3524" t="str">
        <f t="shared" si="55"/>
        <v>D-0267</v>
      </c>
    </row>
    <row r="3525" spans="1:86">
      <c r="A3525" t="s">
        <v>5323</v>
      </c>
      <c r="B3525">
        <v>10</v>
      </c>
      <c r="C3525" t="s">
        <v>2413</v>
      </c>
      <c r="D3525" t="s">
        <v>237</v>
      </c>
      <c r="E3525" t="s">
        <v>629</v>
      </c>
      <c r="F3525" t="s">
        <v>665</v>
      </c>
      <c r="G3525" t="s">
        <v>3502</v>
      </c>
      <c r="U3525">
        <v>2</v>
      </c>
      <c r="W3525">
        <v>4</v>
      </c>
      <c r="X3525">
        <v>4</v>
      </c>
      <c r="CH3525" t="str">
        <f t="shared" si="55"/>
        <v>D-0267</v>
      </c>
    </row>
    <row r="3526" spans="1:86">
      <c r="A3526" t="s">
        <v>5324</v>
      </c>
      <c r="B3526">
        <v>138</v>
      </c>
      <c r="C3526" t="s">
        <v>4351</v>
      </c>
      <c r="D3526" t="s">
        <v>237</v>
      </c>
      <c r="E3526" t="s">
        <v>629</v>
      </c>
      <c r="F3526" t="s">
        <v>665</v>
      </c>
      <c r="G3526" t="s">
        <v>4352</v>
      </c>
      <c r="T3526">
        <v>6</v>
      </c>
      <c r="V3526">
        <v>18</v>
      </c>
      <c r="X3526">
        <v>42</v>
      </c>
      <c r="Z3526">
        <v>36</v>
      </c>
      <c r="AB3526">
        <v>24</v>
      </c>
      <c r="AD3526">
        <v>12</v>
      </c>
      <c r="CH3526" t="str">
        <f t="shared" si="55"/>
        <v>D-0267</v>
      </c>
    </row>
    <row r="3527" spans="1:86">
      <c r="A3527" t="s">
        <v>5325</v>
      </c>
      <c r="B3527">
        <v>6996</v>
      </c>
      <c r="C3527" t="s">
        <v>4351</v>
      </c>
      <c r="D3527" t="s">
        <v>237</v>
      </c>
      <c r="E3527" t="s">
        <v>629</v>
      </c>
      <c r="F3527" t="s">
        <v>665</v>
      </c>
      <c r="G3527" t="s">
        <v>4352</v>
      </c>
      <c r="S3527">
        <v>41</v>
      </c>
      <c r="T3527">
        <v>237</v>
      </c>
      <c r="U3527">
        <v>252</v>
      </c>
      <c r="V3527">
        <v>573</v>
      </c>
      <c r="W3527">
        <v>602</v>
      </c>
      <c r="X3527">
        <v>779</v>
      </c>
      <c r="Y3527">
        <v>979</v>
      </c>
      <c r="Z3527">
        <v>1008</v>
      </c>
      <c r="AA3527">
        <v>538</v>
      </c>
      <c r="AB3527">
        <v>700</v>
      </c>
      <c r="AC3527">
        <v>419</v>
      </c>
      <c r="AD3527">
        <v>553</v>
      </c>
      <c r="AE3527">
        <v>154</v>
      </c>
      <c r="AF3527">
        <v>161</v>
      </c>
      <c r="CH3527" t="str">
        <f t="shared" si="55"/>
        <v>D-0267</v>
      </c>
    </row>
    <row r="3528" spans="1:86">
      <c r="A3528" t="s">
        <v>5326</v>
      </c>
      <c r="B3528">
        <v>2868</v>
      </c>
      <c r="C3528" t="s">
        <v>4351</v>
      </c>
      <c r="D3528" t="s">
        <v>237</v>
      </c>
      <c r="E3528" t="s">
        <v>629</v>
      </c>
      <c r="F3528" t="s">
        <v>665</v>
      </c>
      <c r="G3528" t="s">
        <v>4352</v>
      </c>
      <c r="S3528">
        <v>18</v>
      </c>
      <c r="T3528">
        <v>98</v>
      </c>
      <c r="U3528">
        <v>103</v>
      </c>
      <c r="V3528">
        <v>235</v>
      </c>
      <c r="W3528">
        <v>246</v>
      </c>
      <c r="X3528">
        <v>321</v>
      </c>
      <c r="Y3528">
        <v>401</v>
      </c>
      <c r="Z3528">
        <v>412</v>
      </c>
      <c r="AA3528">
        <v>221</v>
      </c>
      <c r="AB3528">
        <v>286</v>
      </c>
      <c r="AC3528">
        <v>172</v>
      </c>
      <c r="AD3528">
        <v>226</v>
      </c>
      <c r="AE3528">
        <v>63</v>
      </c>
      <c r="AF3528">
        <v>66</v>
      </c>
      <c r="CH3528" t="str">
        <f t="shared" si="55"/>
        <v>D-0267</v>
      </c>
    </row>
    <row r="3529" spans="1:86">
      <c r="A3529" t="s">
        <v>5327</v>
      </c>
      <c r="B3529">
        <v>108</v>
      </c>
      <c r="C3529" t="s">
        <v>4374</v>
      </c>
      <c r="D3529" t="s">
        <v>237</v>
      </c>
      <c r="E3529" t="s">
        <v>629</v>
      </c>
      <c r="F3529" t="s">
        <v>665</v>
      </c>
      <c r="G3529" t="s">
        <v>4375</v>
      </c>
      <c r="T3529">
        <v>6</v>
      </c>
      <c r="V3529">
        <v>18</v>
      </c>
      <c r="X3529">
        <v>24</v>
      </c>
      <c r="Z3529">
        <v>30</v>
      </c>
      <c r="AB3529">
        <v>18</v>
      </c>
      <c r="AD3529">
        <v>12</v>
      </c>
      <c r="CH3529" t="str">
        <f t="shared" si="55"/>
        <v>D-0267</v>
      </c>
    </row>
    <row r="3530" spans="1:86">
      <c r="A3530" t="s">
        <v>5328</v>
      </c>
      <c r="B3530">
        <v>764</v>
      </c>
      <c r="C3530" t="s">
        <v>4374</v>
      </c>
      <c r="D3530" t="s">
        <v>237</v>
      </c>
      <c r="E3530" t="s">
        <v>629</v>
      </c>
      <c r="F3530" t="s">
        <v>665</v>
      </c>
      <c r="G3530" t="s">
        <v>4375</v>
      </c>
      <c r="T3530">
        <v>7</v>
      </c>
      <c r="U3530">
        <v>33</v>
      </c>
      <c r="V3530">
        <v>66</v>
      </c>
      <c r="W3530">
        <v>87</v>
      </c>
      <c r="X3530">
        <v>109</v>
      </c>
      <c r="Y3530">
        <v>138</v>
      </c>
      <c r="Z3530">
        <v>101</v>
      </c>
      <c r="AA3530">
        <v>100</v>
      </c>
      <c r="AB3530">
        <v>83</v>
      </c>
      <c r="AD3530">
        <v>40</v>
      </c>
      <c r="CH3530" t="str">
        <f t="shared" si="55"/>
        <v>D-0267</v>
      </c>
    </row>
    <row r="3531" spans="1:86">
      <c r="A3531" t="s">
        <v>5329</v>
      </c>
      <c r="B3531">
        <v>709</v>
      </c>
      <c r="C3531" t="s">
        <v>4374</v>
      </c>
      <c r="D3531" t="s">
        <v>237</v>
      </c>
      <c r="E3531" t="s">
        <v>629</v>
      </c>
      <c r="F3531" t="s">
        <v>665</v>
      </c>
      <c r="G3531" t="s">
        <v>4375</v>
      </c>
      <c r="R3531">
        <v>1</v>
      </c>
      <c r="S3531">
        <v>4</v>
      </c>
      <c r="T3531">
        <v>13</v>
      </c>
      <c r="U3531">
        <v>14</v>
      </c>
      <c r="V3531">
        <v>24</v>
      </c>
      <c r="W3531">
        <v>26</v>
      </c>
      <c r="X3531">
        <v>23</v>
      </c>
      <c r="Y3531">
        <v>20</v>
      </c>
      <c r="Z3531">
        <v>13</v>
      </c>
      <c r="AA3531">
        <v>228</v>
      </c>
      <c r="AB3531">
        <v>158</v>
      </c>
      <c r="AC3531">
        <v>24</v>
      </c>
      <c r="AD3531">
        <v>41</v>
      </c>
      <c r="AE3531">
        <v>24</v>
      </c>
      <c r="AF3531">
        <v>24</v>
      </c>
      <c r="AH3531">
        <v>36</v>
      </c>
      <c r="AJ3531">
        <v>36</v>
      </c>
      <c r="CH3531" t="str">
        <f t="shared" si="55"/>
        <v>D-0267</v>
      </c>
    </row>
    <row r="3532" spans="1:86">
      <c r="A3532" t="s">
        <v>5330</v>
      </c>
      <c r="B3532">
        <v>6399</v>
      </c>
      <c r="C3532" t="s">
        <v>4374</v>
      </c>
      <c r="D3532" t="s">
        <v>237</v>
      </c>
      <c r="E3532" t="s">
        <v>629</v>
      </c>
      <c r="F3532" t="s">
        <v>665</v>
      </c>
      <c r="G3532" t="s">
        <v>4375</v>
      </c>
      <c r="R3532">
        <v>4</v>
      </c>
      <c r="S3532">
        <v>189</v>
      </c>
      <c r="T3532">
        <v>608</v>
      </c>
      <c r="U3532">
        <v>639</v>
      </c>
      <c r="V3532">
        <v>1167</v>
      </c>
      <c r="W3532">
        <v>1267</v>
      </c>
      <c r="X3532">
        <v>969</v>
      </c>
      <c r="Y3532">
        <v>948</v>
      </c>
      <c r="Z3532">
        <v>593</v>
      </c>
      <c r="AA3532">
        <v>5</v>
      </c>
      <c r="AB3532">
        <v>4</v>
      </c>
      <c r="AC3532">
        <v>1</v>
      </c>
      <c r="AD3532">
        <v>1</v>
      </c>
      <c r="AE3532">
        <v>1</v>
      </c>
      <c r="AF3532">
        <v>1</v>
      </c>
      <c r="AH3532">
        <v>1</v>
      </c>
      <c r="AJ3532">
        <v>1</v>
      </c>
      <c r="CH3532" t="str">
        <f t="shared" si="55"/>
        <v>D-0267</v>
      </c>
    </row>
    <row r="3533" spans="1:86">
      <c r="A3533" t="s">
        <v>5331</v>
      </c>
      <c r="B3533">
        <v>681</v>
      </c>
      <c r="C3533" t="s">
        <v>757</v>
      </c>
      <c r="D3533" t="s">
        <v>237</v>
      </c>
      <c r="E3533" t="s">
        <v>629</v>
      </c>
      <c r="F3533" t="s">
        <v>632</v>
      </c>
      <c r="G3533" t="s">
        <v>2593</v>
      </c>
      <c r="T3533">
        <v>36</v>
      </c>
      <c r="V3533">
        <v>126</v>
      </c>
      <c r="X3533">
        <v>171</v>
      </c>
      <c r="Z3533">
        <v>174</v>
      </c>
      <c r="AB3533">
        <v>126</v>
      </c>
      <c r="AD3533">
        <v>48</v>
      </c>
      <c r="CH3533" t="str">
        <f t="shared" si="55"/>
        <v>D-0267</v>
      </c>
    </row>
    <row r="3534" spans="1:86">
      <c r="A3534" t="s">
        <v>5332</v>
      </c>
      <c r="B3534">
        <v>897</v>
      </c>
      <c r="C3534" t="s">
        <v>757</v>
      </c>
      <c r="D3534" t="s">
        <v>237</v>
      </c>
      <c r="E3534" t="s">
        <v>629</v>
      </c>
      <c r="F3534" t="s">
        <v>632</v>
      </c>
      <c r="G3534" t="s">
        <v>2593</v>
      </c>
      <c r="T3534">
        <v>156</v>
      </c>
      <c r="U3534">
        <v>132</v>
      </c>
      <c r="V3534">
        <v>168</v>
      </c>
      <c r="W3534">
        <v>150</v>
      </c>
      <c r="X3534">
        <v>117</v>
      </c>
      <c r="Y3534">
        <v>78</v>
      </c>
      <c r="Z3534">
        <v>66</v>
      </c>
      <c r="AB3534">
        <v>30</v>
      </c>
      <c r="CH3534" t="str">
        <f t="shared" si="55"/>
        <v>D-0267</v>
      </c>
    </row>
    <row r="3535" spans="1:86">
      <c r="A3535" t="s">
        <v>5333</v>
      </c>
      <c r="B3535">
        <v>715</v>
      </c>
      <c r="C3535" t="s">
        <v>757</v>
      </c>
      <c r="D3535" t="s">
        <v>237</v>
      </c>
      <c r="E3535" t="s">
        <v>629</v>
      </c>
      <c r="F3535" t="s">
        <v>632</v>
      </c>
      <c r="G3535" t="s">
        <v>2593</v>
      </c>
      <c r="R3535">
        <v>6</v>
      </c>
      <c r="T3535">
        <v>42</v>
      </c>
      <c r="U3535">
        <v>36</v>
      </c>
      <c r="V3535">
        <v>106</v>
      </c>
      <c r="W3535">
        <v>48</v>
      </c>
      <c r="X3535">
        <v>159</v>
      </c>
      <c r="Y3535">
        <v>42</v>
      </c>
      <c r="Z3535">
        <v>156</v>
      </c>
      <c r="AA3535">
        <v>18</v>
      </c>
      <c r="AB3535">
        <v>66</v>
      </c>
      <c r="AC3535">
        <v>6</v>
      </c>
      <c r="AD3535">
        <v>24</v>
      </c>
      <c r="AF3535">
        <v>6</v>
      </c>
      <c r="CH3535" t="str">
        <f t="shared" si="55"/>
        <v>D-0267</v>
      </c>
    </row>
    <row r="3536" spans="1:86">
      <c r="A3536" t="s">
        <v>5334</v>
      </c>
      <c r="B3536">
        <v>2193</v>
      </c>
      <c r="C3536" t="s">
        <v>757</v>
      </c>
      <c r="D3536" t="s">
        <v>237</v>
      </c>
      <c r="E3536" t="s">
        <v>629</v>
      </c>
      <c r="F3536" t="s">
        <v>632</v>
      </c>
      <c r="G3536" t="s">
        <v>2593</v>
      </c>
      <c r="T3536">
        <v>30</v>
      </c>
      <c r="U3536">
        <v>66</v>
      </c>
      <c r="V3536">
        <v>156</v>
      </c>
      <c r="W3536">
        <v>156</v>
      </c>
      <c r="X3536">
        <v>231</v>
      </c>
      <c r="Y3536">
        <v>240</v>
      </c>
      <c r="Z3536">
        <v>246</v>
      </c>
      <c r="AA3536">
        <v>276</v>
      </c>
      <c r="AB3536">
        <v>246</v>
      </c>
      <c r="AC3536">
        <v>156</v>
      </c>
      <c r="AD3536">
        <v>216</v>
      </c>
      <c r="AF3536">
        <v>144</v>
      </c>
      <c r="AH3536">
        <v>30</v>
      </c>
      <c r="CH3536" t="str">
        <f t="shared" si="55"/>
        <v>D-0267</v>
      </c>
    </row>
    <row r="3537" spans="1:86">
      <c r="A3537" t="s">
        <v>5335</v>
      </c>
      <c r="B3537">
        <v>269</v>
      </c>
      <c r="C3537" t="s">
        <v>757</v>
      </c>
      <c r="D3537" t="s">
        <v>237</v>
      </c>
      <c r="E3537" t="s">
        <v>629</v>
      </c>
      <c r="F3537" t="s">
        <v>632</v>
      </c>
      <c r="G3537" t="s">
        <v>2593</v>
      </c>
      <c r="AE3537">
        <v>131</v>
      </c>
      <c r="AJ3537">
        <v>138</v>
      </c>
      <c r="CH3537" t="str">
        <f t="shared" si="55"/>
        <v>D-0267</v>
      </c>
    </row>
    <row r="3538" spans="1:86">
      <c r="A3538" t="s">
        <v>5336</v>
      </c>
      <c r="B3538">
        <v>1497</v>
      </c>
      <c r="C3538" t="s">
        <v>757</v>
      </c>
      <c r="D3538" t="s">
        <v>237</v>
      </c>
      <c r="E3538" t="s">
        <v>629</v>
      </c>
      <c r="F3538" t="s">
        <v>632</v>
      </c>
      <c r="G3538" t="s">
        <v>2593</v>
      </c>
      <c r="R3538">
        <v>11</v>
      </c>
      <c r="S3538">
        <v>8</v>
      </c>
      <c r="T3538">
        <v>44</v>
      </c>
      <c r="U3538">
        <v>26</v>
      </c>
      <c r="V3538">
        <v>82</v>
      </c>
      <c r="W3538">
        <v>100</v>
      </c>
      <c r="X3538">
        <v>133</v>
      </c>
      <c r="Y3538">
        <v>125</v>
      </c>
      <c r="Z3538">
        <v>154</v>
      </c>
      <c r="AA3538">
        <v>109</v>
      </c>
      <c r="AB3538">
        <v>200</v>
      </c>
      <c r="AC3538">
        <v>143</v>
      </c>
      <c r="AD3538">
        <v>152</v>
      </c>
      <c r="AE3538">
        <v>27</v>
      </c>
      <c r="AF3538">
        <v>146</v>
      </c>
      <c r="AH3538">
        <v>37</v>
      </c>
      <c r="CH3538" t="str">
        <f t="shared" si="55"/>
        <v>D-0267</v>
      </c>
    </row>
    <row r="3539" spans="1:86">
      <c r="A3539" t="s">
        <v>5337</v>
      </c>
      <c r="B3539">
        <v>2103</v>
      </c>
      <c r="C3539" t="s">
        <v>755</v>
      </c>
      <c r="D3539" t="s">
        <v>237</v>
      </c>
      <c r="E3539" t="s">
        <v>629</v>
      </c>
      <c r="F3539" t="s">
        <v>632</v>
      </c>
      <c r="G3539" t="s">
        <v>2418</v>
      </c>
      <c r="T3539">
        <v>12</v>
      </c>
      <c r="U3539">
        <v>36</v>
      </c>
      <c r="V3539">
        <v>132</v>
      </c>
      <c r="W3539">
        <v>138</v>
      </c>
      <c r="X3539">
        <v>207</v>
      </c>
      <c r="Y3539">
        <v>228</v>
      </c>
      <c r="Z3539">
        <v>234</v>
      </c>
      <c r="AA3539">
        <v>294</v>
      </c>
      <c r="AB3539">
        <v>264</v>
      </c>
      <c r="AC3539">
        <v>150</v>
      </c>
      <c r="AD3539">
        <v>216</v>
      </c>
      <c r="AF3539">
        <v>162</v>
      </c>
      <c r="AH3539">
        <v>30</v>
      </c>
      <c r="CH3539" t="str">
        <f t="shared" si="55"/>
        <v>D-0267</v>
      </c>
    </row>
    <row r="3540" spans="1:86">
      <c r="A3540" t="s">
        <v>5338</v>
      </c>
      <c r="B3540">
        <v>671</v>
      </c>
      <c r="C3540" t="s">
        <v>755</v>
      </c>
      <c r="D3540" t="s">
        <v>237</v>
      </c>
      <c r="E3540" t="s">
        <v>629</v>
      </c>
      <c r="F3540" t="s">
        <v>632</v>
      </c>
      <c r="G3540" t="s">
        <v>2418</v>
      </c>
      <c r="S3540">
        <v>48</v>
      </c>
      <c r="AA3540">
        <v>146</v>
      </c>
      <c r="AE3540">
        <v>131</v>
      </c>
      <c r="AF3540">
        <v>96</v>
      </c>
      <c r="AH3540">
        <v>154</v>
      </c>
      <c r="AJ3540">
        <v>96</v>
      </c>
      <c r="CH3540" t="str">
        <f t="shared" si="55"/>
        <v>D-0267</v>
      </c>
    </row>
    <row r="3541" spans="1:86">
      <c r="A3541" t="s">
        <v>5339</v>
      </c>
      <c r="B3541">
        <v>549</v>
      </c>
      <c r="C3541" t="s">
        <v>755</v>
      </c>
      <c r="D3541" t="s">
        <v>237</v>
      </c>
      <c r="E3541" t="s">
        <v>629</v>
      </c>
      <c r="F3541" t="s">
        <v>632</v>
      </c>
      <c r="G3541" t="s">
        <v>2418</v>
      </c>
      <c r="R3541">
        <v>17</v>
      </c>
      <c r="S3541">
        <v>14</v>
      </c>
      <c r="T3541">
        <v>25</v>
      </c>
      <c r="U3541">
        <v>29</v>
      </c>
      <c r="V3541">
        <v>24</v>
      </c>
      <c r="W3541">
        <v>20</v>
      </c>
      <c r="X3541">
        <v>92</v>
      </c>
      <c r="Y3541">
        <v>98</v>
      </c>
      <c r="Z3541">
        <v>25</v>
      </c>
      <c r="AA3541">
        <v>32</v>
      </c>
      <c r="AC3541">
        <v>30</v>
      </c>
      <c r="AD3541">
        <v>24</v>
      </c>
      <c r="AE3541">
        <v>59</v>
      </c>
      <c r="AF3541">
        <v>20</v>
      </c>
      <c r="AH3541">
        <v>31</v>
      </c>
      <c r="AJ3541">
        <v>9</v>
      </c>
      <c r="CH3541" t="str">
        <f t="shared" si="55"/>
        <v>D-0267</v>
      </c>
    </row>
    <row r="3542" spans="1:86">
      <c r="A3542" t="s">
        <v>5340</v>
      </c>
      <c r="B3542">
        <v>1779</v>
      </c>
      <c r="C3542" t="s">
        <v>977</v>
      </c>
      <c r="D3542" t="s">
        <v>238</v>
      </c>
      <c r="E3542" t="s">
        <v>629</v>
      </c>
      <c r="F3542" t="s">
        <v>632</v>
      </c>
      <c r="G3542" t="s">
        <v>2693</v>
      </c>
      <c r="V3542">
        <v>148</v>
      </c>
      <c r="W3542">
        <v>148</v>
      </c>
      <c r="X3542">
        <v>151</v>
      </c>
      <c r="Y3542">
        <v>296</v>
      </c>
      <c r="Z3542">
        <v>296</v>
      </c>
      <c r="AA3542">
        <v>296</v>
      </c>
      <c r="AB3542">
        <v>148</v>
      </c>
      <c r="AC3542">
        <v>148</v>
      </c>
      <c r="AD3542">
        <v>148</v>
      </c>
      <c r="CH3542" t="str">
        <f t="shared" si="55"/>
        <v>D-0267</v>
      </c>
    </row>
    <row r="3543" spans="1:86">
      <c r="A3543" t="s">
        <v>5341</v>
      </c>
      <c r="B3543">
        <v>1535</v>
      </c>
      <c r="C3543" t="s">
        <v>977</v>
      </c>
      <c r="D3543" t="s">
        <v>238</v>
      </c>
      <c r="E3543" t="s">
        <v>629</v>
      </c>
      <c r="F3543" t="s">
        <v>632</v>
      </c>
      <c r="G3543" t="s">
        <v>2693</v>
      </c>
      <c r="R3543">
        <v>2</v>
      </c>
      <c r="S3543">
        <v>14</v>
      </c>
      <c r="T3543">
        <v>44</v>
      </c>
      <c r="U3543">
        <v>51</v>
      </c>
      <c r="V3543">
        <v>52</v>
      </c>
      <c r="W3543">
        <v>88</v>
      </c>
      <c r="X3543">
        <v>115</v>
      </c>
      <c r="Y3543">
        <v>155</v>
      </c>
      <c r="Z3543">
        <v>177</v>
      </c>
      <c r="AA3543">
        <v>176</v>
      </c>
      <c r="AB3543">
        <v>172</v>
      </c>
      <c r="AC3543">
        <v>150</v>
      </c>
      <c r="AD3543">
        <v>165</v>
      </c>
      <c r="AE3543">
        <v>23</v>
      </c>
      <c r="AF3543">
        <v>107</v>
      </c>
      <c r="AH3543">
        <v>44</v>
      </c>
      <c r="CH3543" t="str">
        <f t="shared" si="55"/>
        <v>D-0267</v>
      </c>
    </row>
    <row r="3544" spans="1:86">
      <c r="A3544" t="s">
        <v>5342</v>
      </c>
      <c r="B3544">
        <v>399</v>
      </c>
      <c r="C3544" t="s">
        <v>977</v>
      </c>
      <c r="D3544" t="s">
        <v>238</v>
      </c>
      <c r="E3544" t="s">
        <v>629</v>
      </c>
      <c r="F3544" t="s">
        <v>632</v>
      </c>
      <c r="G3544" t="s">
        <v>2693</v>
      </c>
      <c r="T3544">
        <v>12</v>
      </c>
      <c r="U3544">
        <v>18</v>
      </c>
      <c r="V3544">
        <v>24</v>
      </c>
      <c r="W3544">
        <v>24</v>
      </c>
      <c r="X3544">
        <v>33</v>
      </c>
      <c r="Y3544">
        <v>42</v>
      </c>
      <c r="Z3544">
        <v>42</v>
      </c>
      <c r="AA3544">
        <v>42</v>
      </c>
      <c r="AB3544">
        <v>42</v>
      </c>
      <c r="AC3544">
        <v>30</v>
      </c>
      <c r="AD3544">
        <v>36</v>
      </c>
      <c r="AF3544">
        <v>30</v>
      </c>
      <c r="AH3544">
        <v>18</v>
      </c>
      <c r="AJ3544">
        <v>6</v>
      </c>
      <c r="CH3544" t="str">
        <f t="shared" si="55"/>
        <v>D-0267</v>
      </c>
    </row>
    <row r="3545" spans="1:86">
      <c r="A3545" t="s">
        <v>5343</v>
      </c>
      <c r="B3545">
        <v>5007</v>
      </c>
      <c r="C3545" t="s">
        <v>977</v>
      </c>
      <c r="D3545" t="s">
        <v>238</v>
      </c>
      <c r="E3545" t="s">
        <v>629</v>
      </c>
      <c r="F3545" t="s">
        <v>632</v>
      </c>
      <c r="G3545" t="s">
        <v>2693</v>
      </c>
      <c r="V3545">
        <v>556</v>
      </c>
      <c r="X3545">
        <v>559</v>
      </c>
      <c r="Y3545">
        <v>556</v>
      </c>
      <c r="Z3545">
        <v>556</v>
      </c>
      <c r="AA3545">
        <v>556</v>
      </c>
      <c r="AB3545">
        <v>556</v>
      </c>
      <c r="AC3545">
        <v>556</v>
      </c>
      <c r="AD3545">
        <v>556</v>
      </c>
      <c r="AF3545">
        <v>556</v>
      </c>
      <c r="CH3545" t="str">
        <f t="shared" si="55"/>
        <v>D-0267</v>
      </c>
    </row>
    <row r="3546" spans="1:86">
      <c r="A3546" t="s">
        <v>5344</v>
      </c>
      <c r="B3546">
        <v>507</v>
      </c>
      <c r="C3546" t="s">
        <v>977</v>
      </c>
      <c r="D3546" t="s">
        <v>238</v>
      </c>
      <c r="E3546" t="s">
        <v>629</v>
      </c>
      <c r="F3546" t="s">
        <v>632</v>
      </c>
      <c r="G3546" t="s">
        <v>2693</v>
      </c>
      <c r="V3546">
        <v>56</v>
      </c>
      <c r="X3546">
        <v>59</v>
      </c>
      <c r="Y3546">
        <v>56</v>
      </c>
      <c r="Z3546">
        <v>56</v>
      </c>
      <c r="AA3546">
        <v>56</v>
      </c>
      <c r="AB3546">
        <v>56</v>
      </c>
      <c r="AC3546">
        <v>56</v>
      </c>
      <c r="AD3546">
        <v>56</v>
      </c>
      <c r="AF3546">
        <v>56</v>
      </c>
      <c r="CH3546" t="str">
        <f t="shared" si="55"/>
        <v>D-0267</v>
      </c>
    </row>
    <row r="3547" spans="1:86">
      <c r="A3547" t="s">
        <v>5345</v>
      </c>
      <c r="B3547">
        <v>609</v>
      </c>
      <c r="C3547" t="s">
        <v>662</v>
      </c>
      <c r="D3547" t="s">
        <v>238</v>
      </c>
      <c r="E3547" t="s">
        <v>629</v>
      </c>
      <c r="F3547" t="s">
        <v>632</v>
      </c>
      <c r="G3547" t="s">
        <v>4383</v>
      </c>
      <c r="R3547">
        <v>6</v>
      </c>
      <c r="S3547">
        <v>6</v>
      </c>
      <c r="T3547">
        <v>18</v>
      </c>
      <c r="U3547">
        <v>36</v>
      </c>
      <c r="V3547">
        <v>48</v>
      </c>
      <c r="W3547">
        <v>48</v>
      </c>
      <c r="X3547">
        <v>51</v>
      </c>
      <c r="Y3547">
        <v>54</v>
      </c>
      <c r="Z3547">
        <v>60</v>
      </c>
      <c r="AA3547">
        <v>60</v>
      </c>
      <c r="AB3547">
        <v>66</v>
      </c>
      <c r="AC3547">
        <v>12</v>
      </c>
      <c r="AD3547">
        <v>60</v>
      </c>
      <c r="AF3547">
        <v>60</v>
      </c>
      <c r="AH3547">
        <v>12</v>
      </c>
      <c r="AJ3547">
        <v>12</v>
      </c>
      <c r="CH3547" t="str">
        <f t="shared" si="55"/>
        <v>D-0267</v>
      </c>
    </row>
    <row r="3548" spans="1:86">
      <c r="A3548" t="s">
        <v>5346</v>
      </c>
      <c r="B3548">
        <v>1203</v>
      </c>
      <c r="C3548" t="s">
        <v>662</v>
      </c>
      <c r="D3548" t="s">
        <v>238</v>
      </c>
      <c r="E3548" t="s">
        <v>629</v>
      </c>
      <c r="F3548" t="s">
        <v>632</v>
      </c>
      <c r="G3548" t="s">
        <v>4383</v>
      </c>
      <c r="T3548">
        <v>12</v>
      </c>
      <c r="U3548">
        <v>36</v>
      </c>
      <c r="V3548">
        <v>90</v>
      </c>
      <c r="W3548">
        <v>96</v>
      </c>
      <c r="X3548">
        <v>123</v>
      </c>
      <c r="Y3548">
        <v>132</v>
      </c>
      <c r="Z3548">
        <v>132</v>
      </c>
      <c r="AA3548">
        <v>156</v>
      </c>
      <c r="AB3548">
        <v>144</v>
      </c>
      <c r="AC3548">
        <v>78</v>
      </c>
      <c r="AD3548">
        <v>108</v>
      </c>
      <c r="AF3548">
        <v>78</v>
      </c>
      <c r="AH3548">
        <v>18</v>
      </c>
      <c r="CH3548" t="str">
        <f t="shared" si="55"/>
        <v>D-0267</v>
      </c>
    </row>
    <row r="3549" spans="1:86">
      <c r="A3549" t="s">
        <v>5347</v>
      </c>
      <c r="B3549">
        <v>1803</v>
      </c>
      <c r="C3549" t="s">
        <v>662</v>
      </c>
      <c r="D3549" t="s">
        <v>238</v>
      </c>
      <c r="E3549" t="s">
        <v>629</v>
      </c>
      <c r="F3549" t="s">
        <v>632</v>
      </c>
      <c r="G3549" t="s">
        <v>4383</v>
      </c>
      <c r="T3549">
        <v>24</v>
      </c>
      <c r="U3549">
        <v>54</v>
      </c>
      <c r="V3549">
        <v>132</v>
      </c>
      <c r="W3549">
        <v>138</v>
      </c>
      <c r="X3549">
        <v>183</v>
      </c>
      <c r="Y3549">
        <v>198</v>
      </c>
      <c r="Z3549">
        <v>198</v>
      </c>
      <c r="AA3549">
        <v>234</v>
      </c>
      <c r="AB3549">
        <v>216</v>
      </c>
      <c r="AC3549">
        <v>120</v>
      </c>
      <c r="AD3549">
        <v>162</v>
      </c>
      <c r="AF3549">
        <v>120</v>
      </c>
      <c r="AH3549">
        <v>24</v>
      </c>
      <c r="CH3549" t="str">
        <f t="shared" si="55"/>
        <v>D-0267</v>
      </c>
    </row>
    <row r="3550" spans="1:86">
      <c r="A3550" t="s">
        <v>5348</v>
      </c>
      <c r="B3550">
        <v>1184</v>
      </c>
      <c r="C3550" t="s">
        <v>662</v>
      </c>
      <c r="D3550" t="s">
        <v>238</v>
      </c>
      <c r="E3550" t="s">
        <v>629</v>
      </c>
      <c r="F3550" t="s">
        <v>632</v>
      </c>
      <c r="G3550" t="s">
        <v>4383</v>
      </c>
      <c r="R3550">
        <v>10</v>
      </c>
      <c r="S3550">
        <v>8</v>
      </c>
      <c r="T3550">
        <v>31</v>
      </c>
      <c r="U3550">
        <v>36</v>
      </c>
      <c r="V3550">
        <v>70</v>
      </c>
      <c r="W3550">
        <v>75</v>
      </c>
      <c r="X3550">
        <v>111</v>
      </c>
      <c r="Y3550">
        <v>116</v>
      </c>
      <c r="Z3550">
        <v>137</v>
      </c>
      <c r="AA3550">
        <v>136</v>
      </c>
      <c r="AB3550">
        <v>134</v>
      </c>
      <c r="AC3550">
        <v>79</v>
      </c>
      <c r="AD3550">
        <v>107</v>
      </c>
      <c r="AE3550">
        <v>15</v>
      </c>
      <c r="AF3550">
        <v>77</v>
      </c>
      <c r="AH3550">
        <v>29</v>
      </c>
      <c r="AJ3550">
        <v>13</v>
      </c>
      <c r="CH3550" t="str">
        <f t="shared" si="55"/>
        <v>D-0267</v>
      </c>
    </row>
    <row r="3551" spans="1:86">
      <c r="A3551" t="s">
        <v>5349</v>
      </c>
      <c r="B3551">
        <v>375</v>
      </c>
      <c r="C3551" t="s">
        <v>2423</v>
      </c>
      <c r="D3551" t="s">
        <v>238</v>
      </c>
      <c r="E3551" t="s">
        <v>629</v>
      </c>
      <c r="F3551" t="s">
        <v>632</v>
      </c>
      <c r="G3551" t="s">
        <v>2593</v>
      </c>
      <c r="T3551">
        <v>12</v>
      </c>
      <c r="V3551">
        <v>66</v>
      </c>
      <c r="X3551">
        <v>111</v>
      </c>
      <c r="Z3551">
        <v>96</v>
      </c>
      <c r="AB3551">
        <v>66</v>
      </c>
      <c r="AD3551">
        <v>24</v>
      </c>
      <c r="CH3551" t="str">
        <f t="shared" si="55"/>
        <v>D-0267</v>
      </c>
    </row>
    <row r="3552" spans="1:86">
      <c r="A3552" t="s">
        <v>5350</v>
      </c>
      <c r="B3552">
        <v>339</v>
      </c>
      <c r="C3552" t="s">
        <v>2423</v>
      </c>
      <c r="D3552" t="s">
        <v>238</v>
      </c>
      <c r="E3552" t="s">
        <v>629</v>
      </c>
      <c r="F3552" t="s">
        <v>632</v>
      </c>
      <c r="G3552" t="s">
        <v>2593</v>
      </c>
      <c r="T3552">
        <v>18</v>
      </c>
      <c r="V3552">
        <v>60</v>
      </c>
      <c r="X3552">
        <v>99</v>
      </c>
      <c r="Z3552">
        <v>90</v>
      </c>
      <c r="AB3552">
        <v>48</v>
      </c>
      <c r="AD3552">
        <v>18</v>
      </c>
      <c r="AF3552">
        <v>6</v>
      </c>
      <c r="CH3552" t="str">
        <f t="shared" si="55"/>
        <v>D-0267</v>
      </c>
    </row>
    <row r="3553" spans="1:86">
      <c r="A3553" t="s">
        <v>5351</v>
      </c>
      <c r="B3553">
        <v>507</v>
      </c>
      <c r="C3553" t="s">
        <v>2423</v>
      </c>
      <c r="D3553" t="s">
        <v>238</v>
      </c>
      <c r="E3553" t="s">
        <v>629</v>
      </c>
      <c r="F3553" t="s">
        <v>632</v>
      </c>
      <c r="G3553" t="s">
        <v>2593</v>
      </c>
      <c r="T3553">
        <v>12</v>
      </c>
      <c r="U3553">
        <v>24</v>
      </c>
      <c r="V3553">
        <v>66</v>
      </c>
      <c r="W3553">
        <v>48</v>
      </c>
      <c r="X3553">
        <v>105</v>
      </c>
      <c r="Y3553">
        <v>54</v>
      </c>
      <c r="Z3553">
        <v>96</v>
      </c>
      <c r="AA3553">
        <v>36</v>
      </c>
      <c r="AB3553">
        <v>54</v>
      </c>
      <c r="AD3553">
        <v>12</v>
      </c>
      <c r="CH3553" t="str">
        <f t="shared" si="55"/>
        <v>D-0267</v>
      </c>
    </row>
    <row r="3554" spans="1:86">
      <c r="A3554" t="s">
        <v>5352</v>
      </c>
      <c r="B3554">
        <v>114</v>
      </c>
      <c r="C3554" t="s">
        <v>2423</v>
      </c>
      <c r="D3554" t="s">
        <v>238</v>
      </c>
      <c r="E3554" t="s">
        <v>629</v>
      </c>
      <c r="F3554" t="s">
        <v>632</v>
      </c>
      <c r="G3554" t="s">
        <v>2593</v>
      </c>
      <c r="T3554">
        <v>12</v>
      </c>
      <c r="V3554">
        <v>24</v>
      </c>
      <c r="W3554">
        <v>6</v>
      </c>
      <c r="X3554">
        <v>30</v>
      </c>
      <c r="Y3554">
        <v>6</v>
      </c>
      <c r="Z3554">
        <v>24</v>
      </c>
      <c r="AB3554">
        <v>12</v>
      </c>
      <c r="CH3554" t="str">
        <f t="shared" si="55"/>
        <v>D-0267</v>
      </c>
    </row>
    <row r="3555" spans="1:86">
      <c r="A3555" t="s">
        <v>5353</v>
      </c>
      <c r="B3555">
        <v>897</v>
      </c>
      <c r="C3555" t="s">
        <v>2423</v>
      </c>
      <c r="D3555" t="s">
        <v>238</v>
      </c>
      <c r="E3555" t="s">
        <v>629</v>
      </c>
      <c r="F3555" t="s">
        <v>632</v>
      </c>
      <c r="G3555" t="s">
        <v>2593</v>
      </c>
      <c r="T3555">
        <v>156</v>
      </c>
      <c r="U3555">
        <v>132</v>
      </c>
      <c r="V3555">
        <v>168</v>
      </c>
      <c r="W3555">
        <v>150</v>
      </c>
      <c r="X3555">
        <v>117</v>
      </c>
      <c r="Y3555">
        <v>78</v>
      </c>
      <c r="Z3555">
        <v>66</v>
      </c>
      <c r="AB3555">
        <v>30</v>
      </c>
      <c r="CH3555" t="str">
        <f t="shared" si="55"/>
        <v>D-0267</v>
      </c>
    </row>
    <row r="3556" spans="1:86">
      <c r="A3556" t="s">
        <v>5354</v>
      </c>
      <c r="B3556">
        <v>294</v>
      </c>
      <c r="C3556" t="s">
        <v>2423</v>
      </c>
      <c r="D3556" t="s">
        <v>238</v>
      </c>
      <c r="E3556" t="s">
        <v>629</v>
      </c>
      <c r="F3556" t="s">
        <v>632</v>
      </c>
      <c r="G3556" t="s">
        <v>2593</v>
      </c>
      <c r="T3556">
        <v>24</v>
      </c>
      <c r="U3556">
        <v>24</v>
      </c>
      <c r="V3556">
        <v>48</v>
      </c>
      <c r="W3556">
        <v>78</v>
      </c>
      <c r="X3556">
        <v>48</v>
      </c>
      <c r="Y3556">
        <v>48</v>
      </c>
      <c r="Z3556">
        <v>24</v>
      </c>
      <c r="CH3556" t="str">
        <f t="shared" si="55"/>
        <v>D-0267</v>
      </c>
    </row>
    <row r="3557" spans="1:86">
      <c r="A3557" t="s">
        <v>5355</v>
      </c>
      <c r="B3557">
        <v>843</v>
      </c>
      <c r="C3557" t="s">
        <v>2423</v>
      </c>
      <c r="D3557" t="s">
        <v>238</v>
      </c>
      <c r="E3557" t="s">
        <v>629</v>
      </c>
      <c r="F3557" t="s">
        <v>632</v>
      </c>
      <c r="G3557" t="s">
        <v>2593</v>
      </c>
      <c r="T3557">
        <v>12</v>
      </c>
      <c r="U3557">
        <v>108</v>
      </c>
      <c r="V3557">
        <v>144</v>
      </c>
      <c r="W3557">
        <v>120</v>
      </c>
      <c r="X3557">
        <v>153</v>
      </c>
      <c r="Y3557">
        <v>78</v>
      </c>
      <c r="Z3557">
        <v>96</v>
      </c>
      <c r="AA3557">
        <v>60</v>
      </c>
      <c r="AB3557">
        <v>60</v>
      </c>
      <c r="AC3557">
        <v>6</v>
      </c>
      <c r="AD3557">
        <v>6</v>
      </c>
      <c r="CH3557" t="str">
        <f t="shared" si="55"/>
        <v>D-0267</v>
      </c>
    </row>
    <row r="3558" spans="1:86">
      <c r="A3558" t="s">
        <v>5356</v>
      </c>
      <c r="B3558">
        <v>1115</v>
      </c>
      <c r="C3558" t="s">
        <v>2424</v>
      </c>
      <c r="D3558" t="s">
        <v>238</v>
      </c>
      <c r="E3558" t="s">
        <v>629</v>
      </c>
      <c r="F3558" t="s">
        <v>632</v>
      </c>
      <c r="G3558" t="s">
        <v>2283</v>
      </c>
      <c r="R3558">
        <v>10</v>
      </c>
      <c r="S3558">
        <v>9</v>
      </c>
      <c r="T3558">
        <v>30</v>
      </c>
      <c r="U3558">
        <v>35</v>
      </c>
      <c r="V3558">
        <v>66</v>
      </c>
      <c r="W3558">
        <v>71</v>
      </c>
      <c r="X3558">
        <v>104</v>
      </c>
      <c r="Y3558">
        <v>108</v>
      </c>
      <c r="Z3558">
        <v>128</v>
      </c>
      <c r="AA3558">
        <v>127</v>
      </c>
      <c r="AB3558">
        <v>125</v>
      </c>
      <c r="AC3558">
        <v>74</v>
      </c>
      <c r="AD3558">
        <v>100</v>
      </c>
      <c r="AE3558">
        <v>15</v>
      </c>
      <c r="AF3558">
        <v>72</v>
      </c>
      <c r="AH3558">
        <v>28</v>
      </c>
      <c r="AJ3558">
        <v>13</v>
      </c>
      <c r="CH3558" t="str">
        <f t="shared" si="55"/>
        <v>D-0267</v>
      </c>
    </row>
    <row r="3559" spans="1:86">
      <c r="A3559" t="s">
        <v>5357</v>
      </c>
      <c r="B3559">
        <v>1107</v>
      </c>
      <c r="C3559" t="s">
        <v>2424</v>
      </c>
      <c r="D3559" t="s">
        <v>238</v>
      </c>
      <c r="E3559" t="s">
        <v>629</v>
      </c>
      <c r="F3559" t="s">
        <v>632</v>
      </c>
      <c r="G3559" t="s">
        <v>2283</v>
      </c>
      <c r="R3559">
        <v>9</v>
      </c>
      <c r="S3559">
        <v>8</v>
      </c>
      <c r="T3559">
        <v>29</v>
      </c>
      <c r="U3559">
        <v>34</v>
      </c>
      <c r="V3559">
        <v>66</v>
      </c>
      <c r="W3559">
        <v>71</v>
      </c>
      <c r="X3559">
        <v>103</v>
      </c>
      <c r="Y3559">
        <v>108</v>
      </c>
      <c r="Z3559">
        <v>128</v>
      </c>
      <c r="AA3559">
        <v>126</v>
      </c>
      <c r="AB3559">
        <v>125</v>
      </c>
      <c r="AC3559">
        <v>73</v>
      </c>
      <c r="AD3559">
        <v>99</v>
      </c>
      <c r="AE3559">
        <v>15</v>
      </c>
      <c r="AF3559">
        <v>72</v>
      </c>
      <c r="AH3559">
        <v>28</v>
      </c>
      <c r="AJ3559">
        <v>13</v>
      </c>
      <c r="CH3559" t="str">
        <f t="shared" si="55"/>
        <v>D-0267</v>
      </c>
    </row>
    <row r="3560" spans="1:86">
      <c r="A3560" t="s">
        <v>5358</v>
      </c>
      <c r="B3560">
        <v>365</v>
      </c>
      <c r="C3560" t="s">
        <v>2424</v>
      </c>
      <c r="D3560" t="s">
        <v>238</v>
      </c>
      <c r="E3560" t="s">
        <v>629</v>
      </c>
      <c r="F3560" t="s">
        <v>632</v>
      </c>
      <c r="G3560" t="s">
        <v>2283</v>
      </c>
      <c r="T3560">
        <v>25</v>
      </c>
      <c r="U3560">
        <v>19</v>
      </c>
      <c r="V3560">
        <v>32</v>
      </c>
      <c r="W3560">
        <v>22</v>
      </c>
      <c r="X3560">
        <v>35</v>
      </c>
      <c r="Y3560">
        <v>33</v>
      </c>
      <c r="Z3560">
        <v>53</v>
      </c>
      <c r="AA3560">
        <v>47</v>
      </c>
      <c r="AB3560">
        <v>37</v>
      </c>
      <c r="AC3560">
        <v>36</v>
      </c>
      <c r="AD3560">
        <v>15</v>
      </c>
      <c r="AF3560">
        <v>11</v>
      </c>
      <c r="CH3560" t="str">
        <f t="shared" si="55"/>
        <v>D-0267</v>
      </c>
    </row>
    <row r="3561" spans="1:86">
      <c r="A3561" t="s">
        <v>5359</v>
      </c>
      <c r="B3561">
        <v>231</v>
      </c>
      <c r="C3561" t="s">
        <v>2424</v>
      </c>
      <c r="D3561" t="s">
        <v>238</v>
      </c>
      <c r="E3561" t="s">
        <v>629</v>
      </c>
      <c r="F3561" t="s">
        <v>632</v>
      </c>
      <c r="G3561" t="s">
        <v>2283</v>
      </c>
      <c r="T3561">
        <v>8</v>
      </c>
      <c r="U3561">
        <v>14</v>
      </c>
      <c r="V3561">
        <v>17</v>
      </c>
      <c r="W3561">
        <v>17</v>
      </c>
      <c r="X3561">
        <v>18</v>
      </c>
      <c r="Y3561">
        <v>27</v>
      </c>
      <c r="Z3561">
        <v>25</v>
      </c>
      <c r="AA3561">
        <v>28</v>
      </c>
      <c r="AB3561">
        <v>26</v>
      </c>
      <c r="AC3561">
        <v>17</v>
      </c>
      <c r="AD3561">
        <v>20</v>
      </c>
      <c r="AF3561">
        <v>14</v>
      </c>
      <c r="CH3561" t="str">
        <f t="shared" si="55"/>
        <v>D-0267</v>
      </c>
    </row>
    <row r="3562" spans="1:86">
      <c r="A3562" t="s">
        <v>5360</v>
      </c>
      <c r="B3562">
        <v>866</v>
      </c>
      <c r="C3562" t="s">
        <v>2424</v>
      </c>
      <c r="D3562" t="s">
        <v>238</v>
      </c>
      <c r="E3562" t="s">
        <v>629</v>
      </c>
      <c r="F3562" t="s">
        <v>632</v>
      </c>
      <c r="G3562" t="s">
        <v>2283</v>
      </c>
      <c r="T3562">
        <v>43</v>
      </c>
      <c r="U3562">
        <v>58</v>
      </c>
      <c r="V3562">
        <v>55</v>
      </c>
      <c r="W3562">
        <v>68</v>
      </c>
      <c r="X3562">
        <v>95</v>
      </c>
      <c r="Y3562">
        <v>103</v>
      </c>
      <c r="Z3562">
        <v>77</v>
      </c>
      <c r="AA3562">
        <v>92</v>
      </c>
      <c r="AB3562">
        <v>96</v>
      </c>
      <c r="AC3562">
        <v>57</v>
      </c>
      <c r="AD3562">
        <v>71</v>
      </c>
      <c r="AF3562">
        <v>51</v>
      </c>
      <c r="CH3562" t="str">
        <f t="shared" si="55"/>
        <v>D-0267</v>
      </c>
    </row>
    <row r="3563" spans="1:86">
      <c r="A3563" t="s">
        <v>5361</v>
      </c>
      <c r="B3563">
        <v>304</v>
      </c>
      <c r="C3563" t="s">
        <v>2424</v>
      </c>
      <c r="D3563" t="s">
        <v>238</v>
      </c>
      <c r="E3563" t="s">
        <v>629</v>
      </c>
      <c r="F3563" t="s">
        <v>632</v>
      </c>
      <c r="G3563" t="s">
        <v>2283</v>
      </c>
      <c r="T3563">
        <v>17</v>
      </c>
      <c r="U3563">
        <v>20</v>
      </c>
      <c r="V3563">
        <v>20</v>
      </c>
      <c r="W3563">
        <v>19</v>
      </c>
      <c r="X3563">
        <v>36</v>
      </c>
      <c r="Y3563">
        <v>35</v>
      </c>
      <c r="Z3563">
        <v>33</v>
      </c>
      <c r="AA3563">
        <v>25</v>
      </c>
      <c r="AB3563">
        <v>35</v>
      </c>
      <c r="AC3563">
        <v>21</v>
      </c>
      <c r="AD3563">
        <v>21</v>
      </c>
      <c r="AF3563">
        <v>22</v>
      </c>
      <c r="CH3563" t="str">
        <f t="shared" si="55"/>
        <v>D-0267</v>
      </c>
    </row>
    <row r="3564" spans="1:86">
      <c r="A3564" t="s">
        <v>5362</v>
      </c>
      <c r="B3564">
        <v>801</v>
      </c>
      <c r="C3564" t="s">
        <v>2424</v>
      </c>
      <c r="D3564" t="s">
        <v>238</v>
      </c>
      <c r="E3564" t="s">
        <v>629</v>
      </c>
      <c r="F3564" t="s">
        <v>632</v>
      </c>
      <c r="G3564" t="s">
        <v>2283</v>
      </c>
      <c r="V3564">
        <v>60</v>
      </c>
      <c r="W3564">
        <v>54</v>
      </c>
      <c r="X3564">
        <v>81</v>
      </c>
      <c r="Y3564">
        <v>84</v>
      </c>
      <c r="Z3564">
        <v>90</v>
      </c>
      <c r="AA3564">
        <v>108</v>
      </c>
      <c r="AB3564">
        <v>78</v>
      </c>
      <c r="AC3564">
        <v>78</v>
      </c>
      <c r="AD3564">
        <v>96</v>
      </c>
      <c r="AF3564">
        <v>72</v>
      </c>
      <c r="CH3564" t="str">
        <f t="shared" si="55"/>
        <v>D-0267</v>
      </c>
    </row>
    <row r="3565" spans="1:86">
      <c r="A3565" t="s">
        <v>5363</v>
      </c>
      <c r="B3565">
        <v>1005</v>
      </c>
      <c r="C3565" t="s">
        <v>2424</v>
      </c>
      <c r="D3565" t="s">
        <v>238</v>
      </c>
      <c r="E3565" t="s">
        <v>629</v>
      </c>
      <c r="F3565" t="s">
        <v>632</v>
      </c>
      <c r="G3565" t="s">
        <v>2283</v>
      </c>
      <c r="V3565">
        <v>96</v>
      </c>
      <c r="W3565">
        <v>96</v>
      </c>
      <c r="X3565">
        <v>105</v>
      </c>
      <c r="Y3565">
        <v>102</v>
      </c>
      <c r="Z3565">
        <v>102</v>
      </c>
      <c r="AA3565">
        <v>108</v>
      </c>
      <c r="AB3565">
        <v>120</v>
      </c>
      <c r="AC3565">
        <v>90</v>
      </c>
      <c r="AD3565">
        <v>96</v>
      </c>
      <c r="AF3565">
        <v>90</v>
      </c>
      <c r="CH3565" t="str">
        <f t="shared" si="55"/>
        <v>D-0267</v>
      </c>
    </row>
    <row r="3566" spans="1:86">
      <c r="A3566" t="s">
        <v>5364</v>
      </c>
      <c r="B3566">
        <v>303</v>
      </c>
      <c r="C3566" t="s">
        <v>2424</v>
      </c>
      <c r="D3566" t="s">
        <v>238</v>
      </c>
      <c r="E3566" t="s">
        <v>629</v>
      </c>
      <c r="F3566" t="s">
        <v>632</v>
      </c>
      <c r="G3566" t="s">
        <v>2283</v>
      </c>
      <c r="T3566">
        <v>12</v>
      </c>
      <c r="U3566">
        <v>12</v>
      </c>
      <c r="V3566">
        <v>18</v>
      </c>
      <c r="W3566">
        <v>12</v>
      </c>
      <c r="X3566">
        <v>33</v>
      </c>
      <c r="Y3566">
        <v>24</v>
      </c>
      <c r="Z3566">
        <v>24</v>
      </c>
      <c r="AA3566">
        <v>30</v>
      </c>
      <c r="AB3566">
        <v>36</v>
      </c>
      <c r="AC3566">
        <v>18</v>
      </c>
      <c r="AD3566">
        <v>24</v>
      </c>
      <c r="AF3566">
        <v>18</v>
      </c>
      <c r="AH3566">
        <v>18</v>
      </c>
      <c r="AJ3566">
        <v>24</v>
      </c>
      <c r="CH3566" t="str">
        <f t="shared" si="55"/>
        <v>D-0267</v>
      </c>
    </row>
    <row r="3567" spans="1:86">
      <c r="A3567" t="s">
        <v>5365</v>
      </c>
      <c r="B3567">
        <v>309</v>
      </c>
      <c r="C3567" t="s">
        <v>2424</v>
      </c>
      <c r="D3567" t="s">
        <v>238</v>
      </c>
      <c r="E3567" t="s">
        <v>629</v>
      </c>
      <c r="F3567" t="s">
        <v>632</v>
      </c>
      <c r="G3567" t="s">
        <v>2283</v>
      </c>
      <c r="T3567">
        <v>12</v>
      </c>
      <c r="U3567">
        <v>12</v>
      </c>
      <c r="V3567">
        <v>24</v>
      </c>
      <c r="W3567">
        <v>24</v>
      </c>
      <c r="X3567">
        <v>27</v>
      </c>
      <c r="Y3567">
        <v>30</v>
      </c>
      <c r="Z3567">
        <v>30</v>
      </c>
      <c r="AA3567">
        <v>36</v>
      </c>
      <c r="AB3567">
        <v>30</v>
      </c>
      <c r="AC3567">
        <v>24</v>
      </c>
      <c r="AD3567">
        <v>30</v>
      </c>
      <c r="AF3567">
        <v>24</v>
      </c>
      <c r="AH3567">
        <v>6</v>
      </c>
      <c r="CH3567" t="str">
        <f t="shared" si="55"/>
        <v>D-0267</v>
      </c>
    </row>
    <row r="3568" spans="1:86">
      <c r="A3568" t="s">
        <v>5366</v>
      </c>
      <c r="B3568">
        <v>1115</v>
      </c>
      <c r="C3568" t="s">
        <v>4549</v>
      </c>
      <c r="D3568" t="s">
        <v>238</v>
      </c>
      <c r="E3568" t="s">
        <v>629</v>
      </c>
      <c r="F3568" t="s">
        <v>632</v>
      </c>
      <c r="G3568" t="s">
        <v>3389</v>
      </c>
      <c r="R3568">
        <v>10</v>
      </c>
      <c r="S3568">
        <v>9</v>
      </c>
      <c r="T3568">
        <v>30</v>
      </c>
      <c r="U3568">
        <v>35</v>
      </c>
      <c r="V3568">
        <v>66</v>
      </c>
      <c r="W3568">
        <v>71</v>
      </c>
      <c r="X3568">
        <v>104</v>
      </c>
      <c r="Y3568">
        <v>108</v>
      </c>
      <c r="Z3568">
        <v>128</v>
      </c>
      <c r="AA3568">
        <v>127</v>
      </c>
      <c r="AB3568">
        <v>125</v>
      </c>
      <c r="AC3568">
        <v>74</v>
      </c>
      <c r="AD3568">
        <v>100</v>
      </c>
      <c r="AE3568">
        <v>15</v>
      </c>
      <c r="AF3568">
        <v>72</v>
      </c>
      <c r="AH3568">
        <v>28</v>
      </c>
      <c r="AJ3568">
        <v>13</v>
      </c>
      <c r="CH3568" t="str">
        <f t="shared" si="55"/>
        <v>D-0267</v>
      </c>
    </row>
    <row r="3569" spans="1:86">
      <c r="A3569" t="s">
        <v>5367</v>
      </c>
      <c r="B3569">
        <v>1107</v>
      </c>
      <c r="C3569" t="s">
        <v>4549</v>
      </c>
      <c r="D3569" t="s">
        <v>238</v>
      </c>
      <c r="E3569" t="s">
        <v>629</v>
      </c>
      <c r="F3569" t="s">
        <v>632</v>
      </c>
      <c r="G3569" t="s">
        <v>3389</v>
      </c>
      <c r="R3569">
        <v>9</v>
      </c>
      <c r="S3569">
        <v>8</v>
      </c>
      <c r="T3569">
        <v>29</v>
      </c>
      <c r="U3569">
        <v>34</v>
      </c>
      <c r="V3569">
        <v>66</v>
      </c>
      <c r="W3569">
        <v>71</v>
      </c>
      <c r="X3569">
        <v>103</v>
      </c>
      <c r="Y3569">
        <v>108</v>
      </c>
      <c r="Z3569">
        <v>128</v>
      </c>
      <c r="AA3569">
        <v>126</v>
      </c>
      <c r="AB3569">
        <v>125</v>
      </c>
      <c r="AC3569">
        <v>73</v>
      </c>
      <c r="AD3569">
        <v>99</v>
      </c>
      <c r="AE3569">
        <v>15</v>
      </c>
      <c r="AF3569">
        <v>72</v>
      </c>
      <c r="AH3569">
        <v>28</v>
      </c>
      <c r="AJ3569">
        <v>13</v>
      </c>
      <c r="CH3569" t="str">
        <f t="shared" si="55"/>
        <v>D-0267</v>
      </c>
    </row>
    <row r="3570" spans="1:86">
      <c r="A3570" t="s">
        <v>5368</v>
      </c>
      <c r="B3570">
        <v>246</v>
      </c>
      <c r="C3570" t="s">
        <v>4549</v>
      </c>
      <c r="D3570" t="s">
        <v>238</v>
      </c>
      <c r="E3570" t="s">
        <v>629</v>
      </c>
      <c r="F3570" t="s">
        <v>632</v>
      </c>
      <c r="G3570" t="s">
        <v>3389</v>
      </c>
      <c r="T3570">
        <v>6</v>
      </c>
      <c r="U3570">
        <v>6</v>
      </c>
      <c r="V3570">
        <v>18</v>
      </c>
      <c r="W3570">
        <v>18</v>
      </c>
      <c r="X3570">
        <v>24</v>
      </c>
      <c r="Y3570">
        <v>24</v>
      </c>
      <c r="Z3570">
        <v>24</v>
      </c>
      <c r="AA3570">
        <v>30</v>
      </c>
      <c r="AB3570">
        <v>30</v>
      </c>
      <c r="AC3570">
        <v>18</v>
      </c>
      <c r="AD3570">
        <v>24</v>
      </c>
      <c r="AF3570">
        <v>18</v>
      </c>
      <c r="AH3570">
        <v>6</v>
      </c>
      <c r="CH3570" t="str">
        <f t="shared" si="55"/>
        <v>D-0267</v>
      </c>
    </row>
    <row r="3571" spans="1:86">
      <c r="A3571" t="s">
        <v>5369</v>
      </c>
      <c r="B3571">
        <v>1473</v>
      </c>
      <c r="C3571" t="s">
        <v>4549</v>
      </c>
      <c r="D3571" t="s">
        <v>238</v>
      </c>
      <c r="E3571" t="s">
        <v>629</v>
      </c>
      <c r="F3571" t="s">
        <v>632</v>
      </c>
      <c r="G3571" t="s">
        <v>3389</v>
      </c>
      <c r="R3571">
        <v>12</v>
      </c>
      <c r="S3571">
        <v>15</v>
      </c>
      <c r="T3571">
        <v>31</v>
      </c>
      <c r="U3571">
        <v>46</v>
      </c>
      <c r="V3571">
        <v>77</v>
      </c>
      <c r="W3571">
        <v>98</v>
      </c>
      <c r="X3571">
        <v>126</v>
      </c>
      <c r="Y3571">
        <v>145</v>
      </c>
      <c r="Z3571">
        <v>160</v>
      </c>
      <c r="AA3571">
        <v>178</v>
      </c>
      <c r="AB3571">
        <v>160</v>
      </c>
      <c r="AC3571">
        <v>102</v>
      </c>
      <c r="AD3571">
        <v>126</v>
      </c>
      <c r="AE3571">
        <v>35</v>
      </c>
      <c r="AF3571">
        <v>88</v>
      </c>
      <c r="AH3571">
        <v>44</v>
      </c>
      <c r="AJ3571">
        <v>30</v>
      </c>
      <c r="CH3571" t="str">
        <f t="shared" si="55"/>
        <v>D-0267</v>
      </c>
    </row>
    <row r="3572" spans="1:86">
      <c r="A3572" t="s">
        <v>5370</v>
      </c>
      <c r="B3572">
        <v>1116</v>
      </c>
      <c r="C3572" t="s">
        <v>4549</v>
      </c>
      <c r="D3572" t="s">
        <v>238</v>
      </c>
      <c r="E3572" t="s">
        <v>629</v>
      </c>
      <c r="F3572" t="s">
        <v>632</v>
      </c>
      <c r="G3572" t="s">
        <v>3389</v>
      </c>
      <c r="R3572">
        <v>10</v>
      </c>
      <c r="S3572">
        <v>13</v>
      </c>
      <c r="T3572">
        <v>25</v>
      </c>
      <c r="U3572">
        <v>37</v>
      </c>
      <c r="V3572">
        <v>59</v>
      </c>
      <c r="W3572">
        <v>74</v>
      </c>
      <c r="X3572">
        <v>94</v>
      </c>
      <c r="Y3572">
        <v>107</v>
      </c>
      <c r="Z3572">
        <v>120</v>
      </c>
      <c r="AA3572">
        <v>133</v>
      </c>
      <c r="AB3572">
        <v>120</v>
      </c>
      <c r="AC3572">
        <v>77</v>
      </c>
      <c r="AD3572">
        <v>95</v>
      </c>
      <c r="AE3572">
        <v>27</v>
      </c>
      <c r="AF3572">
        <v>67</v>
      </c>
      <c r="AH3572">
        <v>33</v>
      </c>
      <c r="AJ3572">
        <v>25</v>
      </c>
      <c r="CH3572" t="str">
        <f t="shared" si="55"/>
        <v>D-0267</v>
      </c>
    </row>
    <row r="3573" spans="1:86">
      <c r="A3573" t="s">
        <v>5371</v>
      </c>
      <c r="B3573">
        <v>1016</v>
      </c>
      <c r="C3573" t="s">
        <v>4552</v>
      </c>
      <c r="D3573" t="s">
        <v>238</v>
      </c>
      <c r="E3573" t="s">
        <v>629</v>
      </c>
      <c r="F3573" t="s">
        <v>632</v>
      </c>
      <c r="G3573" t="s">
        <v>2283</v>
      </c>
      <c r="T3573">
        <v>2</v>
      </c>
      <c r="U3573">
        <v>11</v>
      </c>
      <c r="V3573">
        <v>83</v>
      </c>
      <c r="W3573">
        <v>129</v>
      </c>
      <c r="X3573">
        <v>150</v>
      </c>
      <c r="Y3573">
        <v>159</v>
      </c>
      <c r="Z3573">
        <v>165</v>
      </c>
      <c r="AA3573">
        <v>154</v>
      </c>
      <c r="AB3573">
        <v>102</v>
      </c>
      <c r="AC3573">
        <v>7</v>
      </c>
      <c r="AD3573">
        <v>47</v>
      </c>
      <c r="AF3573">
        <v>5</v>
      </c>
      <c r="AH3573">
        <v>1</v>
      </c>
      <c r="AJ3573">
        <v>1</v>
      </c>
      <c r="CH3573" t="str">
        <f t="shared" si="55"/>
        <v>D-0267</v>
      </c>
    </row>
    <row r="3574" spans="1:86">
      <c r="A3574" t="s">
        <v>5372</v>
      </c>
      <c r="B3574">
        <v>1301</v>
      </c>
      <c r="C3574" t="s">
        <v>4552</v>
      </c>
      <c r="D3574" t="s">
        <v>238</v>
      </c>
      <c r="E3574" t="s">
        <v>629</v>
      </c>
      <c r="F3574" t="s">
        <v>632</v>
      </c>
      <c r="G3574" t="s">
        <v>2283</v>
      </c>
      <c r="R3574">
        <v>2</v>
      </c>
      <c r="S3574">
        <v>12</v>
      </c>
      <c r="T3574">
        <v>87</v>
      </c>
      <c r="U3574">
        <v>100</v>
      </c>
      <c r="V3574">
        <v>182</v>
      </c>
      <c r="W3574">
        <v>214</v>
      </c>
      <c r="X3574">
        <v>197</v>
      </c>
      <c r="Y3574">
        <v>190</v>
      </c>
      <c r="Z3574">
        <v>139</v>
      </c>
      <c r="AA3574">
        <v>77</v>
      </c>
      <c r="AB3574">
        <v>69</v>
      </c>
      <c r="AC3574">
        <v>2</v>
      </c>
      <c r="AD3574">
        <v>26</v>
      </c>
      <c r="AF3574">
        <v>4</v>
      </c>
      <c r="CH3574" t="str">
        <f t="shared" si="55"/>
        <v>D-0267</v>
      </c>
    </row>
    <row r="3575" spans="1:86">
      <c r="A3575" t="s">
        <v>5373</v>
      </c>
      <c r="B3575">
        <v>1780</v>
      </c>
      <c r="C3575" t="s">
        <v>4552</v>
      </c>
      <c r="D3575" t="s">
        <v>238</v>
      </c>
      <c r="E3575" t="s">
        <v>629</v>
      </c>
      <c r="F3575" t="s">
        <v>632</v>
      </c>
      <c r="G3575" t="s">
        <v>2283</v>
      </c>
      <c r="R3575">
        <v>15</v>
      </c>
      <c r="S3575">
        <v>13</v>
      </c>
      <c r="T3575">
        <v>47</v>
      </c>
      <c r="U3575">
        <v>55</v>
      </c>
      <c r="V3575">
        <v>106</v>
      </c>
      <c r="W3575">
        <v>114</v>
      </c>
      <c r="X3575">
        <v>165</v>
      </c>
      <c r="Y3575">
        <v>174</v>
      </c>
      <c r="Z3575">
        <v>206</v>
      </c>
      <c r="AA3575">
        <v>204</v>
      </c>
      <c r="AB3575">
        <v>201</v>
      </c>
      <c r="AC3575">
        <v>118</v>
      </c>
      <c r="AD3575">
        <v>160</v>
      </c>
      <c r="AE3575">
        <v>23</v>
      </c>
      <c r="AF3575">
        <v>115</v>
      </c>
      <c r="AH3575">
        <v>44</v>
      </c>
      <c r="AJ3575">
        <v>20</v>
      </c>
      <c r="CH3575" t="str">
        <f t="shared" si="55"/>
        <v>D-0267</v>
      </c>
    </row>
    <row r="3576" spans="1:86">
      <c r="A3576" t="s">
        <v>5374</v>
      </c>
      <c r="B3576">
        <v>3063</v>
      </c>
      <c r="C3576" t="s">
        <v>1156</v>
      </c>
      <c r="D3576" t="s">
        <v>238</v>
      </c>
      <c r="E3576" t="s">
        <v>629</v>
      </c>
      <c r="F3576" t="s">
        <v>632</v>
      </c>
      <c r="G3576" t="s">
        <v>3539</v>
      </c>
      <c r="V3576">
        <v>510</v>
      </c>
      <c r="W3576">
        <v>510</v>
      </c>
      <c r="X3576">
        <v>513</v>
      </c>
      <c r="Y3576">
        <v>510</v>
      </c>
      <c r="Z3576">
        <v>510</v>
      </c>
      <c r="AA3576">
        <v>510</v>
      </c>
      <c r="CH3576" t="str">
        <f t="shared" si="55"/>
        <v>D-0267</v>
      </c>
    </row>
    <row r="3577" spans="1:86">
      <c r="A3577" t="s">
        <v>5375</v>
      </c>
      <c r="B3577">
        <v>1383</v>
      </c>
      <c r="C3577" t="s">
        <v>1156</v>
      </c>
      <c r="D3577" t="s">
        <v>238</v>
      </c>
      <c r="E3577" t="s">
        <v>629</v>
      </c>
      <c r="F3577" t="s">
        <v>632</v>
      </c>
      <c r="G3577" t="s">
        <v>3539</v>
      </c>
      <c r="V3577">
        <v>126</v>
      </c>
      <c r="W3577">
        <v>138</v>
      </c>
      <c r="X3577">
        <v>279</v>
      </c>
      <c r="Y3577">
        <v>294</v>
      </c>
      <c r="AA3577">
        <v>12</v>
      </c>
      <c r="AB3577">
        <v>324</v>
      </c>
      <c r="AC3577">
        <v>60</v>
      </c>
      <c r="AD3577">
        <v>114</v>
      </c>
      <c r="AF3577">
        <v>36</v>
      </c>
      <c r="CH3577" t="str">
        <f t="shared" si="55"/>
        <v>D-0267</v>
      </c>
    </row>
    <row r="3578" spans="1:86">
      <c r="A3578" t="s">
        <v>5376</v>
      </c>
      <c r="B3578">
        <v>3063</v>
      </c>
      <c r="C3578" t="s">
        <v>1156</v>
      </c>
      <c r="D3578" t="s">
        <v>238</v>
      </c>
      <c r="E3578" t="s">
        <v>629</v>
      </c>
      <c r="F3578" t="s">
        <v>632</v>
      </c>
      <c r="G3578" t="s">
        <v>3539</v>
      </c>
      <c r="Z3578">
        <v>513</v>
      </c>
      <c r="AA3578">
        <v>510</v>
      </c>
      <c r="AB3578">
        <v>510</v>
      </c>
      <c r="AC3578">
        <v>510</v>
      </c>
      <c r="AD3578">
        <v>510</v>
      </c>
      <c r="AF3578">
        <v>510</v>
      </c>
      <c r="CH3578" t="str">
        <f t="shared" si="55"/>
        <v>D-0267</v>
      </c>
    </row>
    <row r="3579" spans="1:86">
      <c r="A3579" t="s">
        <v>5377</v>
      </c>
      <c r="B3579">
        <v>242</v>
      </c>
      <c r="C3579" t="s">
        <v>1156</v>
      </c>
      <c r="D3579" t="s">
        <v>238</v>
      </c>
      <c r="E3579" t="s">
        <v>629</v>
      </c>
      <c r="F3579" t="s">
        <v>632</v>
      </c>
      <c r="G3579" t="s">
        <v>3539</v>
      </c>
      <c r="R3579">
        <v>3</v>
      </c>
      <c r="S3579">
        <v>3</v>
      </c>
      <c r="T3579">
        <v>6</v>
      </c>
      <c r="U3579">
        <v>7</v>
      </c>
      <c r="V3579">
        <v>14</v>
      </c>
      <c r="W3579">
        <v>15</v>
      </c>
      <c r="X3579">
        <v>22</v>
      </c>
      <c r="Y3579">
        <v>23</v>
      </c>
      <c r="Z3579">
        <v>28</v>
      </c>
      <c r="AA3579">
        <v>28</v>
      </c>
      <c r="AB3579">
        <v>27</v>
      </c>
      <c r="AC3579">
        <v>16</v>
      </c>
      <c r="AD3579">
        <v>22</v>
      </c>
      <c r="AE3579">
        <v>3</v>
      </c>
      <c r="AF3579">
        <v>16</v>
      </c>
      <c r="AH3579">
        <v>6</v>
      </c>
      <c r="AJ3579">
        <v>3</v>
      </c>
      <c r="CH3579" t="str">
        <f t="shared" si="55"/>
        <v>D-0267</v>
      </c>
    </row>
    <row r="3580" spans="1:86">
      <c r="A3580" t="s">
        <v>5378</v>
      </c>
      <c r="B3580">
        <v>3123</v>
      </c>
      <c r="C3580" t="s">
        <v>3547</v>
      </c>
      <c r="D3580" t="s">
        <v>238</v>
      </c>
      <c r="E3580" t="s">
        <v>642</v>
      </c>
      <c r="F3580" t="s">
        <v>645</v>
      </c>
      <c r="G3580" t="s">
        <v>2593</v>
      </c>
      <c r="P3580">
        <v>24</v>
      </c>
      <c r="Q3580">
        <v>36</v>
      </c>
      <c r="R3580">
        <v>204</v>
      </c>
      <c r="S3580">
        <v>306</v>
      </c>
      <c r="T3580">
        <v>495</v>
      </c>
      <c r="U3580">
        <v>300</v>
      </c>
      <c r="V3580">
        <v>450</v>
      </c>
      <c r="W3580">
        <v>432</v>
      </c>
      <c r="X3580">
        <v>390</v>
      </c>
      <c r="Y3580">
        <v>108</v>
      </c>
      <c r="Z3580">
        <v>144</v>
      </c>
      <c r="AB3580">
        <v>210</v>
      </c>
      <c r="AD3580">
        <v>24</v>
      </c>
      <c r="CH3580" t="str">
        <f t="shared" si="55"/>
        <v>D-0267</v>
      </c>
    </row>
    <row r="3581" spans="1:86">
      <c r="A3581" t="s">
        <v>5379</v>
      </c>
      <c r="B3581">
        <v>2007</v>
      </c>
      <c r="C3581" t="s">
        <v>3547</v>
      </c>
      <c r="D3581" t="s">
        <v>238</v>
      </c>
      <c r="E3581" t="s">
        <v>642</v>
      </c>
      <c r="F3581" t="s">
        <v>645</v>
      </c>
      <c r="G3581" t="s">
        <v>2593</v>
      </c>
      <c r="U3581">
        <v>334</v>
      </c>
      <c r="V3581">
        <v>337</v>
      </c>
      <c r="W3581">
        <v>334</v>
      </c>
      <c r="X3581">
        <v>334</v>
      </c>
      <c r="Y3581">
        <v>334</v>
      </c>
      <c r="Z3581">
        <v>334</v>
      </c>
      <c r="CH3581" t="str">
        <f t="shared" si="55"/>
        <v>D-0267</v>
      </c>
    </row>
    <row r="3582" spans="1:86">
      <c r="A3582" t="s">
        <v>5380</v>
      </c>
      <c r="B3582">
        <v>1896</v>
      </c>
      <c r="C3582" t="s">
        <v>3547</v>
      </c>
      <c r="D3582" t="s">
        <v>238</v>
      </c>
      <c r="E3582" t="s">
        <v>642</v>
      </c>
      <c r="F3582" t="s">
        <v>645</v>
      </c>
      <c r="G3582" t="s">
        <v>2593</v>
      </c>
      <c r="R3582">
        <v>107</v>
      </c>
      <c r="S3582">
        <v>146</v>
      </c>
      <c r="T3582">
        <v>288</v>
      </c>
      <c r="U3582">
        <v>279</v>
      </c>
      <c r="V3582">
        <v>382</v>
      </c>
      <c r="W3582">
        <v>307</v>
      </c>
      <c r="Y3582">
        <v>185</v>
      </c>
      <c r="Z3582">
        <v>169</v>
      </c>
      <c r="AD3582">
        <v>33</v>
      </c>
      <c r="CH3582" t="str">
        <f t="shared" si="55"/>
        <v>D-0267</v>
      </c>
    </row>
    <row r="3583" spans="1:86">
      <c r="A3583" t="s">
        <v>5381</v>
      </c>
      <c r="B3583">
        <v>1503</v>
      </c>
      <c r="C3583" t="s">
        <v>5382</v>
      </c>
      <c r="D3583" t="s">
        <v>238</v>
      </c>
      <c r="E3583" t="s">
        <v>642</v>
      </c>
      <c r="F3583" t="s">
        <v>645</v>
      </c>
      <c r="G3583" t="s">
        <v>5383</v>
      </c>
      <c r="R3583">
        <v>84</v>
      </c>
      <c r="S3583">
        <v>102</v>
      </c>
      <c r="T3583">
        <v>153</v>
      </c>
      <c r="U3583">
        <v>180</v>
      </c>
      <c r="V3583">
        <v>246</v>
      </c>
      <c r="W3583">
        <v>228</v>
      </c>
      <c r="X3583">
        <v>186</v>
      </c>
      <c r="Y3583">
        <v>132</v>
      </c>
      <c r="Z3583">
        <v>126</v>
      </c>
      <c r="AB3583">
        <v>66</v>
      </c>
      <c r="CH3583" t="str">
        <f t="shared" si="55"/>
        <v>D-0267</v>
      </c>
    </row>
    <row r="3584" spans="1:86">
      <c r="A3584" t="s">
        <v>5384</v>
      </c>
      <c r="B3584">
        <v>2103</v>
      </c>
      <c r="C3584" t="s">
        <v>5382</v>
      </c>
      <c r="D3584" t="s">
        <v>238</v>
      </c>
      <c r="E3584" t="s">
        <v>642</v>
      </c>
      <c r="F3584" t="s">
        <v>645</v>
      </c>
      <c r="G3584" t="s">
        <v>5383</v>
      </c>
      <c r="R3584">
        <v>114</v>
      </c>
      <c r="S3584">
        <v>138</v>
      </c>
      <c r="T3584">
        <v>219</v>
      </c>
      <c r="U3584">
        <v>252</v>
      </c>
      <c r="V3584">
        <v>342</v>
      </c>
      <c r="W3584">
        <v>324</v>
      </c>
      <c r="X3584">
        <v>264</v>
      </c>
      <c r="Y3584">
        <v>186</v>
      </c>
      <c r="Z3584">
        <v>174</v>
      </c>
      <c r="AB3584">
        <v>90</v>
      </c>
      <c r="CH3584" t="str">
        <f t="shared" si="55"/>
        <v>D-0267</v>
      </c>
    </row>
    <row r="3585" spans="1:86">
      <c r="A3585" t="s">
        <v>5385</v>
      </c>
      <c r="B3585">
        <v>1005</v>
      </c>
      <c r="C3585" t="s">
        <v>5382</v>
      </c>
      <c r="D3585" t="s">
        <v>238</v>
      </c>
      <c r="E3585" t="s">
        <v>642</v>
      </c>
      <c r="F3585" t="s">
        <v>645</v>
      </c>
      <c r="G3585" t="s">
        <v>5383</v>
      </c>
      <c r="U3585">
        <v>54</v>
      </c>
      <c r="V3585">
        <v>21</v>
      </c>
      <c r="W3585">
        <v>174</v>
      </c>
      <c r="X3585">
        <v>318</v>
      </c>
      <c r="Y3585">
        <v>150</v>
      </c>
      <c r="Z3585">
        <v>258</v>
      </c>
      <c r="AB3585">
        <v>30</v>
      </c>
      <c r="CH3585" t="str">
        <f t="shared" si="55"/>
        <v>D-0267</v>
      </c>
    </row>
    <row r="3586" spans="1:86">
      <c r="A3586" t="s">
        <v>5386</v>
      </c>
      <c r="B3586">
        <v>1166</v>
      </c>
      <c r="C3586" t="s">
        <v>5382</v>
      </c>
      <c r="D3586" t="s">
        <v>238</v>
      </c>
      <c r="E3586" t="s">
        <v>642</v>
      </c>
      <c r="F3586" t="s">
        <v>645</v>
      </c>
      <c r="G3586" t="s">
        <v>5383</v>
      </c>
      <c r="P3586">
        <v>16</v>
      </c>
      <c r="Q3586">
        <v>2</v>
      </c>
      <c r="R3586">
        <v>56</v>
      </c>
      <c r="S3586">
        <v>62</v>
      </c>
      <c r="T3586">
        <v>114</v>
      </c>
      <c r="U3586">
        <v>148</v>
      </c>
      <c r="V3586">
        <v>154</v>
      </c>
      <c r="W3586">
        <v>169</v>
      </c>
      <c r="X3586">
        <v>147</v>
      </c>
      <c r="Y3586">
        <v>111</v>
      </c>
      <c r="Z3586">
        <v>87</v>
      </c>
      <c r="AA3586">
        <v>37</v>
      </c>
      <c r="AB3586">
        <v>48</v>
      </c>
      <c r="AC3586">
        <v>5</v>
      </c>
      <c r="AD3586">
        <v>10</v>
      </c>
      <c r="CH3586" t="str">
        <f t="shared" ref="CH3586:CH3649" si="56">TRIM(IFERROR(IFERROR(MID($D3586,FIND("(D-",$D3586)+1,6),LEFT($D3586,FIND("(",$D3586)-1)),$D3586))</f>
        <v>D-0267</v>
      </c>
    </row>
    <row r="3587" spans="1:86">
      <c r="A3587" t="s">
        <v>5387</v>
      </c>
      <c r="B3587">
        <v>747</v>
      </c>
      <c r="C3587" t="s">
        <v>4446</v>
      </c>
      <c r="D3587" t="s">
        <v>238</v>
      </c>
      <c r="E3587" t="s">
        <v>629</v>
      </c>
      <c r="F3587" t="s">
        <v>632</v>
      </c>
      <c r="G3587" t="s">
        <v>4447</v>
      </c>
      <c r="T3587">
        <v>12</v>
      </c>
      <c r="U3587">
        <v>18</v>
      </c>
      <c r="V3587">
        <v>60</v>
      </c>
      <c r="W3587">
        <v>48</v>
      </c>
      <c r="X3587">
        <v>105</v>
      </c>
      <c r="Y3587">
        <v>102</v>
      </c>
      <c r="Z3587">
        <v>120</v>
      </c>
      <c r="AA3587">
        <v>78</v>
      </c>
      <c r="AB3587">
        <v>96</v>
      </c>
      <c r="AC3587">
        <v>30</v>
      </c>
      <c r="AD3587">
        <v>42</v>
      </c>
      <c r="AE3587">
        <v>12</v>
      </c>
      <c r="AF3587">
        <v>18</v>
      </c>
      <c r="AJ3587">
        <v>6</v>
      </c>
      <c r="CH3587" t="str">
        <f t="shared" si="56"/>
        <v>D-0267</v>
      </c>
    </row>
    <row r="3588" spans="1:86">
      <c r="A3588" t="s">
        <v>5388</v>
      </c>
      <c r="B3588">
        <v>5003</v>
      </c>
      <c r="C3588" t="s">
        <v>4446</v>
      </c>
      <c r="D3588" t="s">
        <v>238</v>
      </c>
      <c r="E3588" t="s">
        <v>629</v>
      </c>
      <c r="F3588" t="s">
        <v>632</v>
      </c>
      <c r="G3588" t="s">
        <v>4447</v>
      </c>
      <c r="T3588">
        <v>119</v>
      </c>
      <c r="U3588">
        <v>148</v>
      </c>
      <c r="V3588">
        <v>326</v>
      </c>
      <c r="W3588">
        <v>381</v>
      </c>
      <c r="X3588">
        <v>522</v>
      </c>
      <c r="Y3588">
        <v>557</v>
      </c>
      <c r="Z3588">
        <v>628</v>
      </c>
      <c r="AA3588">
        <v>614</v>
      </c>
      <c r="AB3588">
        <v>586</v>
      </c>
      <c r="AC3588">
        <v>349</v>
      </c>
      <c r="AD3588">
        <v>449</v>
      </c>
      <c r="AE3588">
        <v>33</v>
      </c>
      <c r="AF3588">
        <v>291</v>
      </c>
      <c r="CH3588" t="str">
        <f t="shared" si="56"/>
        <v>D-0267</v>
      </c>
    </row>
    <row r="3589" spans="1:86">
      <c r="A3589" t="s">
        <v>5389</v>
      </c>
      <c r="B3589">
        <v>583</v>
      </c>
      <c r="C3589" t="s">
        <v>4462</v>
      </c>
      <c r="D3589" t="s">
        <v>238</v>
      </c>
      <c r="E3589" t="s">
        <v>642</v>
      </c>
      <c r="F3589" t="s">
        <v>632</v>
      </c>
      <c r="G3589" t="s">
        <v>2593</v>
      </c>
      <c r="R3589">
        <v>30</v>
      </c>
      <c r="S3589">
        <v>29</v>
      </c>
      <c r="T3589">
        <v>62</v>
      </c>
      <c r="U3589">
        <v>93</v>
      </c>
      <c r="V3589">
        <v>80</v>
      </c>
      <c r="W3589">
        <v>89</v>
      </c>
      <c r="X3589">
        <v>74</v>
      </c>
      <c r="Y3589">
        <v>56</v>
      </c>
      <c r="Z3589">
        <v>44</v>
      </c>
      <c r="AB3589">
        <v>23</v>
      </c>
      <c r="AC3589">
        <v>3</v>
      </c>
      <c r="CH3589" t="str">
        <f t="shared" si="56"/>
        <v>D-0267</v>
      </c>
    </row>
    <row r="3590" spans="1:86">
      <c r="A3590" t="s">
        <v>5390</v>
      </c>
      <c r="B3590">
        <v>6003</v>
      </c>
      <c r="C3590" t="s">
        <v>4462</v>
      </c>
      <c r="D3590" t="s">
        <v>238</v>
      </c>
      <c r="E3590" t="s">
        <v>642</v>
      </c>
      <c r="F3590" t="s">
        <v>632</v>
      </c>
      <c r="G3590" t="s">
        <v>2593</v>
      </c>
      <c r="P3590">
        <v>82</v>
      </c>
      <c r="Q3590">
        <v>97</v>
      </c>
      <c r="R3590">
        <v>366</v>
      </c>
      <c r="S3590">
        <v>430</v>
      </c>
      <c r="T3590">
        <v>761</v>
      </c>
      <c r="U3590">
        <v>729</v>
      </c>
      <c r="V3590">
        <v>941</v>
      </c>
      <c r="W3590">
        <v>724</v>
      </c>
      <c r="X3590">
        <v>695</v>
      </c>
      <c r="Y3590">
        <v>401</v>
      </c>
      <c r="Z3590">
        <v>403</v>
      </c>
      <c r="AA3590">
        <v>101</v>
      </c>
      <c r="AB3590">
        <v>154</v>
      </c>
      <c r="AC3590">
        <v>56</v>
      </c>
      <c r="AD3590">
        <v>63</v>
      </c>
      <c r="CH3590" t="str">
        <f t="shared" si="56"/>
        <v>D-0267</v>
      </c>
    </row>
    <row r="3591" spans="1:86">
      <c r="A3591" t="s">
        <v>5391</v>
      </c>
      <c r="B3591">
        <v>1203</v>
      </c>
      <c r="C3591" t="s">
        <v>2449</v>
      </c>
      <c r="D3591" t="s">
        <v>238</v>
      </c>
      <c r="E3591" t="s">
        <v>629</v>
      </c>
      <c r="F3591" t="s">
        <v>632</v>
      </c>
      <c r="G3591" t="s">
        <v>2593</v>
      </c>
      <c r="T3591">
        <v>18</v>
      </c>
      <c r="U3591">
        <v>24</v>
      </c>
      <c r="V3591">
        <v>78</v>
      </c>
      <c r="W3591">
        <v>84</v>
      </c>
      <c r="X3591">
        <v>105</v>
      </c>
      <c r="Y3591">
        <v>126</v>
      </c>
      <c r="Z3591">
        <v>132</v>
      </c>
      <c r="AA3591">
        <v>156</v>
      </c>
      <c r="AB3591">
        <v>150</v>
      </c>
      <c r="AC3591">
        <v>54</v>
      </c>
      <c r="AD3591">
        <v>132</v>
      </c>
      <c r="AF3591">
        <v>96</v>
      </c>
      <c r="AH3591">
        <v>24</v>
      </c>
      <c r="AJ3591">
        <v>24</v>
      </c>
      <c r="CH3591" t="str">
        <f t="shared" si="56"/>
        <v>D-0267</v>
      </c>
    </row>
    <row r="3592" spans="1:86">
      <c r="A3592" t="s">
        <v>5392</v>
      </c>
      <c r="B3592">
        <v>3447</v>
      </c>
      <c r="C3592" t="s">
        <v>2449</v>
      </c>
      <c r="D3592" t="s">
        <v>238</v>
      </c>
      <c r="E3592" t="s">
        <v>629</v>
      </c>
      <c r="F3592" t="s">
        <v>632</v>
      </c>
      <c r="G3592" t="s">
        <v>2593</v>
      </c>
      <c r="T3592">
        <v>294</v>
      </c>
      <c r="U3592">
        <v>300</v>
      </c>
      <c r="V3592">
        <v>360</v>
      </c>
      <c r="W3592">
        <v>324</v>
      </c>
      <c r="X3592">
        <v>339</v>
      </c>
      <c r="Y3592">
        <v>252</v>
      </c>
      <c r="Z3592">
        <v>300</v>
      </c>
      <c r="AA3592">
        <v>300</v>
      </c>
      <c r="AB3592">
        <v>270</v>
      </c>
      <c r="AC3592">
        <v>192</v>
      </c>
      <c r="AD3592">
        <v>264</v>
      </c>
      <c r="AF3592">
        <v>252</v>
      </c>
      <c r="CH3592" t="str">
        <f t="shared" si="56"/>
        <v>D-0267</v>
      </c>
    </row>
    <row r="3593" spans="1:86">
      <c r="A3593" t="s">
        <v>5393</v>
      </c>
      <c r="B3593">
        <v>1005</v>
      </c>
      <c r="C3593" t="s">
        <v>2449</v>
      </c>
      <c r="D3593" t="s">
        <v>238</v>
      </c>
      <c r="E3593" t="s">
        <v>629</v>
      </c>
      <c r="F3593" t="s">
        <v>632</v>
      </c>
      <c r="G3593" t="s">
        <v>2593</v>
      </c>
      <c r="V3593">
        <v>96</v>
      </c>
      <c r="W3593">
        <v>96</v>
      </c>
      <c r="X3593">
        <v>105</v>
      </c>
      <c r="Y3593">
        <v>102</v>
      </c>
      <c r="Z3593">
        <v>102</v>
      </c>
      <c r="AA3593">
        <v>108</v>
      </c>
      <c r="AB3593">
        <v>120</v>
      </c>
      <c r="AC3593">
        <v>90</v>
      </c>
      <c r="AD3593">
        <v>96</v>
      </c>
      <c r="AF3593">
        <v>90</v>
      </c>
      <c r="CH3593" t="str">
        <f t="shared" si="56"/>
        <v>D-0267</v>
      </c>
    </row>
    <row r="3594" spans="1:86">
      <c r="A3594" t="s">
        <v>5394</v>
      </c>
      <c r="B3594">
        <v>999</v>
      </c>
      <c r="C3594" t="s">
        <v>2450</v>
      </c>
      <c r="D3594" t="s">
        <v>238</v>
      </c>
      <c r="E3594" t="s">
        <v>642</v>
      </c>
      <c r="F3594" t="s">
        <v>645</v>
      </c>
      <c r="G3594" t="s">
        <v>2593</v>
      </c>
      <c r="P3594">
        <v>18</v>
      </c>
      <c r="Q3594">
        <v>18</v>
      </c>
      <c r="R3594">
        <v>36</v>
      </c>
      <c r="S3594">
        <v>42</v>
      </c>
      <c r="T3594">
        <v>99</v>
      </c>
      <c r="U3594">
        <v>108</v>
      </c>
      <c r="V3594">
        <v>156</v>
      </c>
      <c r="W3594">
        <v>144</v>
      </c>
      <c r="X3594">
        <v>126</v>
      </c>
      <c r="Y3594">
        <v>90</v>
      </c>
      <c r="Z3594">
        <v>78</v>
      </c>
      <c r="AA3594">
        <v>36</v>
      </c>
      <c r="AB3594">
        <v>36</v>
      </c>
      <c r="AD3594">
        <v>12</v>
      </c>
      <c r="CH3594" t="str">
        <f t="shared" si="56"/>
        <v>D-0267</v>
      </c>
    </row>
    <row r="3595" spans="1:86">
      <c r="A3595" t="s">
        <v>5395</v>
      </c>
      <c r="B3595">
        <v>1497</v>
      </c>
      <c r="C3595" t="s">
        <v>2450</v>
      </c>
      <c r="D3595" t="s">
        <v>238</v>
      </c>
      <c r="E3595" t="s">
        <v>642</v>
      </c>
      <c r="F3595" t="s">
        <v>645</v>
      </c>
      <c r="G3595" t="s">
        <v>2593</v>
      </c>
      <c r="R3595">
        <v>150</v>
      </c>
      <c r="S3595">
        <v>156</v>
      </c>
      <c r="T3595">
        <v>153</v>
      </c>
      <c r="U3595">
        <v>198</v>
      </c>
      <c r="V3595">
        <v>222</v>
      </c>
      <c r="W3595">
        <v>162</v>
      </c>
      <c r="X3595">
        <v>156</v>
      </c>
      <c r="Y3595">
        <v>138</v>
      </c>
      <c r="Z3595">
        <v>78</v>
      </c>
      <c r="AB3595">
        <v>84</v>
      </c>
      <c r="CH3595" t="str">
        <f t="shared" si="56"/>
        <v>D-0267</v>
      </c>
    </row>
    <row r="3596" spans="1:86">
      <c r="A3596" t="s">
        <v>5396</v>
      </c>
      <c r="B3596">
        <v>1797</v>
      </c>
      <c r="C3596" t="s">
        <v>2450</v>
      </c>
      <c r="D3596" t="s">
        <v>238</v>
      </c>
      <c r="E3596" t="s">
        <v>642</v>
      </c>
      <c r="F3596" t="s">
        <v>645</v>
      </c>
      <c r="G3596" t="s">
        <v>2593</v>
      </c>
      <c r="P3596">
        <v>6</v>
      </c>
      <c r="Q3596">
        <v>6</v>
      </c>
      <c r="R3596">
        <v>60</v>
      </c>
      <c r="S3596">
        <v>96</v>
      </c>
      <c r="T3596">
        <v>171</v>
      </c>
      <c r="U3596">
        <v>228</v>
      </c>
      <c r="V3596">
        <v>282</v>
      </c>
      <c r="W3596">
        <v>282</v>
      </c>
      <c r="X3596">
        <v>264</v>
      </c>
      <c r="Y3596">
        <v>156</v>
      </c>
      <c r="Z3596">
        <v>174</v>
      </c>
      <c r="AB3596">
        <v>66</v>
      </c>
      <c r="AD3596">
        <v>6</v>
      </c>
      <c r="CH3596" t="str">
        <f t="shared" si="56"/>
        <v>D-0267</v>
      </c>
    </row>
    <row r="3597" spans="1:86">
      <c r="A3597" t="s">
        <v>5397</v>
      </c>
      <c r="B3597">
        <v>1203</v>
      </c>
      <c r="C3597" t="s">
        <v>2453</v>
      </c>
      <c r="D3597" t="s">
        <v>238</v>
      </c>
      <c r="E3597" t="s">
        <v>642</v>
      </c>
      <c r="F3597" t="s">
        <v>645</v>
      </c>
      <c r="G3597" t="s">
        <v>4492</v>
      </c>
      <c r="P3597">
        <v>30</v>
      </c>
      <c r="Q3597">
        <v>36</v>
      </c>
      <c r="R3597">
        <v>36</v>
      </c>
      <c r="S3597">
        <v>60</v>
      </c>
      <c r="T3597">
        <v>105</v>
      </c>
      <c r="U3597">
        <v>108</v>
      </c>
      <c r="V3597">
        <v>162</v>
      </c>
      <c r="W3597">
        <v>132</v>
      </c>
      <c r="X3597">
        <v>162</v>
      </c>
      <c r="Y3597">
        <v>120</v>
      </c>
      <c r="Z3597">
        <v>138</v>
      </c>
      <c r="AB3597">
        <v>114</v>
      </c>
      <c r="CH3597" t="str">
        <f t="shared" si="56"/>
        <v>D-0267</v>
      </c>
    </row>
    <row r="3598" spans="1:86">
      <c r="A3598" t="s">
        <v>5398</v>
      </c>
      <c r="B3598">
        <v>2348</v>
      </c>
      <c r="C3598" t="s">
        <v>2453</v>
      </c>
      <c r="D3598" t="s">
        <v>238</v>
      </c>
      <c r="E3598" t="s">
        <v>642</v>
      </c>
      <c r="F3598" t="s">
        <v>645</v>
      </c>
      <c r="G3598" t="s">
        <v>4492</v>
      </c>
      <c r="P3598">
        <v>32</v>
      </c>
      <c r="Q3598">
        <v>38</v>
      </c>
      <c r="R3598">
        <v>105</v>
      </c>
      <c r="S3598">
        <v>138</v>
      </c>
      <c r="T3598">
        <v>251</v>
      </c>
      <c r="U3598">
        <v>278</v>
      </c>
      <c r="V3598">
        <v>373</v>
      </c>
      <c r="W3598">
        <v>317</v>
      </c>
      <c r="X3598">
        <v>311</v>
      </c>
      <c r="Y3598">
        <v>187</v>
      </c>
      <c r="Z3598">
        <v>163</v>
      </c>
      <c r="AA3598">
        <v>45</v>
      </c>
      <c r="AB3598">
        <v>71</v>
      </c>
      <c r="AC3598">
        <v>14</v>
      </c>
      <c r="AD3598">
        <v>25</v>
      </c>
      <c r="CH3598" t="str">
        <f t="shared" si="56"/>
        <v>D-0267</v>
      </c>
    </row>
    <row r="3599" spans="1:86">
      <c r="A3599" t="s">
        <v>5399</v>
      </c>
      <c r="B3599">
        <v>6</v>
      </c>
      <c r="C3599" t="s">
        <v>955</v>
      </c>
      <c r="D3599" t="s">
        <v>365</v>
      </c>
      <c r="E3599" t="s">
        <v>642</v>
      </c>
      <c r="F3599" t="s">
        <v>706</v>
      </c>
      <c r="G3599" t="s">
        <v>1351</v>
      </c>
      <c r="S3599">
        <v>3</v>
      </c>
      <c r="U3599">
        <v>3</v>
      </c>
      <c r="CH3599" t="str">
        <f t="shared" si="56"/>
        <v>D-0524</v>
      </c>
    </row>
    <row r="3600" spans="1:86">
      <c r="A3600" t="s">
        <v>5400</v>
      </c>
      <c r="B3600">
        <v>24</v>
      </c>
      <c r="C3600" t="s">
        <v>1220</v>
      </c>
      <c r="D3600" t="s">
        <v>457</v>
      </c>
      <c r="E3600" t="s">
        <v>629</v>
      </c>
      <c r="F3600" t="s">
        <v>672</v>
      </c>
      <c r="G3600" t="s">
        <v>1004</v>
      </c>
      <c r="W3600">
        <v>24</v>
      </c>
      <c r="CH3600" t="str">
        <f t="shared" si="56"/>
        <v>JV1-0695-3</v>
      </c>
    </row>
    <row r="3601" spans="1:86">
      <c r="A3601" t="s">
        <v>5401</v>
      </c>
      <c r="B3601">
        <v>4</v>
      </c>
      <c r="C3601" t="s">
        <v>1220</v>
      </c>
      <c r="D3601" t="s">
        <v>457</v>
      </c>
      <c r="E3601" t="s">
        <v>629</v>
      </c>
      <c r="F3601" t="s">
        <v>672</v>
      </c>
      <c r="G3601" t="s">
        <v>1004</v>
      </c>
      <c r="W3601">
        <v>4</v>
      </c>
      <c r="CH3601" t="str">
        <f t="shared" si="56"/>
        <v>JV1-0695-3</v>
      </c>
    </row>
    <row r="3602" spans="1:86">
      <c r="A3602" t="s">
        <v>5402</v>
      </c>
      <c r="B3602">
        <v>883</v>
      </c>
      <c r="C3602" t="s">
        <v>1035</v>
      </c>
      <c r="D3602" t="s">
        <v>457</v>
      </c>
      <c r="E3602" t="s">
        <v>629</v>
      </c>
      <c r="F3602" t="s">
        <v>1036</v>
      </c>
      <c r="G3602" t="s">
        <v>1037</v>
      </c>
      <c r="O3602">
        <v>37</v>
      </c>
      <c r="P3602">
        <v>133</v>
      </c>
      <c r="Q3602">
        <v>186</v>
      </c>
      <c r="R3602">
        <v>150</v>
      </c>
      <c r="S3602">
        <v>144</v>
      </c>
      <c r="T3602">
        <v>143</v>
      </c>
      <c r="AA3602">
        <v>90</v>
      </c>
      <c r="CH3602" t="str">
        <f t="shared" si="56"/>
        <v>JV1-0695-3</v>
      </c>
    </row>
    <row r="3603" spans="1:86">
      <c r="A3603" t="s">
        <v>5403</v>
      </c>
      <c r="B3603">
        <v>3024</v>
      </c>
      <c r="C3603" t="s">
        <v>1035</v>
      </c>
      <c r="D3603" t="s">
        <v>457</v>
      </c>
      <c r="E3603" t="s">
        <v>629</v>
      </c>
      <c r="F3603" t="s">
        <v>1036</v>
      </c>
      <c r="G3603" t="s">
        <v>1037</v>
      </c>
      <c r="V3603">
        <v>295</v>
      </c>
      <c r="W3603">
        <v>287</v>
      </c>
      <c r="X3603">
        <v>633</v>
      </c>
      <c r="Y3603">
        <v>651</v>
      </c>
      <c r="Z3603">
        <v>11</v>
      </c>
      <c r="AA3603">
        <v>334</v>
      </c>
      <c r="AB3603">
        <v>160</v>
      </c>
      <c r="AD3603">
        <v>319</v>
      </c>
      <c r="AF3603">
        <v>334</v>
      </c>
      <c r="CH3603" t="str">
        <f t="shared" si="56"/>
        <v>JV1-0695-3</v>
      </c>
    </row>
    <row r="3604" spans="1:86">
      <c r="A3604" t="s">
        <v>5404</v>
      </c>
      <c r="B3604">
        <v>617</v>
      </c>
      <c r="C3604" t="s">
        <v>1035</v>
      </c>
      <c r="D3604" t="s">
        <v>457</v>
      </c>
      <c r="E3604" t="s">
        <v>629</v>
      </c>
      <c r="F3604" t="s">
        <v>1036</v>
      </c>
      <c r="G3604" t="s">
        <v>1037</v>
      </c>
      <c r="W3604">
        <v>83</v>
      </c>
      <c r="X3604">
        <v>72</v>
      </c>
      <c r="Y3604">
        <v>84</v>
      </c>
      <c r="Z3604">
        <v>78</v>
      </c>
      <c r="AA3604">
        <v>84</v>
      </c>
      <c r="AB3604">
        <v>84</v>
      </c>
      <c r="AD3604">
        <v>66</v>
      </c>
      <c r="AF3604">
        <v>48</v>
      </c>
      <c r="AH3604">
        <v>18</v>
      </c>
      <c r="CH3604" t="str">
        <f t="shared" si="56"/>
        <v>JV1-0695-3</v>
      </c>
    </row>
    <row r="3605" spans="1:86">
      <c r="A3605" t="s">
        <v>5405</v>
      </c>
      <c r="B3605">
        <v>689</v>
      </c>
      <c r="C3605" t="s">
        <v>1035</v>
      </c>
      <c r="D3605" t="s">
        <v>457</v>
      </c>
      <c r="E3605" t="s">
        <v>629</v>
      </c>
      <c r="F3605" t="s">
        <v>1036</v>
      </c>
      <c r="G3605" t="s">
        <v>1037</v>
      </c>
      <c r="W3605">
        <v>89</v>
      </c>
      <c r="X3605">
        <v>84</v>
      </c>
      <c r="Y3605">
        <v>96</v>
      </c>
      <c r="Z3605">
        <v>90</v>
      </c>
      <c r="AA3605">
        <v>96</v>
      </c>
      <c r="AB3605">
        <v>90</v>
      </c>
      <c r="AD3605">
        <v>78</v>
      </c>
      <c r="AF3605">
        <v>48</v>
      </c>
      <c r="AH3605">
        <v>18</v>
      </c>
      <c r="CH3605" t="str">
        <f t="shared" si="56"/>
        <v>JV1-0695-3</v>
      </c>
    </row>
    <row r="3606" spans="1:86">
      <c r="A3606" t="s">
        <v>5406</v>
      </c>
      <c r="B3606">
        <v>131</v>
      </c>
      <c r="C3606" t="s">
        <v>1220</v>
      </c>
      <c r="D3606" t="s">
        <v>457</v>
      </c>
      <c r="E3606" t="s">
        <v>629</v>
      </c>
      <c r="F3606" t="s">
        <v>672</v>
      </c>
      <c r="G3606" t="s">
        <v>1004</v>
      </c>
      <c r="V3606">
        <v>48</v>
      </c>
      <c r="W3606">
        <v>47</v>
      </c>
      <c r="X3606">
        <v>30</v>
      </c>
      <c r="AH3606">
        <v>6</v>
      </c>
      <c r="CH3606" t="str">
        <f t="shared" si="56"/>
        <v>JV1-0695-3</v>
      </c>
    </row>
    <row r="3607" spans="1:86">
      <c r="A3607" t="s">
        <v>5407</v>
      </c>
      <c r="B3607">
        <v>197</v>
      </c>
      <c r="C3607" t="s">
        <v>1035</v>
      </c>
      <c r="D3607" t="s">
        <v>457</v>
      </c>
      <c r="E3607" t="s">
        <v>629</v>
      </c>
      <c r="F3607" t="s">
        <v>1036</v>
      </c>
      <c r="G3607" t="s">
        <v>1037</v>
      </c>
      <c r="AA3607">
        <v>113</v>
      </c>
      <c r="AF3607">
        <v>60</v>
      </c>
      <c r="AH3607">
        <v>24</v>
      </c>
      <c r="CH3607" t="str">
        <f t="shared" si="56"/>
        <v>JV1-0695-3</v>
      </c>
    </row>
    <row r="3608" spans="1:86">
      <c r="A3608" t="s">
        <v>5408</v>
      </c>
      <c r="B3608">
        <v>173</v>
      </c>
      <c r="C3608" t="s">
        <v>1220</v>
      </c>
      <c r="D3608" t="s">
        <v>457</v>
      </c>
      <c r="E3608" t="s">
        <v>629</v>
      </c>
      <c r="F3608" t="s">
        <v>672</v>
      </c>
      <c r="G3608" t="s">
        <v>1004</v>
      </c>
      <c r="V3608">
        <v>54</v>
      </c>
      <c r="W3608">
        <v>53</v>
      </c>
      <c r="X3608">
        <v>48</v>
      </c>
      <c r="AH3608">
        <v>18</v>
      </c>
      <c r="CH3608" t="str">
        <f t="shared" si="56"/>
        <v>JV1-0695-3</v>
      </c>
    </row>
    <row r="3609" spans="1:86">
      <c r="A3609" t="s">
        <v>5409</v>
      </c>
      <c r="B3609">
        <v>45</v>
      </c>
      <c r="C3609" t="s">
        <v>1220</v>
      </c>
      <c r="D3609" t="s">
        <v>457</v>
      </c>
      <c r="E3609" t="s">
        <v>629</v>
      </c>
      <c r="F3609" t="s">
        <v>672</v>
      </c>
      <c r="G3609" t="s">
        <v>1004</v>
      </c>
      <c r="V3609">
        <v>39</v>
      </c>
      <c r="AH3609">
        <v>6</v>
      </c>
      <c r="CH3609" t="str">
        <f t="shared" si="56"/>
        <v>JV1-0695-3</v>
      </c>
    </row>
    <row r="3610" spans="1:86">
      <c r="A3610" t="s">
        <v>5410</v>
      </c>
      <c r="B3610">
        <v>52</v>
      </c>
      <c r="C3610" t="s">
        <v>1035</v>
      </c>
      <c r="D3610" t="s">
        <v>457</v>
      </c>
      <c r="E3610" t="s">
        <v>629</v>
      </c>
      <c r="F3610" t="s">
        <v>1036</v>
      </c>
      <c r="G3610" t="s">
        <v>1037</v>
      </c>
      <c r="AA3610">
        <v>4</v>
      </c>
      <c r="AF3610">
        <v>36</v>
      </c>
      <c r="AH3610">
        <v>12</v>
      </c>
      <c r="CH3610" t="str">
        <f t="shared" si="56"/>
        <v>JV1-0695-3</v>
      </c>
    </row>
    <row r="3611" spans="1:86">
      <c r="A3611" t="s">
        <v>5411</v>
      </c>
      <c r="B3611">
        <v>6</v>
      </c>
      <c r="C3611" t="s">
        <v>1220</v>
      </c>
      <c r="D3611" t="s">
        <v>457</v>
      </c>
      <c r="E3611" t="s">
        <v>629</v>
      </c>
      <c r="F3611" t="s">
        <v>672</v>
      </c>
      <c r="G3611" t="s">
        <v>1004</v>
      </c>
      <c r="AH3611">
        <v>6</v>
      </c>
      <c r="CH3611" t="str">
        <f t="shared" si="56"/>
        <v>JV1-0695-3</v>
      </c>
    </row>
    <row r="3612" spans="1:86">
      <c r="A3612" t="s">
        <v>5412</v>
      </c>
      <c r="B3612">
        <v>72</v>
      </c>
      <c r="C3612" t="s">
        <v>1035</v>
      </c>
      <c r="D3612" t="s">
        <v>457</v>
      </c>
      <c r="E3612" t="s">
        <v>629</v>
      </c>
      <c r="F3612" t="s">
        <v>1036</v>
      </c>
      <c r="G3612" t="s">
        <v>1037</v>
      </c>
      <c r="AF3612">
        <v>54</v>
      </c>
      <c r="AH3612">
        <v>18</v>
      </c>
      <c r="CH3612" t="str">
        <f t="shared" si="56"/>
        <v>JV1-0695-3</v>
      </c>
    </row>
    <row r="3613" spans="1:86">
      <c r="A3613" t="s">
        <v>5413</v>
      </c>
      <c r="B3613">
        <v>12</v>
      </c>
      <c r="C3613" t="s">
        <v>1220</v>
      </c>
      <c r="D3613" t="s">
        <v>457</v>
      </c>
      <c r="E3613" t="s">
        <v>629</v>
      </c>
      <c r="F3613" t="s">
        <v>672</v>
      </c>
      <c r="G3613" t="s">
        <v>1004</v>
      </c>
      <c r="AH3613">
        <v>12</v>
      </c>
      <c r="CH3613" t="str">
        <f t="shared" si="56"/>
        <v>JV1-0695-3</v>
      </c>
    </row>
    <row r="3614" spans="1:86">
      <c r="A3614" t="s">
        <v>5414</v>
      </c>
      <c r="B3614">
        <v>6</v>
      </c>
      <c r="C3614" t="s">
        <v>1220</v>
      </c>
      <c r="D3614" t="s">
        <v>457</v>
      </c>
      <c r="E3614" t="s">
        <v>629</v>
      </c>
      <c r="F3614" t="s">
        <v>672</v>
      </c>
      <c r="G3614" t="s">
        <v>1004</v>
      </c>
      <c r="AH3614">
        <v>6</v>
      </c>
      <c r="CH3614" t="str">
        <f t="shared" si="56"/>
        <v>JV1-0695-3</v>
      </c>
    </row>
    <row r="3615" spans="1:86">
      <c r="A3615" t="s">
        <v>5415</v>
      </c>
      <c r="B3615">
        <v>66</v>
      </c>
      <c r="C3615" t="s">
        <v>1035</v>
      </c>
      <c r="D3615" t="s">
        <v>457</v>
      </c>
      <c r="E3615" t="s">
        <v>629</v>
      </c>
      <c r="F3615" t="s">
        <v>1036</v>
      </c>
      <c r="G3615" t="s">
        <v>1037</v>
      </c>
      <c r="AF3615">
        <v>48</v>
      </c>
      <c r="AH3615">
        <v>18</v>
      </c>
      <c r="CH3615" t="str">
        <f t="shared" si="56"/>
        <v>JV1-0695-3</v>
      </c>
    </row>
    <row r="3616" spans="1:86">
      <c r="A3616" t="s">
        <v>5416</v>
      </c>
      <c r="B3616">
        <v>559</v>
      </c>
      <c r="C3616" t="s">
        <v>1035</v>
      </c>
      <c r="D3616" t="s">
        <v>457</v>
      </c>
      <c r="E3616" t="s">
        <v>629</v>
      </c>
      <c r="F3616" t="s">
        <v>1036</v>
      </c>
      <c r="G3616" t="s">
        <v>1037</v>
      </c>
      <c r="Q3616">
        <v>146</v>
      </c>
      <c r="S3616">
        <v>228</v>
      </c>
      <c r="T3616">
        <v>185</v>
      </c>
      <c r="CH3616" t="str">
        <f t="shared" si="56"/>
        <v>JV1-0695-3</v>
      </c>
    </row>
    <row r="3617" spans="1:86">
      <c r="A3617" t="s">
        <v>5417</v>
      </c>
      <c r="B3617">
        <v>184</v>
      </c>
      <c r="C3617" t="s">
        <v>1035</v>
      </c>
      <c r="D3617" t="s">
        <v>457</v>
      </c>
      <c r="E3617" t="s">
        <v>629</v>
      </c>
      <c r="F3617" t="s">
        <v>1036</v>
      </c>
      <c r="G3617" t="s">
        <v>1037</v>
      </c>
      <c r="R3617">
        <v>5</v>
      </c>
      <c r="S3617">
        <v>90</v>
      </c>
      <c r="T3617">
        <v>89</v>
      </c>
      <c r="CH3617" t="str">
        <f t="shared" si="56"/>
        <v>JV1-0695-3</v>
      </c>
    </row>
    <row r="3618" spans="1:86">
      <c r="A3618" t="s">
        <v>5418</v>
      </c>
      <c r="B3618">
        <v>563</v>
      </c>
      <c r="C3618" t="s">
        <v>1167</v>
      </c>
      <c r="D3618" t="s">
        <v>457</v>
      </c>
      <c r="E3618" t="s">
        <v>629</v>
      </c>
      <c r="F3618" t="s">
        <v>672</v>
      </c>
      <c r="G3618" t="s">
        <v>686</v>
      </c>
      <c r="O3618">
        <v>93</v>
      </c>
      <c r="P3618">
        <v>93</v>
      </c>
      <c r="Q3618">
        <v>93</v>
      </c>
      <c r="R3618">
        <v>93</v>
      </c>
      <c r="S3618">
        <v>93</v>
      </c>
      <c r="T3618">
        <v>98</v>
      </c>
      <c r="CH3618" t="str">
        <f t="shared" si="56"/>
        <v>JV1-0695-3</v>
      </c>
    </row>
    <row r="3619" spans="1:86">
      <c r="A3619" t="s">
        <v>5419</v>
      </c>
      <c r="B3619">
        <v>245</v>
      </c>
      <c r="C3619" t="s">
        <v>1168</v>
      </c>
      <c r="D3619" t="s">
        <v>457</v>
      </c>
      <c r="E3619" t="s">
        <v>629</v>
      </c>
      <c r="F3619" t="s">
        <v>672</v>
      </c>
      <c r="G3619" t="s">
        <v>673</v>
      </c>
      <c r="O3619">
        <v>12</v>
      </c>
      <c r="P3619">
        <v>24</v>
      </c>
      <c r="Q3619">
        <v>36</v>
      </c>
      <c r="R3619">
        <v>42</v>
      </c>
      <c r="S3619">
        <v>48</v>
      </c>
      <c r="T3619">
        <v>47</v>
      </c>
      <c r="U3619">
        <v>36</v>
      </c>
      <c r="CH3619" t="str">
        <f t="shared" si="56"/>
        <v>JV1-0695-3</v>
      </c>
    </row>
    <row r="3620" spans="1:86">
      <c r="A3620" t="s">
        <v>5420</v>
      </c>
      <c r="B3620">
        <v>1847</v>
      </c>
      <c r="C3620" t="s">
        <v>1167</v>
      </c>
      <c r="D3620" t="s">
        <v>457</v>
      </c>
      <c r="E3620" t="s">
        <v>629</v>
      </c>
      <c r="F3620" t="s">
        <v>672</v>
      </c>
      <c r="G3620" t="s">
        <v>686</v>
      </c>
      <c r="N3620">
        <v>30</v>
      </c>
      <c r="O3620">
        <v>90</v>
      </c>
      <c r="P3620">
        <v>132</v>
      </c>
      <c r="Q3620">
        <v>282</v>
      </c>
      <c r="R3620">
        <v>270</v>
      </c>
      <c r="S3620">
        <v>384</v>
      </c>
      <c r="T3620">
        <v>341</v>
      </c>
      <c r="U3620">
        <v>318</v>
      </c>
      <c r="CH3620" t="str">
        <f t="shared" si="56"/>
        <v>JV1-0695-3</v>
      </c>
    </row>
    <row r="3621" spans="1:86">
      <c r="A3621" t="s">
        <v>5421</v>
      </c>
      <c r="B3621">
        <v>275</v>
      </c>
      <c r="C3621" t="s">
        <v>1168</v>
      </c>
      <c r="D3621" t="s">
        <v>457</v>
      </c>
      <c r="E3621" t="s">
        <v>629</v>
      </c>
      <c r="F3621" t="s">
        <v>672</v>
      </c>
      <c r="G3621" t="s">
        <v>673</v>
      </c>
      <c r="O3621">
        <v>18</v>
      </c>
      <c r="P3621">
        <v>24</v>
      </c>
      <c r="Q3621">
        <v>42</v>
      </c>
      <c r="R3621">
        <v>48</v>
      </c>
      <c r="S3621">
        <v>48</v>
      </c>
      <c r="T3621">
        <v>53</v>
      </c>
      <c r="U3621">
        <v>42</v>
      </c>
      <c r="CH3621" t="str">
        <f t="shared" si="56"/>
        <v>JV1-0695-3</v>
      </c>
    </row>
    <row r="3622" spans="1:86">
      <c r="A3622" t="s">
        <v>5422</v>
      </c>
      <c r="B3622">
        <v>215</v>
      </c>
      <c r="C3622" t="s">
        <v>1168</v>
      </c>
      <c r="D3622" t="s">
        <v>457</v>
      </c>
      <c r="E3622" t="s">
        <v>629</v>
      </c>
      <c r="F3622" t="s">
        <v>672</v>
      </c>
      <c r="G3622" t="s">
        <v>673</v>
      </c>
      <c r="O3622">
        <v>12</v>
      </c>
      <c r="P3622">
        <v>18</v>
      </c>
      <c r="Q3622">
        <v>30</v>
      </c>
      <c r="R3622">
        <v>36</v>
      </c>
      <c r="S3622">
        <v>48</v>
      </c>
      <c r="T3622">
        <v>41</v>
      </c>
      <c r="U3622">
        <v>30</v>
      </c>
      <c r="CH3622" t="str">
        <f t="shared" si="56"/>
        <v>JV1-0695-3</v>
      </c>
    </row>
    <row r="3623" spans="1:86">
      <c r="A3623" t="s">
        <v>5423</v>
      </c>
      <c r="B3623">
        <v>197</v>
      </c>
      <c r="C3623" t="s">
        <v>1168</v>
      </c>
      <c r="D3623" t="s">
        <v>457</v>
      </c>
      <c r="E3623" t="s">
        <v>629</v>
      </c>
      <c r="F3623" t="s">
        <v>672</v>
      </c>
      <c r="G3623" t="s">
        <v>673</v>
      </c>
      <c r="O3623">
        <v>18</v>
      </c>
      <c r="P3623">
        <v>18</v>
      </c>
      <c r="Q3623">
        <v>30</v>
      </c>
      <c r="R3623">
        <v>30</v>
      </c>
      <c r="S3623">
        <v>36</v>
      </c>
      <c r="T3623">
        <v>35</v>
      </c>
      <c r="U3623">
        <v>30</v>
      </c>
      <c r="CH3623" t="str">
        <f t="shared" si="56"/>
        <v>JV1-0695-3</v>
      </c>
    </row>
    <row r="3624" spans="1:86">
      <c r="A3624" t="s">
        <v>5424</v>
      </c>
      <c r="B3624">
        <v>323</v>
      </c>
      <c r="C3624" t="s">
        <v>1168</v>
      </c>
      <c r="D3624" t="s">
        <v>457</v>
      </c>
      <c r="E3624" t="s">
        <v>629</v>
      </c>
      <c r="F3624" t="s">
        <v>672</v>
      </c>
      <c r="G3624" t="s">
        <v>673</v>
      </c>
      <c r="O3624">
        <v>30</v>
      </c>
      <c r="P3624">
        <v>36</v>
      </c>
      <c r="Q3624">
        <v>48</v>
      </c>
      <c r="R3624">
        <v>54</v>
      </c>
      <c r="S3624">
        <v>54</v>
      </c>
      <c r="T3624">
        <v>53</v>
      </c>
      <c r="U3624">
        <v>48</v>
      </c>
      <c r="CH3624" t="str">
        <f t="shared" si="56"/>
        <v>JV1-0695-3</v>
      </c>
    </row>
    <row r="3625" spans="1:86">
      <c r="A3625" t="s">
        <v>5425</v>
      </c>
      <c r="B3625">
        <v>197</v>
      </c>
      <c r="C3625" t="s">
        <v>1168</v>
      </c>
      <c r="D3625" t="s">
        <v>457</v>
      </c>
      <c r="E3625" t="s">
        <v>629</v>
      </c>
      <c r="F3625" t="s">
        <v>672</v>
      </c>
      <c r="G3625" t="s">
        <v>673</v>
      </c>
      <c r="O3625">
        <v>18</v>
      </c>
      <c r="P3625">
        <v>18</v>
      </c>
      <c r="Q3625">
        <v>30</v>
      </c>
      <c r="R3625">
        <v>30</v>
      </c>
      <c r="S3625">
        <v>36</v>
      </c>
      <c r="T3625">
        <v>35</v>
      </c>
      <c r="U3625">
        <v>30</v>
      </c>
      <c r="CH3625" t="str">
        <f t="shared" si="56"/>
        <v>JV1-0695-3</v>
      </c>
    </row>
    <row r="3626" spans="1:86">
      <c r="A3626" t="s">
        <v>5426</v>
      </c>
      <c r="B3626">
        <v>5009</v>
      </c>
      <c r="C3626" t="s">
        <v>1167</v>
      </c>
      <c r="D3626" t="s">
        <v>457</v>
      </c>
      <c r="E3626" t="s">
        <v>629</v>
      </c>
      <c r="F3626" t="s">
        <v>672</v>
      </c>
      <c r="G3626" t="s">
        <v>686</v>
      </c>
      <c r="O3626">
        <v>240</v>
      </c>
      <c r="P3626">
        <v>228</v>
      </c>
      <c r="Q3626">
        <v>420</v>
      </c>
      <c r="R3626">
        <v>372</v>
      </c>
      <c r="S3626">
        <v>492</v>
      </c>
      <c r="T3626">
        <v>437</v>
      </c>
      <c r="U3626">
        <v>504</v>
      </c>
      <c r="V3626">
        <v>288</v>
      </c>
      <c r="W3626">
        <v>432</v>
      </c>
      <c r="X3626">
        <v>204</v>
      </c>
      <c r="Y3626">
        <v>300</v>
      </c>
      <c r="Z3626">
        <v>276</v>
      </c>
      <c r="AA3626">
        <v>252</v>
      </c>
      <c r="AB3626">
        <v>240</v>
      </c>
      <c r="AC3626">
        <v>36</v>
      </c>
      <c r="AD3626">
        <v>156</v>
      </c>
      <c r="AF3626">
        <v>108</v>
      </c>
      <c r="AH3626">
        <v>24</v>
      </c>
      <c r="CH3626" t="str">
        <f t="shared" si="56"/>
        <v>JV1-0695-3</v>
      </c>
    </row>
    <row r="3627" spans="1:86">
      <c r="A3627" t="s">
        <v>5427</v>
      </c>
      <c r="B3627">
        <v>5009</v>
      </c>
      <c r="C3627" t="s">
        <v>1167</v>
      </c>
      <c r="D3627" t="s">
        <v>457</v>
      </c>
      <c r="E3627" t="s">
        <v>629</v>
      </c>
      <c r="F3627" t="s">
        <v>672</v>
      </c>
      <c r="G3627" t="s">
        <v>686</v>
      </c>
      <c r="O3627">
        <v>240</v>
      </c>
      <c r="P3627">
        <v>228</v>
      </c>
      <c r="Q3627">
        <v>420</v>
      </c>
      <c r="R3627">
        <v>384</v>
      </c>
      <c r="S3627">
        <v>492</v>
      </c>
      <c r="T3627">
        <v>425</v>
      </c>
      <c r="U3627">
        <v>504</v>
      </c>
      <c r="V3627">
        <v>288</v>
      </c>
      <c r="W3627">
        <v>432</v>
      </c>
      <c r="X3627">
        <v>204</v>
      </c>
      <c r="Y3627">
        <v>300</v>
      </c>
      <c r="Z3627">
        <v>276</v>
      </c>
      <c r="AA3627">
        <v>240</v>
      </c>
      <c r="AB3627">
        <v>240</v>
      </c>
      <c r="AC3627">
        <v>36</v>
      </c>
      <c r="AD3627">
        <v>156</v>
      </c>
      <c r="AF3627">
        <v>108</v>
      </c>
      <c r="AH3627">
        <v>36</v>
      </c>
      <c r="CH3627" t="str">
        <f t="shared" si="56"/>
        <v>JV1-0695-3</v>
      </c>
    </row>
    <row r="3628" spans="1:86">
      <c r="A3628" t="s">
        <v>5428</v>
      </c>
      <c r="B3628">
        <v>4997</v>
      </c>
      <c r="C3628" t="s">
        <v>1167</v>
      </c>
      <c r="D3628" t="s">
        <v>457</v>
      </c>
      <c r="E3628" t="s">
        <v>629</v>
      </c>
      <c r="F3628" t="s">
        <v>672</v>
      </c>
      <c r="G3628" t="s">
        <v>686</v>
      </c>
      <c r="O3628">
        <v>240</v>
      </c>
      <c r="P3628">
        <v>228</v>
      </c>
      <c r="Q3628">
        <v>432</v>
      </c>
      <c r="R3628">
        <v>372</v>
      </c>
      <c r="S3628">
        <v>492</v>
      </c>
      <c r="T3628">
        <v>425</v>
      </c>
      <c r="U3628">
        <v>516</v>
      </c>
      <c r="V3628">
        <v>276</v>
      </c>
      <c r="W3628">
        <v>432</v>
      </c>
      <c r="X3628">
        <v>216</v>
      </c>
      <c r="Y3628">
        <v>300</v>
      </c>
      <c r="Z3628">
        <v>264</v>
      </c>
      <c r="AA3628">
        <v>252</v>
      </c>
      <c r="AB3628">
        <v>228</v>
      </c>
      <c r="AC3628">
        <v>36</v>
      </c>
      <c r="AD3628">
        <v>156</v>
      </c>
      <c r="AF3628">
        <v>108</v>
      </c>
      <c r="AH3628">
        <v>24</v>
      </c>
      <c r="CH3628" t="str">
        <f t="shared" si="56"/>
        <v>JV1-0695-3</v>
      </c>
    </row>
    <row r="3629" spans="1:86">
      <c r="A3629" t="s">
        <v>5429</v>
      </c>
      <c r="B3629">
        <v>941</v>
      </c>
      <c r="C3629" t="s">
        <v>1167</v>
      </c>
      <c r="D3629" t="s">
        <v>457</v>
      </c>
      <c r="E3629" t="s">
        <v>629</v>
      </c>
      <c r="F3629" t="s">
        <v>672</v>
      </c>
      <c r="G3629" t="s">
        <v>686</v>
      </c>
      <c r="V3629">
        <v>96</v>
      </c>
      <c r="W3629">
        <v>95</v>
      </c>
      <c r="X3629">
        <v>90</v>
      </c>
      <c r="Y3629">
        <v>84</v>
      </c>
      <c r="Z3629">
        <v>108</v>
      </c>
      <c r="AA3629">
        <v>120</v>
      </c>
      <c r="AB3629">
        <v>96</v>
      </c>
      <c r="AC3629">
        <v>72</v>
      </c>
      <c r="AD3629">
        <v>90</v>
      </c>
      <c r="AF3629">
        <v>90</v>
      </c>
      <c r="CH3629" t="str">
        <f t="shared" si="56"/>
        <v>JV1-0695-3</v>
      </c>
    </row>
    <row r="3630" spans="1:86">
      <c r="A3630" t="s">
        <v>5430</v>
      </c>
      <c r="B3630">
        <v>1049</v>
      </c>
      <c r="C3630" t="s">
        <v>1167</v>
      </c>
      <c r="D3630" t="s">
        <v>457</v>
      </c>
      <c r="E3630" t="s">
        <v>629</v>
      </c>
      <c r="F3630" t="s">
        <v>672</v>
      </c>
      <c r="G3630" t="s">
        <v>686</v>
      </c>
      <c r="V3630">
        <v>108</v>
      </c>
      <c r="W3630">
        <v>107</v>
      </c>
      <c r="X3630">
        <v>102</v>
      </c>
      <c r="Y3630">
        <v>90</v>
      </c>
      <c r="Z3630">
        <v>114</v>
      </c>
      <c r="AA3630">
        <v>90</v>
      </c>
      <c r="AB3630">
        <v>102</v>
      </c>
      <c r="AC3630">
        <v>96</v>
      </c>
      <c r="AD3630">
        <v>120</v>
      </c>
      <c r="AF3630">
        <v>120</v>
      </c>
      <c r="CH3630" t="str">
        <f t="shared" si="56"/>
        <v>JV1-0695-3</v>
      </c>
    </row>
    <row r="3631" spans="1:86">
      <c r="A3631" t="s">
        <v>5431</v>
      </c>
      <c r="B3631">
        <v>1025</v>
      </c>
      <c r="C3631" t="s">
        <v>1167</v>
      </c>
      <c r="D3631" t="s">
        <v>457</v>
      </c>
      <c r="E3631" t="s">
        <v>629</v>
      </c>
      <c r="F3631" t="s">
        <v>672</v>
      </c>
      <c r="G3631" t="s">
        <v>686</v>
      </c>
      <c r="V3631">
        <v>102</v>
      </c>
      <c r="W3631">
        <v>107</v>
      </c>
      <c r="X3631">
        <v>108</v>
      </c>
      <c r="Y3631">
        <v>102</v>
      </c>
      <c r="Z3631">
        <v>132</v>
      </c>
      <c r="AA3631">
        <v>120</v>
      </c>
      <c r="AB3631">
        <v>102</v>
      </c>
      <c r="AC3631">
        <v>84</v>
      </c>
      <c r="AD3631">
        <v>90</v>
      </c>
      <c r="AF3631">
        <v>78</v>
      </c>
      <c r="CH3631" t="str">
        <f t="shared" si="56"/>
        <v>JV1-0695-3</v>
      </c>
    </row>
    <row r="3632" spans="1:86">
      <c r="A3632" t="s">
        <v>5432</v>
      </c>
      <c r="B3632">
        <v>5285</v>
      </c>
      <c r="C3632" t="s">
        <v>5433</v>
      </c>
      <c r="D3632" t="s">
        <v>457</v>
      </c>
      <c r="E3632" t="s">
        <v>629</v>
      </c>
      <c r="F3632" t="s">
        <v>672</v>
      </c>
      <c r="G3632" t="s">
        <v>673</v>
      </c>
      <c r="O3632">
        <v>396</v>
      </c>
      <c r="P3632">
        <v>288</v>
      </c>
      <c r="Q3632">
        <v>576</v>
      </c>
      <c r="R3632">
        <v>396</v>
      </c>
      <c r="S3632">
        <v>540</v>
      </c>
      <c r="T3632">
        <v>401</v>
      </c>
      <c r="U3632">
        <v>420</v>
      </c>
      <c r="V3632">
        <v>228</v>
      </c>
      <c r="W3632">
        <v>480</v>
      </c>
      <c r="X3632">
        <v>240</v>
      </c>
      <c r="Y3632">
        <v>288</v>
      </c>
      <c r="Z3632">
        <v>252</v>
      </c>
      <c r="AA3632">
        <v>240</v>
      </c>
      <c r="AB3632">
        <v>228</v>
      </c>
      <c r="AC3632">
        <v>48</v>
      </c>
      <c r="AD3632">
        <v>144</v>
      </c>
      <c r="AF3632">
        <v>96</v>
      </c>
      <c r="AH3632">
        <v>24</v>
      </c>
      <c r="CH3632" t="str">
        <f t="shared" si="56"/>
        <v>JV1-0695-3</v>
      </c>
    </row>
    <row r="3633" spans="1:86">
      <c r="A3633" t="s">
        <v>5434</v>
      </c>
      <c r="B3633">
        <v>4181</v>
      </c>
      <c r="C3633" t="s">
        <v>5433</v>
      </c>
      <c r="D3633" t="s">
        <v>457</v>
      </c>
      <c r="E3633" t="s">
        <v>629</v>
      </c>
      <c r="F3633" t="s">
        <v>672</v>
      </c>
      <c r="G3633" t="s">
        <v>673</v>
      </c>
      <c r="P3633">
        <v>348</v>
      </c>
      <c r="Q3633">
        <v>696</v>
      </c>
      <c r="R3633">
        <v>696</v>
      </c>
      <c r="S3633">
        <v>696</v>
      </c>
      <c r="T3633">
        <v>701</v>
      </c>
      <c r="U3633">
        <v>696</v>
      </c>
      <c r="V3633">
        <v>348</v>
      </c>
      <c r="CH3633" t="str">
        <f t="shared" si="56"/>
        <v>JV1-0695-3</v>
      </c>
    </row>
    <row r="3634" spans="1:86">
      <c r="A3634" t="s">
        <v>5435</v>
      </c>
      <c r="B3634">
        <v>2567</v>
      </c>
      <c r="C3634" t="s">
        <v>1035</v>
      </c>
      <c r="D3634" t="s">
        <v>457</v>
      </c>
      <c r="E3634" t="s">
        <v>629</v>
      </c>
      <c r="F3634" t="s">
        <v>1036</v>
      </c>
      <c r="G3634" t="s">
        <v>1037</v>
      </c>
      <c r="O3634">
        <v>306</v>
      </c>
      <c r="P3634">
        <v>300</v>
      </c>
      <c r="Q3634">
        <v>480</v>
      </c>
      <c r="R3634">
        <v>420</v>
      </c>
      <c r="S3634">
        <v>522</v>
      </c>
      <c r="T3634">
        <v>539</v>
      </c>
      <c r="CH3634" t="str">
        <f t="shared" si="56"/>
        <v>JV1-0695-3</v>
      </c>
    </row>
    <row r="3635" spans="1:86">
      <c r="A3635" t="s">
        <v>5436</v>
      </c>
      <c r="B3635">
        <v>1205</v>
      </c>
      <c r="C3635" t="s">
        <v>1035</v>
      </c>
      <c r="D3635" t="s">
        <v>457</v>
      </c>
      <c r="E3635" t="s">
        <v>629</v>
      </c>
      <c r="F3635" t="s">
        <v>1036</v>
      </c>
      <c r="G3635" t="s">
        <v>1037</v>
      </c>
      <c r="P3635">
        <v>240</v>
      </c>
      <c r="Q3635">
        <v>240</v>
      </c>
      <c r="R3635">
        <v>240</v>
      </c>
      <c r="S3635">
        <v>240</v>
      </c>
      <c r="T3635">
        <v>245</v>
      </c>
      <c r="CH3635" t="str">
        <f t="shared" si="56"/>
        <v>JV1-0695-3</v>
      </c>
    </row>
    <row r="3636" spans="1:86">
      <c r="A3636" t="s">
        <v>5437</v>
      </c>
      <c r="B3636">
        <v>845</v>
      </c>
      <c r="C3636" t="s">
        <v>1035</v>
      </c>
      <c r="D3636" t="s">
        <v>457</v>
      </c>
      <c r="E3636" t="s">
        <v>629</v>
      </c>
      <c r="F3636" t="s">
        <v>1036</v>
      </c>
      <c r="G3636" t="s">
        <v>1037</v>
      </c>
      <c r="O3636">
        <v>140</v>
      </c>
      <c r="P3636">
        <v>140</v>
      </c>
      <c r="Q3636">
        <v>140</v>
      </c>
      <c r="R3636">
        <v>140</v>
      </c>
      <c r="S3636">
        <v>140</v>
      </c>
      <c r="T3636">
        <v>145</v>
      </c>
      <c r="CH3636" t="str">
        <f t="shared" si="56"/>
        <v>JV1-0695-3</v>
      </c>
    </row>
    <row r="3637" spans="1:86">
      <c r="A3637" t="s">
        <v>5438</v>
      </c>
      <c r="B3637">
        <v>725</v>
      </c>
      <c r="C3637" t="s">
        <v>718</v>
      </c>
      <c r="D3637" t="s">
        <v>457</v>
      </c>
      <c r="E3637" t="s">
        <v>629</v>
      </c>
      <c r="F3637" t="s">
        <v>672</v>
      </c>
      <c r="G3637" t="s">
        <v>673</v>
      </c>
      <c r="O3637">
        <v>78</v>
      </c>
      <c r="P3637">
        <v>78</v>
      </c>
      <c r="Q3637">
        <v>84</v>
      </c>
      <c r="R3637">
        <v>78</v>
      </c>
      <c r="S3637">
        <v>84</v>
      </c>
      <c r="T3637">
        <v>83</v>
      </c>
      <c r="U3637">
        <v>84</v>
      </c>
      <c r="V3637">
        <v>78</v>
      </c>
      <c r="W3637">
        <v>78</v>
      </c>
      <c r="CH3637" t="str">
        <f t="shared" si="56"/>
        <v>JV1-0695-3</v>
      </c>
    </row>
    <row r="3638" spans="1:86">
      <c r="A3638" t="s">
        <v>5439</v>
      </c>
      <c r="B3638">
        <v>66</v>
      </c>
      <c r="C3638" t="s">
        <v>1220</v>
      </c>
      <c r="D3638" t="s">
        <v>457</v>
      </c>
      <c r="E3638" t="s">
        <v>629</v>
      </c>
      <c r="F3638" t="s">
        <v>672</v>
      </c>
      <c r="G3638" t="s">
        <v>1004</v>
      </c>
      <c r="R3638">
        <v>24</v>
      </c>
      <c r="S3638">
        <v>12</v>
      </c>
      <c r="T3638">
        <v>6</v>
      </c>
      <c r="W3638">
        <v>24</v>
      </c>
      <c r="CH3638" t="str">
        <f t="shared" si="56"/>
        <v>JV1-0695-3</v>
      </c>
    </row>
    <row r="3639" spans="1:86">
      <c r="A3639" t="s">
        <v>5440</v>
      </c>
      <c r="B3639">
        <v>965</v>
      </c>
      <c r="C3639" t="s">
        <v>999</v>
      </c>
      <c r="D3639" t="s">
        <v>457</v>
      </c>
      <c r="E3639" t="s">
        <v>629</v>
      </c>
      <c r="F3639" t="s">
        <v>672</v>
      </c>
      <c r="G3639" t="s">
        <v>1000</v>
      </c>
      <c r="N3639">
        <v>36</v>
      </c>
      <c r="O3639">
        <v>30</v>
      </c>
      <c r="P3639">
        <v>42</v>
      </c>
      <c r="Q3639">
        <v>48</v>
      </c>
      <c r="R3639">
        <v>78</v>
      </c>
      <c r="S3639">
        <v>72</v>
      </c>
      <c r="T3639">
        <v>89</v>
      </c>
      <c r="U3639">
        <v>48</v>
      </c>
      <c r="V3639">
        <v>78</v>
      </c>
      <c r="W3639">
        <v>36</v>
      </c>
      <c r="X3639">
        <v>78</v>
      </c>
      <c r="Y3639">
        <v>36</v>
      </c>
      <c r="Z3639">
        <v>84</v>
      </c>
      <c r="AA3639">
        <v>30</v>
      </c>
      <c r="AB3639">
        <v>66</v>
      </c>
      <c r="AC3639">
        <v>18</v>
      </c>
      <c r="AD3639">
        <v>48</v>
      </c>
      <c r="AF3639">
        <v>30</v>
      </c>
      <c r="AH3639">
        <v>18</v>
      </c>
      <c r="CH3639" t="str">
        <f t="shared" si="56"/>
        <v>JV1-0695-3</v>
      </c>
    </row>
    <row r="3640" spans="1:86">
      <c r="A3640" t="s">
        <v>5441</v>
      </c>
      <c r="B3640">
        <v>845</v>
      </c>
      <c r="C3640" t="s">
        <v>1166</v>
      </c>
      <c r="D3640" t="s">
        <v>457</v>
      </c>
      <c r="E3640" t="s">
        <v>629</v>
      </c>
      <c r="F3640" t="s">
        <v>672</v>
      </c>
      <c r="G3640" t="s">
        <v>673</v>
      </c>
      <c r="O3640">
        <v>60</v>
      </c>
      <c r="P3640">
        <v>60</v>
      </c>
      <c r="Q3640">
        <v>132</v>
      </c>
      <c r="R3640">
        <v>96</v>
      </c>
      <c r="S3640">
        <v>156</v>
      </c>
      <c r="T3640">
        <v>107</v>
      </c>
      <c r="U3640">
        <v>96</v>
      </c>
      <c r="V3640">
        <v>60</v>
      </c>
      <c r="W3640">
        <v>48</v>
      </c>
      <c r="X3640">
        <v>12</v>
      </c>
      <c r="Y3640">
        <v>18</v>
      </c>
      <c r="CH3640" t="str">
        <f t="shared" si="56"/>
        <v>JV1-0695-3</v>
      </c>
    </row>
    <row r="3641" spans="1:86">
      <c r="A3641" t="s">
        <v>5442</v>
      </c>
      <c r="B3641">
        <v>1152</v>
      </c>
      <c r="C3641" t="s">
        <v>1220</v>
      </c>
      <c r="D3641" t="s">
        <v>457</v>
      </c>
      <c r="E3641" t="s">
        <v>629</v>
      </c>
      <c r="F3641" t="s">
        <v>672</v>
      </c>
      <c r="G3641" t="s">
        <v>1004</v>
      </c>
      <c r="R3641">
        <v>408</v>
      </c>
      <c r="T3641">
        <v>461</v>
      </c>
      <c r="U3641">
        <v>283</v>
      </c>
      <c r="CH3641" t="str">
        <f t="shared" si="56"/>
        <v>JV1-0695-3</v>
      </c>
    </row>
    <row r="3642" spans="1:86">
      <c r="A3642" t="s">
        <v>5443</v>
      </c>
      <c r="B3642">
        <v>990</v>
      </c>
      <c r="C3642" t="s">
        <v>2392</v>
      </c>
      <c r="D3642" t="s">
        <v>148</v>
      </c>
      <c r="E3642" t="s">
        <v>629</v>
      </c>
      <c r="F3642" t="s">
        <v>744</v>
      </c>
      <c r="G3642" t="s">
        <v>745</v>
      </c>
      <c r="S3642">
        <v>5</v>
      </c>
      <c r="T3642">
        <v>15</v>
      </c>
      <c r="U3642">
        <v>15</v>
      </c>
      <c r="V3642">
        <v>60</v>
      </c>
      <c r="W3642">
        <v>100</v>
      </c>
      <c r="X3642">
        <v>165</v>
      </c>
      <c r="Y3642">
        <v>160</v>
      </c>
      <c r="Z3642">
        <v>185</v>
      </c>
      <c r="AA3642">
        <v>135</v>
      </c>
      <c r="AB3642">
        <v>135</v>
      </c>
      <c r="AD3642">
        <v>15</v>
      </c>
      <c r="CH3642" t="str">
        <f t="shared" si="56"/>
        <v>D-0091</v>
      </c>
    </row>
    <row r="3643" spans="1:86">
      <c r="A3643" t="s">
        <v>5444</v>
      </c>
      <c r="B3643">
        <v>840</v>
      </c>
      <c r="C3643" t="s">
        <v>2392</v>
      </c>
      <c r="D3643" t="s">
        <v>148</v>
      </c>
      <c r="E3643" t="s">
        <v>629</v>
      </c>
      <c r="F3643" t="s">
        <v>744</v>
      </c>
      <c r="G3643" t="s">
        <v>745</v>
      </c>
      <c r="S3643">
        <v>5</v>
      </c>
      <c r="T3643">
        <v>10</v>
      </c>
      <c r="U3643">
        <v>15</v>
      </c>
      <c r="V3643">
        <v>60</v>
      </c>
      <c r="W3643">
        <v>80</v>
      </c>
      <c r="X3643">
        <v>165</v>
      </c>
      <c r="Y3643">
        <v>110</v>
      </c>
      <c r="Z3643">
        <v>160</v>
      </c>
      <c r="AA3643">
        <v>110</v>
      </c>
      <c r="AB3643">
        <v>110</v>
      </c>
      <c r="AD3643">
        <v>15</v>
      </c>
      <c r="CH3643" t="str">
        <f t="shared" si="56"/>
        <v>D-0091</v>
      </c>
    </row>
    <row r="3644" spans="1:86">
      <c r="A3644" t="s">
        <v>5445</v>
      </c>
      <c r="B3644">
        <v>996</v>
      </c>
      <c r="C3644" t="s">
        <v>685</v>
      </c>
      <c r="D3644" t="s">
        <v>457</v>
      </c>
      <c r="E3644" t="s">
        <v>629</v>
      </c>
      <c r="F3644" t="s">
        <v>672</v>
      </c>
      <c r="G3644" t="s">
        <v>686</v>
      </c>
      <c r="O3644">
        <v>114</v>
      </c>
      <c r="Q3644">
        <v>216</v>
      </c>
      <c r="S3644">
        <v>276</v>
      </c>
      <c r="U3644">
        <v>246</v>
      </c>
      <c r="W3644">
        <v>144</v>
      </c>
      <c r="CH3644" t="str">
        <f t="shared" si="56"/>
        <v>JV1-0695-3</v>
      </c>
    </row>
    <row r="3645" spans="1:86">
      <c r="A3645" t="s">
        <v>5446</v>
      </c>
      <c r="B3645">
        <v>4110</v>
      </c>
      <c r="C3645" t="s">
        <v>5447</v>
      </c>
      <c r="D3645" t="s">
        <v>457</v>
      </c>
      <c r="E3645" t="s">
        <v>629</v>
      </c>
      <c r="F3645" t="s">
        <v>672</v>
      </c>
      <c r="G3645" t="s">
        <v>1005</v>
      </c>
      <c r="O3645">
        <v>420</v>
      </c>
      <c r="Q3645">
        <v>318</v>
      </c>
      <c r="S3645">
        <v>576</v>
      </c>
      <c r="T3645">
        <v>18</v>
      </c>
      <c r="U3645">
        <v>612</v>
      </c>
      <c r="V3645">
        <v>330</v>
      </c>
      <c r="X3645">
        <v>258</v>
      </c>
      <c r="Y3645">
        <v>24</v>
      </c>
      <c r="Z3645">
        <v>588</v>
      </c>
      <c r="AB3645">
        <v>606</v>
      </c>
      <c r="AD3645">
        <v>150</v>
      </c>
      <c r="AF3645">
        <v>210</v>
      </c>
      <c r="CH3645" t="str">
        <f t="shared" si="56"/>
        <v>JV1-0695-3</v>
      </c>
    </row>
    <row r="3646" spans="1:86">
      <c r="A3646" t="s">
        <v>5448</v>
      </c>
      <c r="B3646">
        <v>1398</v>
      </c>
      <c r="C3646" t="s">
        <v>685</v>
      </c>
      <c r="D3646" t="s">
        <v>457</v>
      </c>
      <c r="E3646" t="s">
        <v>629</v>
      </c>
      <c r="F3646" t="s">
        <v>672</v>
      </c>
      <c r="G3646" t="s">
        <v>686</v>
      </c>
      <c r="N3646">
        <v>12</v>
      </c>
      <c r="O3646">
        <v>54</v>
      </c>
      <c r="P3646">
        <v>36</v>
      </c>
      <c r="Q3646">
        <v>180</v>
      </c>
      <c r="R3646">
        <v>114</v>
      </c>
      <c r="S3646">
        <v>300</v>
      </c>
      <c r="T3646">
        <v>138</v>
      </c>
      <c r="U3646">
        <v>240</v>
      </c>
      <c r="V3646">
        <v>24</v>
      </c>
      <c r="W3646">
        <v>60</v>
      </c>
      <c r="X3646">
        <v>36</v>
      </c>
      <c r="Y3646">
        <v>30</v>
      </c>
      <c r="Z3646">
        <v>24</v>
      </c>
      <c r="AA3646">
        <v>42</v>
      </c>
      <c r="AB3646">
        <v>30</v>
      </c>
      <c r="AC3646">
        <v>24</v>
      </c>
      <c r="AD3646">
        <v>18</v>
      </c>
      <c r="AF3646">
        <v>24</v>
      </c>
      <c r="AH3646">
        <v>12</v>
      </c>
      <c r="CH3646" t="str">
        <f t="shared" si="56"/>
        <v>JV1-0695-3</v>
      </c>
    </row>
    <row r="3647" spans="1:86">
      <c r="A3647" t="s">
        <v>5449</v>
      </c>
      <c r="B3647">
        <v>954</v>
      </c>
      <c r="C3647" t="s">
        <v>1031</v>
      </c>
      <c r="D3647" t="s">
        <v>457</v>
      </c>
      <c r="E3647" t="s">
        <v>629</v>
      </c>
      <c r="F3647" t="s">
        <v>672</v>
      </c>
      <c r="G3647" t="s">
        <v>1005</v>
      </c>
      <c r="O3647">
        <v>108</v>
      </c>
      <c r="P3647">
        <v>66</v>
      </c>
      <c r="Q3647">
        <v>198</v>
      </c>
      <c r="R3647">
        <v>96</v>
      </c>
      <c r="S3647">
        <v>258</v>
      </c>
      <c r="U3647">
        <v>162</v>
      </c>
      <c r="W3647">
        <v>66</v>
      </c>
      <c r="CH3647" t="str">
        <f t="shared" si="56"/>
        <v>JV1-0695-3</v>
      </c>
    </row>
    <row r="3648" spans="1:86">
      <c r="A3648" t="s">
        <v>5450</v>
      </c>
      <c r="B3648">
        <v>606</v>
      </c>
      <c r="C3648" t="s">
        <v>5451</v>
      </c>
      <c r="D3648" t="s">
        <v>457</v>
      </c>
      <c r="E3648" t="s">
        <v>629</v>
      </c>
      <c r="F3648" t="s">
        <v>672</v>
      </c>
      <c r="G3648" t="s">
        <v>686</v>
      </c>
      <c r="N3648">
        <v>6</v>
      </c>
      <c r="O3648">
        <v>42</v>
      </c>
      <c r="P3648">
        <v>42</v>
      </c>
      <c r="Q3648">
        <v>84</v>
      </c>
      <c r="R3648">
        <v>72</v>
      </c>
      <c r="S3648">
        <v>96</v>
      </c>
      <c r="T3648">
        <v>72</v>
      </c>
      <c r="U3648">
        <v>78</v>
      </c>
      <c r="V3648">
        <v>42</v>
      </c>
      <c r="W3648">
        <v>42</v>
      </c>
      <c r="X3648">
        <v>6</v>
      </c>
      <c r="Y3648">
        <v>12</v>
      </c>
      <c r="Z3648">
        <v>6</v>
      </c>
      <c r="AA3648">
        <v>6</v>
      </c>
      <c r="CH3648" t="str">
        <f t="shared" si="56"/>
        <v>JV1-0695-3</v>
      </c>
    </row>
    <row r="3649" spans="1:86">
      <c r="A3649" t="s">
        <v>5452</v>
      </c>
      <c r="B3649">
        <v>42</v>
      </c>
      <c r="C3649" t="s">
        <v>1045</v>
      </c>
      <c r="D3649" t="s">
        <v>223</v>
      </c>
      <c r="E3649" t="s">
        <v>629</v>
      </c>
      <c r="F3649" t="s">
        <v>693</v>
      </c>
      <c r="G3649" t="s">
        <v>2283</v>
      </c>
      <c r="S3649">
        <v>1</v>
      </c>
      <c r="T3649">
        <v>5</v>
      </c>
      <c r="U3649">
        <v>5</v>
      </c>
      <c r="V3649">
        <v>2</v>
      </c>
      <c r="W3649">
        <v>5</v>
      </c>
      <c r="X3649">
        <v>2</v>
      </c>
      <c r="Y3649">
        <v>5</v>
      </c>
      <c r="AA3649">
        <v>6</v>
      </c>
      <c r="AB3649">
        <v>5</v>
      </c>
      <c r="AD3649">
        <v>4</v>
      </c>
      <c r="AJ3649">
        <v>2</v>
      </c>
      <c r="CH3649" t="str">
        <f t="shared" si="56"/>
        <v>D-0263</v>
      </c>
    </row>
    <row r="3650" spans="1:86">
      <c r="A3650" t="s">
        <v>5453</v>
      </c>
      <c r="B3650">
        <v>3702</v>
      </c>
      <c r="C3650" t="s">
        <v>939</v>
      </c>
      <c r="D3650" t="s">
        <v>249</v>
      </c>
      <c r="E3650" t="s">
        <v>642</v>
      </c>
      <c r="F3650" t="s">
        <v>957</v>
      </c>
      <c r="G3650" t="s">
        <v>728</v>
      </c>
      <c r="Q3650">
        <v>79</v>
      </c>
      <c r="R3650">
        <v>143</v>
      </c>
      <c r="S3650">
        <v>334</v>
      </c>
      <c r="T3650">
        <v>366</v>
      </c>
      <c r="U3650">
        <v>338</v>
      </c>
      <c r="V3650">
        <v>445</v>
      </c>
      <c r="W3650">
        <v>485</v>
      </c>
      <c r="X3650">
        <v>205</v>
      </c>
      <c r="Y3650">
        <v>283</v>
      </c>
      <c r="Z3650">
        <v>173</v>
      </c>
      <c r="AA3650">
        <v>159</v>
      </c>
      <c r="AB3650">
        <v>214</v>
      </c>
      <c r="AC3650">
        <v>122</v>
      </c>
      <c r="AD3650">
        <v>121</v>
      </c>
      <c r="AE3650">
        <v>78</v>
      </c>
      <c r="AF3650">
        <v>58</v>
      </c>
      <c r="AG3650">
        <v>41</v>
      </c>
      <c r="AI3650">
        <v>33</v>
      </c>
      <c r="AK3650">
        <v>25</v>
      </c>
      <c r="CH3650" t="str">
        <f t="shared" ref="CH3650:CH3713" si="57">TRIM(IFERROR(IFERROR(MID($D3650,FIND("(D-",$D3650)+1,6),LEFT($D3650,FIND("(",$D3650)-1)),$D3650))</f>
        <v>D-0271</v>
      </c>
    </row>
    <row r="3651" spans="1:86">
      <c r="A3651" t="s">
        <v>5454</v>
      </c>
      <c r="B3651">
        <v>6360</v>
      </c>
      <c r="C3651" t="s">
        <v>940</v>
      </c>
      <c r="D3651" t="s">
        <v>249</v>
      </c>
      <c r="E3651" t="s">
        <v>642</v>
      </c>
      <c r="F3651" t="s">
        <v>657</v>
      </c>
      <c r="G3651" t="s">
        <v>941</v>
      </c>
      <c r="P3651">
        <v>58</v>
      </c>
      <c r="Q3651">
        <v>204</v>
      </c>
      <c r="R3651">
        <v>368</v>
      </c>
      <c r="S3651">
        <v>440</v>
      </c>
      <c r="T3651">
        <v>538</v>
      </c>
      <c r="U3651">
        <v>568</v>
      </c>
      <c r="V3651">
        <v>841</v>
      </c>
      <c r="W3651">
        <v>639</v>
      </c>
      <c r="X3651">
        <v>351</v>
      </c>
      <c r="Y3651">
        <v>479</v>
      </c>
      <c r="Z3651">
        <v>521</v>
      </c>
      <c r="AA3651">
        <v>233</v>
      </c>
      <c r="AB3651">
        <v>291</v>
      </c>
      <c r="AC3651">
        <v>201</v>
      </c>
      <c r="AD3651">
        <v>146</v>
      </c>
      <c r="AE3651">
        <v>149</v>
      </c>
      <c r="AF3651">
        <v>103</v>
      </c>
      <c r="AG3651">
        <v>85</v>
      </c>
      <c r="AH3651">
        <v>69</v>
      </c>
      <c r="AI3651">
        <v>42</v>
      </c>
      <c r="AK3651">
        <v>34</v>
      </c>
      <c r="CH3651" t="str">
        <f t="shared" si="57"/>
        <v>D-0271</v>
      </c>
    </row>
    <row r="3652" spans="1:86">
      <c r="A3652" t="s">
        <v>5455</v>
      </c>
      <c r="B3652">
        <v>5083</v>
      </c>
      <c r="C3652" t="s">
        <v>2282</v>
      </c>
      <c r="D3652" t="s">
        <v>114</v>
      </c>
      <c r="E3652" t="s">
        <v>642</v>
      </c>
      <c r="F3652" t="s">
        <v>632</v>
      </c>
      <c r="G3652" t="s">
        <v>2283</v>
      </c>
      <c r="P3652">
        <v>23</v>
      </c>
      <c r="Q3652">
        <v>290</v>
      </c>
      <c r="R3652">
        <v>691</v>
      </c>
      <c r="S3652">
        <v>795</v>
      </c>
      <c r="T3652">
        <v>945</v>
      </c>
      <c r="U3652">
        <v>970</v>
      </c>
      <c r="V3652">
        <v>513</v>
      </c>
      <c r="W3652">
        <v>507</v>
      </c>
      <c r="X3652">
        <v>137</v>
      </c>
      <c r="Y3652">
        <v>170</v>
      </c>
      <c r="AA3652">
        <v>31</v>
      </c>
      <c r="AB3652">
        <v>11</v>
      </c>
      <c r="CH3652" t="str">
        <f t="shared" si="57"/>
        <v>D-0002</v>
      </c>
    </row>
    <row r="3653" spans="1:86">
      <c r="A3653" t="s">
        <v>5456</v>
      </c>
      <c r="B3653">
        <v>7581</v>
      </c>
      <c r="C3653" t="s">
        <v>939</v>
      </c>
      <c r="D3653" t="s">
        <v>249</v>
      </c>
      <c r="E3653" t="s">
        <v>642</v>
      </c>
      <c r="F3653" t="s">
        <v>709</v>
      </c>
      <c r="G3653" t="s">
        <v>728</v>
      </c>
      <c r="P3653">
        <v>38</v>
      </c>
      <c r="Q3653">
        <v>223</v>
      </c>
      <c r="R3653">
        <v>202</v>
      </c>
      <c r="S3653">
        <v>980</v>
      </c>
      <c r="T3653">
        <v>524</v>
      </c>
      <c r="U3653">
        <v>1198</v>
      </c>
      <c r="V3653">
        <v>1019</v>
      </c>
      <c r="W3653">
        <v>1314</v>
      </c>
      <c r="X3653">
        <v>642</v>
      </c>
      <c r="Y3653">
        <v>840</v>
      </c>
      <c r="Z3653">
        <v>158</v>
      </c>
      <c r="AA3653">
        <v>309</v>
      </c>
      <c r="AB3653">
        <v>57</v>
      </c>
      <c r="AC3653">
        <v>38</v>
      </c>
      <c r="AD3653">
        <v>23</v>
      </c>
      <c r="AE3653">
        <v>6</v>
      </c>
      <c r="AF3653">
        <v>9</v>
      </c>
      <c r="AH3653">
        <v>1</v>
      </c>
      <c r="CH3653" t="str">
        <f t="shared" si="57"/>
        <v>D-0271</v>
      </c>
    </row>
    <row r="3654" spans="1:86">
      <c r="A3654" t="s">
        <v>5457</v>
      </c>
      <c r="B3654">
        <v>3145</v>
      </c>
      <c r="C3654" t="s">
        <v>1210</v>
      </c>
      <c r="D3654" t="s">
        <v>195</v>
      </c>
      <c r="E3654" t="s">
        <v>629</v>
      </c>
      <c r="F3654" t="s">
        <v>630</v>
      </c>
      <c r="G3654" t="s">
        <v>3369</v>
      </c>
      <c r="M3654">
        <v>3</v>
      </c>
      <c r="S3654">
        <v>13</v>
      </c>
      <c r="T3654">
        <v>112</v>
      </c>
      <c r="U3654">
        <v>125</v>
      </c>
      <c r="V3654">
        <v>278</v>
      </c>
      <c r="W3654">
        <v>239</v>
      </c>
      <c r="X3654">
        <v>453</v>
      </c>
      <c r="Y3654">
        <v>339</v>
      </c>
      <c r="Z3654">
        <v>446</v>
      </c>
      <c r="AA3654">
        <v>282</v>
      </c>
      <c r="AB3654">
        <v>327</v>
      </c>
      <c r="AC3654">
        <v>145</v>
      </c>
      <c r="AD3654">
        <v>232</v>
      </c>
      <c r="AE3654">
        <v>41</v>
      </c>
      <c r="AF3654">
        <v>89</v>
      </c>
      <c r="AH3654">
        <v>20</v>
      </c>
      <c r="AJ3654">
        <v>1</v>
      </c>
      <c r="CH3654" t="str">
        <f t="shared" si="57"/>
        <v>D-0189</v>
      </c>
    </row>
    <row r="3655" spans="1:86">
      <c r="A3655" t="s">
        <v>5458</v>
      </c>
      <c r="B3655">
        <v>3462</v>
      </c>
      <c r="C3655" t="s">
        <v>994</v>
      </c>
      <c r="D3655" t="s">
        <v>195</v>
      </c>
      <c r="E3655" t="s">
        <v>642</v>
      </c>
      <c r="F3655" t="s">
        <v>630</v>
      </c>
      <c r="G3655" t="s">
        <v>2283</v>
      </c>
      <c r="P3655">
        <v>6</v>
      </c>
      <c r="Q3655">
        <v>7</v>
      </c>
      <c r="R3655">
        <v>381</v>
      </c>
      <c r="S3655">
        <v>538</v>
      </c>
      <c r="T3655">
        <v>799</v>
      </c>
      <c r="U3655">
        <v>654</v>
      </c>
      <c r="V3655">
        <v>506</v>
      </c>
      <c r="W3655">
        <v>168</v>
      </c>
      <c r="X3655">
        <v>109</v>
      </c>
      <c r="Y3655">
        <v>104</v>
      </c>
      <c r="Z3655">
        <v>48</v>
      </c>
      <c r="AA3655">
        <v>90</v>
      </c>
      <c r="AB3655">
        <v>30</v>
      </c>
      <c r="AC3655">
        <v>20</v>
      </c>
      <c r="AD3655">
        <v>2</v>
      </c>
      <c r="CH3655" t="str">
        <f t="shared" si="57"/>
        <v>D-0189</v>
      </c>
    </row>
    <row r="3656" spans="1:86">
      <c r="A3656" t="s">
        <v>5459</v>
      </c>
      <c r="B3656">
        <v>3656</v>
      </c>
      <c r="C3656" t="s">
        <v>1212</v>
      </c>
      <c r="D3656" t="s">
        <v>195</v>
      </c>
      <c r="E3656" t="s">
        <v>642</v>
      </c>
      <c r="F3656" t="s">
        <v>630</v>
      </c>
      <c r="G3656" t="s">
        <v>3371</v>
      </c>
      <c r="P3656">
        <v>19</v>
      </c>
      <c r="Q3656">
        <v>41</v>
      </c>
      <c r="R3656">
        <v>254</v>
      </c>
      <c r="S3656">
        <v>385</v>
      </c>
      <c r="T3656">
        <v>574</v>
      </c>
      <c r="U3656">
        <v>572</v>
      </c>
      <c r="V3656">
        <v>688</v>
      </c>
      <c r="W3656">
        <v>381</v>
      </c>
      <c r="X3656">
        <v>254</v>
      </c>
      <c r="Y3656">
        <v>187</v>
      </c>
      <c r="Z3656">
        <v>121</v>
      </c>
      <c r="AA3656">
        <v>56</v>
      </c>
      <c r="AB3656">
        <v>69</v>
      </c>
      <c r="AC3656">
        <v>36</v>
      </c>
      <c r="AD3656">
        <v>19</v>
      </c>
      <c r="CH3656" t="str">
        <f t="shared" si="57"/>
        <v>D-0189</v>
      </c>
    </row>
    <row r="3657" spans="1:86">
      <c r="A3657" t="s">
        <v>5460</v>
      </c>
      <c r="B3657">
        <v>4107</v>
      </c>
      <c r="C3657" t="s">
        <v>1517</v>
      </c>
      <c r="D3657" t="s">
        <v>195</v>
      </c>
      <c r="E3657" t="s">
        <v>642</v>
      </c>
      <c r="F3657" t="s">
        <v>630</v>
      </c>
      <c r="G3657" t="s">
        <v>5461</v>
      </c>
      <c r="P3657">
        <v>26</v>
      </c>
      <c r="Q3657">
        <v>66</v>
      </c>
      <c r="R3657">
        <v>165</v>
      </c>
      <c r="S3657">
        <v>311</v>
      </c>
      <c r="T3657">
        <v>356</v>
      </c>
      <c r="U3657">
        <v>496</v>
      </c>
      <c r="V3657">
        <v>559</v>
      </c>
      <c r="W3657">
        <v>568</v>
      </c>
      <c r="X3657">
        <v>426</v>
      </c>
      <c r="Y3657">
        <v>443</v>
      </c>
      <c r="Z3657">
        <v>248</v>
      </c>
      <c r="AA3657">
        <v>198</v>
      </c>
      <c r="AB3657">
        <v>140</v>
      </c>
      <c r="AC3657">
        <v>66</v>
      </c>
      <c r="AD3657">
        <v>39</v>
      </c>
      <c r="CH3657" t="str">
        <f t="shared" si="57"/>
        <v>D-0189</v>
      </c>
    </row>
    <row r="3658" spans="1:86">
      <c r="A3658" t="s">
        <v>5462</v>
      </c>
      <c r="B3658">
        <v>3777</v>
      </c>
      <c r="C3658" t="s">
        <v>1044</v>
      </c>
      <c r="D3658" t="s">
        <v>352</v>
      </c>
      <c r="E3658" t="s">
        <v>642</v>
      </c>
      <c r="F3658" t="s">
        <v>645</v>
      </c>
      <c r="G3658" t="s">
        <v>2693</v>
      </c>
      <c r="P3658">
        <v>24</v>
      </c>
      <c r="Q3658">
        <v>144</v>
      </c>
      <c r="R3658">
        <v>462</v>
      </c>
      <c r="S3658">
        <v>654</v>
      </c>
      <c r="T3658">
        <v>751</v>
      </c>
      <c r="U3658">
        <v>726</v>
      </c>
      <c r="V3658">
        <v>558</v>
      </c>
      <c r="W3658">
        <v>288</v>
      </c>
      <c r="X3658">
        <v>74</v>
      </c>
      <c r="Y3658">
        <v>54</v>
      </c>
      <c r="Z3658">
        <v>6</v>
      </c>
      <c r="AA3658">
        <v>18</v>
      </c>
      <c r="AB3658">
        <v>6</v>
      </c>
      <c r="AC3658">
        <v>6</v>
      </c>
      <c r="AD3658">
        <v>6</v>
      </c>
      <c r="CH3658" t="str">
        <f t="shared" si="57"/>
        <v>D-0515</v>
      </c>
    </row>
    <row r="3659" spans="1:86">
      <c r="A3659" t="s">
        <v>5463</v>
      </c>
      <c r="B3659">
        <v>5400</v>
      </c>
      <c r="C3659" t="s">
        <v>940</v>
      </c>
      <c r="D3659" t="s">
        <v>249</v>
      </c>
      <c r="E3659" t="s">
        <v>642</v>
      </c>
      <c r="F3659" t="s">
        <v>657</v>
      </c>
      <c r="G3659" t="s">
        <v>941</v>
      </c>
      <c r="P3659">
        <v>72</v>
      </c>
      <c r="Q3659">
        <v>154</v>
      </c>
      <c r="R3659">
        <v>276</v>
      </c>
      <c r="S3659">
        <v>300</v>
      </c>
      <c r="T3659">
        <v>625</v>
      </c>
      <c r="U3659">
        <v>468</v>
      </c>
      <c r="V3659">
        <v>816</v>
      </c>
      <c r="W3659">
        <v>600</v>
      </c>
      <c r="X3659">
        <v>722</v>
      </c>
      <c r="Y3659">
        <v>480</v>
      </c>
      <c r="Z3659">
        <v>372</v>
      </c>
      <c r="AA3659">
        <v>94</v>
      </c>
      <c r="AB3659">
        <v>204</v>
      </c>
      <c r="AC3659">
        <v>5</v>
      </c>
      <c r="AD3659">
        <v>194</v>
      </c>
      <c r="AE3659">
        <v>2</v>
      </c>
      <c r="AF3659">
        <v>14</v>
      </c>
      <c r="AG3659">
        <v>2</v>
      </c>
      <c r="CH3659" t="str">
        <f t="shared" si="57"/>
        <v>D-0271</v>
      </c>
    </row>
    <row r="3660" spans="1:86">
      <c r="A3660" t="s">
        <v>5464</v>
      </c>
      <c r="B3660">
        <v>3631</v>
      </c>
      <c r="C3660" t="s">
        <v>940</v>
      </c>
      <c r="D3660" t="s">
        <v>249</v>
      </c>
      <c r="E3660" t="s">
        <v>642</v>
      </c>
      <c r="F3660" t="s">
        <v>657</v>
      </c>
      <c r="G3660" t="s">
        <v>941</v>
      </c>
      <c r="R3660">
        <v>165</v>
      </c>
      <c r="S3660">
        <v>201</v>
      </c>
      <c r="T3660">
        <v>507</v>
      </c>
      <c r="U3660">
        <v>337</v>
      </c>
      <c r="V3660">
        <v>714</v>
      </c>
      <c r="W3660">
        <v>468</v>
      </c>
      <c r="X3660">
        <v>595</v>
      </c>
      <c r="Y3660">
        <v>332</v>
      </c>
      <c r="Z3660">
        <v>259</v>
      </c>
      <c r="AB3660">
        <v>53</v>
      </c>
      <c r="CH3660" t="str">
        <f t="shared" si="57"/>
        <v>D-0271</v>
      </c>
    </row>
    <row r="3661" spans="1:86">
      <c r="A3661" t="s">
        <v>5465</v>
      </c>
      <c r="B3661">
        <v>7469</v>
      </c>
      <c r="C3661" t="s">
        <v>1449</v>
      </c>
      <c r="D3661" t="s">
        <v>249</v>
      </c>
      <c r="E3661" t="s">
        <v>642</v>
      </c>
      <c r="F3661" t="s">
        <v>657</v>
      </c>
      <c r="G3661" t="s">
        <v>719</v>
      </c>
      <c r="P3661">
        <v>4</v>
      </c>
      <c r="Q3661">
        <v>122</v>
      </c>
      <c r="R3661">
        <v>316</v>
      </c>
      <c r="S3661">
        <v>633</v>
      </c>
      <c r="T3661">
        <v>909</v>
      </c>
      <c r="U3661">
        <v>1034</v>
      </c>
      <c r="V3661">
        <v>1176</v>
      </c>
      <c r="W3661">
        <v>1127</v>
      </c>
      <c r="X3661">
        <v>753</v>
      </c>
      <c r="Y3661">
        <v>762</v>
      </c>
      <c r="Z3661">
        <v>358</v>
      </c>
      <c r="AA3661">
        <v>125</v>
      </c>
      <c r="AB3661">
        <v>145</v>
      </c>
      <c r="AC3661">
        <v>3</v>
      </c>
      <c r="AD3661">
        <v>2</v>
      </c>
      <c r="CH3661" t="str">
        <f t="shared" si="57"/>
        <v>D-0271</v>
      </c>
    </row>
    <row r="3662" spans="1:86">
      <c r="A3662" t="s">
        <v>5466</v>
      </c>
      <c r="B3662">
        <v>5732</v>
      </c>
      <c r="C3662" t="s">
        <v>2383</v>
      </c>
      <c r="D3662" t="s">
        <v>249</v>
      </c>
      <c r="E3662" t="s">
        <v>629</v>
      </c>
      <c r="F3662" t="s">
        <v>657</v>
      </c>
      <c r="G3662" t="s">
        <v>2384</v>
      </c>
      <c r="M3662">
        <v>2</v>
      </c>
      <c r="N3662">
        <v>18</v>
      </c>
      <c r="O3662">
        <v>38</v>
      </c>
      <c r="P3662">
        <v>65</v>
      </c>
      <c r="Q3662">
        <v>97</v>
      </c>
      <c r="R3662">
        <v>123</v>
      </c>
      <c r="S3662">
        <v>244</v>
      </c>
      <c r="T3662">
        <v>241</v>
      </c>
      <c r="U3662">
        <v>233</v>
      </c>
      <c r="V3662">
        <v>480</v>
      </c>
      <c r="W3662">
        <v>396</v>
      </c>
      <c r="X3662">
        <v>578</v>
      </c>
      <c r="Y3662">
        <v>480</v>
      </c>
      <c r="Z3662">
        <v>612</v>
      </c>
      <c r="AA3662">
        <v>372</v>
      </c>
      <c r="AB3662">
        <v>504</v>
      </c>
      <c r="AC3662">
        <v>276</v>
      </c>
      <c r="AD3662">
        <v>360</v>
      </c>
      <c r="AE3662">
        <v>162</v>
      </c>
      <c r="AF3662">
        <v>204</v>
      </c>
      <c r="AH3662">
        <v>163</v>
      </c>
      <c r="AJ3662">
        <v>84</v>
      </c>
      <c r="CH3662" t="str">
        <f t="shared" si="57"/>
        <v>D-0271</v>
      </c>
    </row>
    <row r="3663" spans="1:86">
      <c r="A3663" t="s">
        <v>5467</v>
      </c>
      <c r="B3663">
        <v>3211</v>
      </c>
      <c r="C3663" t="s">
        <v>2383</v>
      </c>
      <c r="D3663" t="s">
        <v>249</v>
      </c>
      <c r="E3663" t="s">
        <v>629</v>
      </c>
      <c r="F3663" t="s">
        <v>657</v>
      </c>
      <c r="G3663" t="s">
        <v>2384</v>
      </c>
      <c r="T3663">
        <v>156</v>
      </c>
      <c r="V3663">
        <v>340</v>
      </c>
      <c r="W3663">
        <v>271</v>
      </c>
      <c r="X3663">
        <v>462</v>
      </c>
      <c r="Y3663">
        <v>343</v>
      </c>
      <c r="Z3663">
        <v>504</v>
      </c>
      <c r="AA3663">
        <v>257</v>
      </c>
      <c r="AB3663">
        <v>396</v>
      </c>
      <c r="AC3663">
        <v>141</v>
      </c>
      <c r="AD3663">
        <v>242</v>
      </c>
      <c r="AF3663">
        <v>99</v>
      </c>
      <c r="CH3663" t="str">
        <f t="shared" si="57"/>
        <v>D-0271</v>
      </c>
    </row>
    <row r="3664" spans="1:86">
      <c r="A3664" t="s">
        <v>5468</v>
      </c>
      <c r="B3664">
        <v>6537</v>
      </c>
      <c r="C3664" t="s">
        <v>1447</v>
      </c>
      <c r="D3664" t="s">
        <v>249</v>
      </c>
      <c r="E3664" t="s">
        <v>629</v>
      </c>
      <c r="F3664" t="s">
        <v>657</v>
      </c>
      <c r="G3664" t="s">
        <v>1448</v>
      </c>
      <c r="R3664">
        <v>161</v>
      </c>
      <c r="S3664">
        <v>164</v>
      </c>
      <c r="T3664">
        <v>317</v>
      </c>
      <c r="U3664">
        <v>195</v>
      </c>
      <c r="V3664">
        <v>470</v>
      </c>
      <c r="W3664">
        <v>560</v>
      </c>
      <c r="X3664">
        <v>842</v>
      </c>
      <c r="Y3664">
        <v>709</v>
      </c>
      <c r="Z3664">
        <v>811</v>
      </c>
      <c r="AA3664">
        <v>487</v>
      </c>
      <c r="AB3664">
        <v>711</v>
      </c>
      <c r="AC3664">
        <v>220</v>
      </c>
      <c r="AD3664">
        <v>423</v>
      </c>
      <c r="AE3664">
        <v>154</v>
      </c>
      <c r="AF3664">
        <v>192</v>
      </c>
      <c r="AH3664">
        <v>63</v>
      </c>
      <c r="AJ3664">
        <v>58</v>
      </c>
      <c r="CH3664" t="str">
        <f t="shared" si="57"/>
        <v>D-0271</v>
      </c>
    </row>
    <row r="3665" spans="1:86">
      <c r="A3665" t="s">
        <v>5469</v>
      </c>
      <c r="B3665">
        <v>1887</v>
      </c>
      <c r="C3665" t="s">
        <v>727</v>
      </c>
      <c r="D3665" t="s">
        <v>505</v>
      </c>
      <c r="E3665" t="s">
        <v>629</v>
      </c>
      <c r="F3665" t="s">
        <v>657</v>
      </c>
      <c r="G3665" t="s">
        <v>728</v>
      </c>
      <c r="T3665">
        <v>91</v>
      </c>
      <c r="V3665">
        <v>198</v>
      </c>
      <c r="W3665">
        <v>72</v>
      </c>
      <c r="X3665">
        <v>314</v>
      </c>
      <c r="Y3665">
        <v>114</v>
      </c>
      <c r="Z3665">
        <v>354</v>
      </c>
      <c r="AA3665">
        <v>132</v>
      </c>
      <c r="AB3665">
        <v>234</v>
      </c>
      <c r="AC3665">
        <v>120</v>
      </c>
      <c r="AD3665">
        <v>144</v>
      </c>
      <c r="AF3665">
        <v>78</v>
      </c>
      <c r="AH3665">
        <v>36</v>
      </c>
      <c r="CH3665" t="str">
        <f t="shared" si="57"/>
        <v>QMR-2</v>
      </c>
    </row>
    <row r="3666" spans="1:86">
      <c r="A3666" t="s">
        <v>5470</v>
      </c>
      <c r="B3666">
        <v>4068</v>
      </c>
      <c r="C3666" t="s">
        <v>1273</v>
      </c>
      <c r="D3666" t="s">
        <v>352</v>
      </c>
      <c r="E3666" t="s">
        <v>642</v>
      </c>
      <c r="F3666" t="s">
        <v>645</v>
      </c>
      <c r="G3666" t="s">
        <v>1274</v>
      </c>
      <c r="P3666">
        <v>98</v>
      </c>
      <c r="Q3666">
        <v>215</v>
      </c>
      <c r="R3666">
        <v>493</v>
      </c>
      <c r="S3666">
        <v>696</v>
      </c>
      <c r="T3666">
        <v>757</v>
      </c>
      <c r="U3666">
        <v>606</v>
      </c>
      <c r="V3666">
        <v>518</v>
      </c>
      <c r="W3666">
        <v>334</v>
      </c>
      <c r="X3666">
        <v>167</v>
      </c>
      <c r="Y3666">
        <v>66</v>
      </c>
      <c r="Z3666">
        <v>61</v>
      </c>
      <c r="AA3666">
        <v>19</v>
      </c>
      <c r="AB3666">
        <v>20</v>
      </c>
      <c r="AC3666">
        <v>8</v>
      </c>
      <c r="AD3666">
        <v>10</v>
      </c>
      <c r="CH3666" t="str">
        <f t="shared" si="57"/>
        <v>D-0515</v>
      </c>
    </row>
    <row r="3667" spans="1:86">
      <c r="A3667" t="s">
        <v>5471</v>
      </c>
      <c r="B3667">
        <v>5447</v>
      </c>
      <c r="C3667" t="s">
        <v>1320</v>
      </c>
      <c r="D3667" t="s">
        <v>249</v>
      </c>
      <c r="E3667" t="s">
        <v>629</v>
      </c>
      <c r="F3667" t="s">
        <v>657</v>
      </c>
      <c r="G3667" t="s">
        <v>710</v>
      </c>
      <c r="M3667">
        <v>1</v>
      </c>
      <c r="N3667">
        <v>7</v>
      </c>
      <c r="O3667">
        <v>13</v>
      </c>
      <c r="P3667">
        <v>25</v>
      </c>
      <c r="Q3667">
        <v>36</v>
      </c>
      <c r="R3667">
        <v>91</v>
      </c>
      <c r="S3667">
        <v>116</v>
      </c>
      <c r="T3667">
        <v>217</v>
      </c>
      <c r="U3667">
        <v>228</v>
      </c>
      <c r="V3667">
        <v>420</v>
      </c>
      <c r="W3667">
        <v>300</v>
      </c>
      <c r="X3667">
        <v>602</v>
      </c>
      <c r="Y3667">
        <v>420</v>
      </c>
      <c r="Z3667">
        <v>684</v>
      </c>
      <c r="AA3667">
        <v>360</v>
      </c>
      <c r="AB3667">
        <v>564</v>
      </c>
      <c r="AC3667">
        <v>240</v>
      </c>
      <c r="AD3667">
        <v>420</v>
      </c>
      <c r="AE3667">
        <v>185</v>
      </c>
      <c r="AF3667">
        <v>240</v>
      </c>
      <c r="AH3667">
        <v>186</v>
      </c>
      <c r="AJ3667">
        <v>92</v>
      </c>
      <c r="CH3667" t="str">
        <f t="shared" si="57"/>
        <v>D-0271</v>
      </c>
    </row>
    <row r="3668" spans="1:86">
      <c r="A3668" t="s">
        <v>5472</v>
      </c>
      <c r="B3668">
        <v>4250</v>
      </c>
      <c r="C3668" t="s">
        <v>1320</v>
      </c>
      <c r="D3668" t="s">
        <v>249</v>
      </c>
      <c r="E3668" t="s">
        <v>629</v>
      </c>
      <c r="F3668" t="s">
        <v>657</v>
      </c>
      <c r="G3668" t="s">
        <v>710</v>
      </c>
      <c r="T3668">
        <v>196</v>
      </c>
      <c r="U3668">
        <v>92</v>
      </c>
      <c r="V3668">
        <v>360</v>
      </c>
      <c r="W3668">
        <v>300</v>
      </c>
      <c r="X3668">
        <v>602</v>
      </c>
      <c r="Y3668">
        <v>360</v>
      </c>
      <c r="Z3668">
        <v>660</v>
      </c>
      <c r="AA3668">
        <v>300</v>
      </c>
      <c r="AB3668">
        <v>564</v>
      </c>
      <c r="AC3668">
        <v>240</v>
      </c>
      <c r="AD3668">
        <v>360</v>
      </c>
      <c r="AF3668">
        <v>216</v>
      </c>
      <c r="CH3668" t="str">
        <f t="shared" si="57"/>
        <v>D-0271</v>
      </c>
    </row>
    <row r="3669" spans="1:86">
      <c r="A3669" t="s">
        <v>5473</v>
      </c>
      <c r="B3669">
        <v>3448</v>
      </c>
      <c r="C3669" t="s">
        <v>1320</v>
      </c>
      <c r="D3669" t="s">
        <v>249</v>
      </c>
      <c r="E3669" t="s">
        <v>629</v>
      </c>
      <c r="F3669" t="s">
        <v>657</v>
      </c>
      <c r="G3669" t="s">
        <v>710</v>
      </c>
      <c r="V3669">
        <v>361</v>
      </c>
      <c r="W3669">
        <v>240</v>
      </c>
      <c r="X3669">
        <v>542</v>
      </c>
      <c r="Y3669">
        <v>360</v>
      </c>
      <c r="Z3669">
        <v>600</v>
      </c>
      <c r="AA3669">
        <v>300</v>
      </c>
      <c r="AB3669">
        <v>480</v>
      </c>
      <c r="AC3669">
        <v>153</v>
      </c>
      <c r="AD3669">
        <v>300</v>
      </c>
      <c r="AF3669">
        <v>112</v>
      </c>
      <c r="CH3669" t="str">
        <f t="shared" si="57"/>
        <v>D-0271</v>
      </c>
    </row>
    <row r="3670" spans="1:86">
      <c r="A3670" t="s">
        <v>5474</v>
      </c>
      <c r="B3670">
        <v>2099</v>
      </c>
      <c r="C3670" t="s">
        <v>1320</v>
      </c>
      <c r="D3670" t="s">
        <v>249</v>
      </c>
      <c r="E3670" t="s">
        <v>629</v>
      </c>
      <c r="F3670" t="s">
        <v>657</v>
      </c>
      <c r="G3670" t="s">
        <v>710</v>
      </c>
      <c r="V3670">
        <v>196</v>
      </c>
      <c r="W3670">
        <v>115</v>
      </c>
      <c r="X3670">
        <v>400</v>
      </c>
      <c r="Y3670">
        <v>226</v>
      </c>
      <c r="Z3670">
        <v>500</v>
      </c>
      <c r="AA3670">
        <v>137</v>
      </c>
      <c r="AB3670">
        <v>348</v>
      </c>
      <c r="AD3670">
        <v>177</v>
      </c>
      <c r="CH3670" t="str">
        <f t="shared" si="57"/>
        <v>D-0271</v>
      </c>
    </row>
    <row r="3671" spans="1:86">
      <c r="A3671" t="s">
        <v>5475</v>
      </c>
      <c r="B3671">
        <v>614</v>
      </c>
      <c r="C3671" t="s">
        <v>4705</v>
      </c>
      <c r="D3671" t="s">
        <v>397</v>
      </c>
      <c r="E3671" t="s">
        <v>696</v>
      </c>
      <c r="F3671" t="s">
        <v>716</v>
      </c>
      <c r="G3671" t="s">
        <v>2283</v>
      </c>
      <c r="H3671">
        <v>79</v>
      </c>
      <c r="I3671">
        <v>66</v>
      </c>
      <c r="J3671">
        <v>20</v>
      </c>
      <c r="K3671">
        <v>74</v>
      </c>
      <c r="L3671">
        <v>78</v>
      </c>
      <c r="AA3671">
        <v>6</v>
      </c>
      <c r="AB3671">
        <v>50</v>
      </c>
      <c r="AC3671">
        <v>18</v>
      </c>
      <c r="AD3671">
        <v>64</v>
      </c>
      <c r="AE3671">
        <v>64</v>
      </c>
      <c r="AF3671">
        <v>73</v>
      </c>
      <c r="AG3671">
        <v>22</v>
      </c>
      <c r="CH3671" t="str">
        <f t="shared" si="57"/>
        <v>D-0578</v>
      </c>
    </row>
    <row r="3672" spans="1:86">
      <c r="A3672" t="s">
        <v>5476</v>
      </c>
      <c r="B3672">
        <v>4627</v>
      </c>
      <c r="C3672" t="s">
        <v>2711</v>
      </c>
      <c r="D3672" t="s">
        <v>395</v>
      </c>
      <c r="E3672" t="s">
        <v>659</v>
      </c>
      <c r="F3672" t="s">
        <v>726</v>
      </c>
      <c r="G3672" t="s">
        <v>2593</v>
      </c>
      <c r="N3672">
        <v>156</v>
      </c>
      <c r="P3672">
        <v>403</v>
      </c>
      <c r="R3672">
        <v>480</v>
      </c>
      <c r="T3672">
        <v>576</v>
      </c>
      <c r="V3672">
        <v>864</v>
      </c>
      <c r="X3672">
        <v>1056</v>
      </c>
      <c r="Z3672">
        <v>1092</v>
      </c>
      <c r="CH3672" t="str">
        <f t="shared" si="57"/>
        <v>D-0577</v>
      </c>
    </row>
    <row r="3673" spans="1:86">
      <c r="A3673" t="s">
        <v>5477</v>
      </c>
      <c r="B3673">
        <v>564</v>
      </c>
      <c r="C3673" t="s">
        <v>1164</v>
      </c>
      <c r="D3673" t="s">
        <v>395</v>
      </c>
      <c r="E3673" t="s">
        <v>659</v>
      </c>
      <c r="F3673" t="s">
        <v>726</v>
      </c>
      <c r="G3673" t="s">
        <v>2732</v>
      </c>
      <c r="J3673">
        <v>10</v>
      </c>
      <c r="L3673">
        <v>13</v>
      </c>
      <c r="N3673">
        <v>29</v>
      </c>
      <c r="P3673">
        <v>62</v>
      </c>
      <c r="R3673">
        <v>64</v>
      </c>
      <c r="T3673">
        <v>98</v>
      </c>
      <c r="V3673">
        <v>97</v>
      </c>
      <c r="X3673">
        <v>99</v>
      </c>
      <c r="Z3673">
        <v>92</v>
      </c>
      <c r="CH3673" t="str">
        <f t="shared" si="57"/>
        <v>D-0577</v>
      </c>
    </row>
    <row r="3674" spans="1:86">
      <c r="A3674" t="s">
        <v>5478</v>
      </c>
      <c r="B3674">
        <v>72</v>
      </c>
      <c r="C3674" t="s">
        <v>976</v>
      </c>
      <c r="D3674" t="s">
        <v>116</v>
      </c>
      <c r="E3674" t="s">
        <v>974</v>
      </c>
      <c r="F3674" t="s">
        <v>632</v>
      </c>
      <c r="G3674" t="s">
        <v>2693</v>
      </c>
      <c r="S3674">
        <v>30</v>
      </c>
      <c r="T3674">
        <v>42</v>
      </c>
      <c r="CH3674" t="str">
        <f t="shared" si="57"/>
        <v>D-0005</v>
      </c>
    </row>
    <row r="3675" spans="1:86">
      <c r="A3675" t="s">
        <v>5479</v>
      </c>
      <c r="B3675">
        <v>1222</v>
      </c>
      <c r="C3675" t="s">
        <v>4814</v>
      </c>
      <c r="D3675" t="s">
        <v>119</v>
      </c>
      <c r="E3675" t="s">
        <v>659</v>
      </c>
      <c r="F3675" t="s">
        <v>4815</v>
      </c>
      <c r="G3675" t="s">
        <v>3836</v>
      </c>
      <c r="X3675">
        <v>1222</v>
      </c>
      <c r="CH3675" t="str">
        <f t="shared" si="57"/>
        <v>D-0007</v>
      </c>
    </row>
    <row r="3676" spans="1:86">
      <c r="A3676" t="s">
        <v>5480</v>
      </c>
      <c r="B3676">
        <v>2931</v>
      </c>
      <c r="C3676" t="s">
        <v>4814</v>
      </c>
      <c r="D3676" t="s">
        <v>119</v>
      </c>
      <c r="E3676" t="s">
        <v>659</v>
      </c>
      <c r="F3676" t="s">
        <v>4815</v>
      </c>
      <c r="G3676" t="s">
        <v>3836</v>
      </c>
      <c r="J3676">
        <v>138</v>
      </c>
      <c r="L3676">
        <v>172</v>
      </c>
      <c r="N3676">
        <v>275</v>
      </c>
      <c r="P3676">
        <v>385</v>
      </c>
      <c r="R3676">
        <v>482</v>
      </c>
      <c r="T3676">
        <v>516</v>
      </c>
      <c r="V3676">
        <v>516</v>
      </c>
      <c r="Z3676">
        <v>447</v>
      </c>
      <c r="CH3676" t="str">
        <f t="shared" si="57"/>
        <v>D-0007</v>
      </c>
    </row>
    <row r="3677" spans="1:86">
      <c r="A3677" t="s">
        <v>5481</v>
      </c>
      <c r="B3677">
        <v>3968</v>
      </c>
      <c r="C3677" t="s">
        <v>4814</v>
      </c>
      <c r="D3677" t="s">
        <v>119</v>
      </c>
      <c r="E3677" t="s">
        <v>659</v>
      </c>
      <c r="F3677" t="s">
        <v>4815</v>
      </c>
      <c r="G3677" t="s">
        <v>3836</v>
      </c>
      <c r="J3677">
        <v>186</v>
      </c>
      <c r="L3677">
        <v>233</v>
      </c>
      <c r="N3677">
        <v>373</v>
      </c>
      <c r="P3677">
        <v>520</v>
      </c>
      <c r="R3677">
        <v>652</v>
      </c>
      <c r="T3677">
        <v>699</v>
      </c>
      <c r="V3677">
        <v>699</v>
      </c>
      <c r="Z3677">
        <v>606</v>
      </c>
      <c r="CH3677" t="str">
        <f t="shared" si="57"/>
        <v>D-0007</v>
      </c>
    </row>
    <row r="3678" spans="1:86">
      <c r="A3678" t="s">
        <v>5482</v>
      </c>
      <c r="B3678">
        <v>763</v>
      </c>
      <c r="C3678" t="s">
        <v>3825</v>
      </c>
      <c r="D3678" t="s">
        <v>435</v>
      </c>
      <c r="E3678" t="s">
        <v>629</v>
      </c>
      <c r="F3678" t="s">
        <v>644</v>
      </c>
      <c r="G3678" t="s">
        <v>3826</v>
      </c>
      <c r="Z3678">
        <v>763</v>
      </c>
      <c r="CH3678" t="str">
        <f t="shared" si="57"/>
        <v>D-0638</v>
      </c>
    </row>
    <row r="3679" spans="1:86">
      <c r="A3679" t="s">
        <v>5483</v>
      </c>
      <c r="B3679">
        <v>4644</v>
      </c>
      <c r="C3679" t="s">
        <v>3825</v>
      </c>
      <c r="D3679" t="s">
        <v>435</v>
      </c>
      <c r="E3679" t="s">
        <v>629</v>
      </c>
      <c r="F3679" t="s">
        <v>644</v>
      </c>
      <c r="G3679" t="s">
        <v>3826</v>
      </c>
      <c r="T3679">
        <v>115</v>
      </c>
      <c r="U3679">
        <v>162</v>
      </c>
      <c r="V3679">
        <v>486</v>
      </c>
      <c r="W3679">
        <v>432</v>
      </c>
      <c r="X3679">
        <v>594</v>
      </c>
      <c r="Y3679">
        <v>533</v>
      </c>
      <c r="AA3679">
        <v>648</v>
      </c>
      <c r="AB3679">
        <v>594</v>
      </c>
      <c r="AC3679">
        <v>270</v>
      </c>
      <c r="AD3679">
        <v>486</v>
      </c>
      <c r="AF3679">
        <v>324</v>
      </c>
      <c r="CH3679" t="str">
        <f t="shared" si="57"/>
        <v>D-0638</v>
      </c>
    </row>
    <row r="3680" spans="1:86">
      <c r="A3680" t="s">
        <v>5484</v>
      </c>
      <c r="B3680">
        <v>812</v>
      </c>
      <c r="C3680" t="s">
        <v>1029</v>
      </c>
      <c r="D3680" t="s">
        <v>397</v>
      </c>
      <c r="E3680" t="s">
        <v>696</v>
      </c>
      <c r="F3680" t="s">
        <v>716</v>
      </c>
      <c r="G3680" t="s">
        <v>2593</v>
      </c>
      <c r="H3680">
        <v>19</v>
      </c>
      <c r="I3680">
        <v>182</v>
      </c>
      <c r="K3680">
        <v>220</v>
      </c>
      <c r="L3680">
        <v>196</v>
      </c>
      <c r="AB3680">
        <v>47</v>
      </c>
      <c r="AD3680">
        <v>51</v>
      </c>
      <c r="AE3680">
        <v>26</v>
      </c>
      <c r="AF3680">
        <v>60</v>
      </c>
      <c r="AG3680">
        <v>11</v>
      </c>
      <c r="CH3680" t="str">
        <f t="shared" si="57"/>
        <v>D-0578</v>
      </c>
    </row>
    <row r="3681" spans="1:86">
      <c r="A3681" t="s">
        <v>5485</v>
      </c>
      <c r="B3681">
        <v>1062</v>
      </c>
      <c r="C3681" t="s">
        <v>4705</v>
      </c>
      <c r="D3681" t="s">
        <v>397</v>
      </c>
      <c r="E3681" t="s">
        <v>696</v>
      </c>
      <c r="F3681" t="s">
        <v>716</v>
      </c>
      <c r="G3681" t="s">
        <v>2283</v>
      </c>
      <c r="H3681">
        <v>146</v>
      </c>
      <c r="I3681">
        <v>82</v>
      </c>
      <c r="J3681">
        <v>110</v>
      </c>
      <c r="K3681">
        <v>87</v>
      </c>
      <c r="L3681">
        <v>130</v>
      </c>
      <c r="AA3681">
        <v>35</v>
      </c>
      <c r="AB3681">
        <v>92</v>
      </c>
      <c r="AC3681">
        <v>40</v>
      </c>
      <c r="AD3681">
        <v>116</v>
      </c>
      <c r="AE3681">
        <v>53</v>
      </c>
      <c r="AF3681">
        <v>136</v>
      </c>
      <c r="AG3681">
        <v>35</v>
      </c>
      <c r="CH3681" t="str">
        <f t="shared" si="57"/>
        <v>D-0578</v>
      </c>
    </row>
    <row r="3682" spans="1:86">
      <c r="A3682" t="s">
        <v>5486</v>
      </c>
      <c r="B3682">
        <v>2773</v>
      </c>
      <c r="C3682" t="s">
        <v>4720</v>
      </c>
      <c r="D3682" t="s">
        <v>397</v>
      </c>
      <c r="E3682" t="s">
        <v>696</v>
      </c>
      <c r="F3682" t="s">
        <v>716</v>
      </c>
      <c r="G3682" t="s">
        <v>3389</v>
      </c>
      <c r="H3682">
        <v>360</v>
      </c>
      <c r="I3682">
        <v>276</v>
      </c>
      <c r="J3682">
        <v>342</v>
      </c>
      <c r="K3682">
        <v>240</v>
      </c>
      <c r="L3682">
        <v>282</v>
      </c>
      <c r="AB3682">
        <v>258</v>
      </c>
      <c r="AD3682">
        <v>265</v>
      </c>
      <c r="AE3682">
        <v>198</v>
      </c>
      <c r="AF3682">
        <v>318</v>
      </c>
      <c r="AG3682">
        <v>234</v>
      </c>
      <c r="CH3682" t="str">
        <f t="shared" si="57"/>
        <v>D-0578</v>
      </c>
    </row>
    <row r="3683" spans="1:86">
      <c r="A3683" t="s">
        <v>5487</v>
      </c>
      <c r="B3683">
        <v>797</v>
      </c>
      <c r="C3683" t="s">
        <v>2731</v>
      </c>
      <c r="D3683" t="s">
        <v>397</v>
      </c>
      <c r="E3683" t="s">
        <v>696</v>
      </c>
      <c r="F3683" t="s">
        <v>716</v>
      </c>
      <c r="G3683" t="s">
        <v>2732</v>
      </c>
      <c r="H3683">
        <v>100</v>
      </c>
      <c r="I3683">
        <v>103</v>
      </c>
      <c r="J3683">
        <v>44</v>
      </c>
      <c r="K3683">
        <v>125</v>
      </c>
      <c r="L3683">
        <v>126</v>
      </c>
      <c r="AA3683">
        <v>13</v>
      </c>
      <c r="AB3683">
        <v>54</v>
      </c>
      <c r="AC3683">
        <v>25</v>
      </c>
      <c r="AD3683">
        <v>56</v>
      </c>
      <c r="AE3683">
        <v>60</v>
      </c>
      <c r="AF3683">
        <v>71</v>
      </c>
      <c r="AG3683">
        <v>20</v>
      </c>
      <c r="CH3683" t="str">
        <f t="shared" si="57"/>
        <v>D-0578</v>
      </c>
    </row>
    <row r="3684" spans="1:86">
      <c r="A3684" t="s">
        <v>5488</v>
      </c>
      <c r="B3684">
        <v>1964</v>
      </c>
      <c r="C3684" t="s">
        <v>3847</v>
      </c>
      <c r="D3684" t="s">
        <v>223</v>
      </c>
      <c r="E3684" t="s">
        <v>642</v>
      </c>
      <c r="F3684" t="s">
        <v>690</v>
      </c>
      <c r="G3684" t="s">
        <v>3848</v>
      </c>
      <c r="Q3684">
        <v>56</v>
      </c>
      <c r="R3684">
        <v>60</v>
      </c>
      <c r="S3684">
        <v>368</v>
      </c>
      <c r="T3684">
        <v>248</v>
      </c>
      <c r="U3684">
        <v>264</v>
      </c>
      <c r="V3684">
        <v>385</v>
      </c>
      <c r="W3684">
        <v>43</v>
      </c>
      <c r="X3684">
        <v>166</v>
      </c>
      <c r="Y3684">
        <v>362</v>
      </c>
      <c r="AB3684">
        <v>8</v>
      </c>
      <c r="AC3684">
        <v>3</v>
      </c>
      <c r="AD3684">
        <v>1</v>
      </c>
      <c r="CH3684" t="str">
        <f t="shared" si="57"/>
        <v>D-0263</v>
      </c>
    </row>
    <row r="3685" spans="1:86">
      <c r="A3685" t="s">
        <v>5489</v>
      </c>
      <c r="B3685">
        <v>5837</v>
      </c>
      <c r="C3685" t="s">
        <v>3829</v>
      </c>
      <c r="D3685" t="s">
        <v>119</v>
      </c>
      <c r="E3685" t="s">
        <v>659</v>
      </c>
      <c r="F3685" t="s">
        <v>660</v>
      </c>
      <c r="G3685" t="s">
        <v>3830</v>
      </c>
      <c r="J3685">
        <v>233</v>
      </c>
      <c r="L3685">
        <v>292</v>
      </c>
      <c r="N3685">
        <v>468</v>
      </c>
      <c r="P3685">
        <v>635</v>
      </c>
      <c r="R3685">
        <v>819</v>
      </c>
      <c r="T3685">
        <v>876</v>
      </c>
      <c r="V3685">
        <v>877</v>
      </c>
      <c r="X3685">
        <v>876</v>
      </c>
      <c r="Z3685">
        <v>761</v>
      </c>
      <c r="CH3685" t="str">
        <f t="shared" si="57"/>
        <v>D-0007</v>
      </c>
    </row>
    <row r="3686" spans="1:86">
      <c r="A3686" t="s">
        <v>5490</v>
      </c>
      <c r="B3686">
        <v>32</v>
      </c>
      <c r="C3686" t="s">
        <v>1182</v>
      </c>
      <c r="D3686" t="s">
        <v>444</v>
      </c>
      <c r="E3686" t="s">
        <v>642</v>
      </c>
      <c r="F3686" t="s">
        <v>636</v>
      </c>
      <c r="G3686" t="s">
        <v>1183</v>
      </c>
      <c r="P3686">
        <v>2</v>
      </c>
      <c r="R3686">
        <v>3</v>
      </c>
      <c r="S3686">
        <v>3</v>
      </c>
      <c r="T3686">
        <v>5</v>
      </c>
      <c r="U3686">
        <v>4</v>
      </c>
      <c r="V3686">
        <v>5</v>
      </c>
      <c r="W3686">
        <v>3</v>
      </c>
      <c r="X3686">
        <v>3</v>
      </c>
      <c r="Y3686">
        <v>2</v>
      </c>
      <c r="Z3686">
        <v>2</v>
      </c>
      <c r="CH3686" t="str">
        <f t="shared" si="57"/>
        <v>D-0686</v>
      </c>
    </row>
    <row r="3687" spans="1:86">
      <c r="A3687" t="s">
        <v>5491</v>
      </c>
      <c r="B3687">
        <v>67</v>
      </c>
      <c r="C3687" t="s">
        <v>1184</v>
      </c>
      <c r="D3687" t="s">
        <v>444</v>
      </c>
      <c r="E3687" t="s">
        <v>642</v>
      </c>
      <c r="F3687" t="s">
        <v>636</v>
      </c>
      <c r="G3687" t="s">
        <v>1185</v>
      </c>
      <c r="P3687">
        <v>3</v>
      </c>
      <c r="Q3687">
        <v>5</v>
      </c>
      <c r="R3687">
        <v>8</v>
      </c>
      <c r="S3687">
        <v>10</v>
      </c>
      <c r="T3687">
        <v>10</v>
      </c>
      <c r="U3687">
        <v>9</v>
      </c>
      <c r="V3687">
        <v>8</v>
      </c>
      <c r="W3687">
        <v>6</v>
      </c>
      <c r="X3687">
        <v>3</v>
      </c>
      <c r="Y3687">
        <v>3</v>
      </c>
      <c r="Z3687">
        <v>2</v>
      </c>
      <c r="CH3687" t="str">
        <f t="shared" si="57"/>
        <v>D-0686</v>
      </c>
    </row>
    <row r="3688" spans="1:86">
      <c r="A3688" t="s">
        <v>5492</v>
      </c>
      <c r="B3688">
        <v>83</v>
      </c>
      <c r="C3688" t="s">
        <v>746</v>
      </c>
      <c r="D3688" t="s">
        <v>447</v>
      </c>
      <c r="E3688" t="s">
        <v>629</v>
      </c>
      <c r="F3688" t="s">
        <v>636</v>
      </c>
      <c r="G3688" t="s">
        <v>637</v>
      </c>
      <c r="R3688">
        <v>1</v>
      </c>
      <c r="S3688">
        <v>1</v>
      </c>
      <c r="T3688">
        <v>4</v>
      </c>
      <c r="U3688">
        <v>4</v>
      </c>
      <c r="V3688">
        <v>10</v>
      </c>
      <c r="W3688">
        <v>8</v>
      </c>
      <c r="X3688">
        <v>12</v>
      </c>
      <c r="Y3688">
        <v>9</v>
      </c>
      <c r="Z3688">
        <v>11</v>
      </c>
      <c r="AA3688">
        <v>5</v>
      </c>
      <c r="AB3688">
        <v>7</v>
      </c>
      <c r="AC3688">
        <v>2</v>
      </c>
      <c r="AD3688">
        <v>3</v>
      </c>
      <c r="AE3688">
        <v>1</v>
      </c>
      <c r="AF3688">
        <v>2</v>
      </c>
      <c r="AH3688">
        <v>2</v>
      </c>
      <c r="AJ3688">
        <v>1</v>
      </c>
      <c r="CH3688" t="str">
        <f t="shared" si="57"/>
        <v>D-0686</v>
      </c>
    </row>
    <row r="3689" spans="1:86">
      <c r="A3689" t="s">
        <v>5493</v>
      </c>
      <c r="B3689">
        <v>137</v>
      </c>
      <c r="C3689" t="s">
        <v>1563</v>
      </c>
      <c r="D3689" t="s">
        <v>444</v>
      </c>
      <c r="E3689" t="s">
        <v>629</v>
      </c>
      <c r="F3689" t="s">
        <v>636</v>
      </c>
      <c r="G3689" t="s">
        <v>1562</v>
      </c>
      <c r="R3689">
        <v>2</v>
      </c>
      <c r="S3689">
        <v>4</v>
      </c>
      <c r="T3689">
        <v>10</v>
      </c>
      <c r="U3689">
        <v>9</v>
      </c>
      <c r="V3689">
        <v>19</v>
      </c>
      <c r="W3689">
        <v>18</v>
      </c>
      <c r="X3689">
        <v>18</v>
      </c>
      <c r="Y3689">
        <v>17</v>
      </c>
      <c r="Z3689">
        <v>13</v>
      </c>
      <c r="AA3689">
        <v>6</v>
      </c>
      <c r="AB3689">
        <v>5</v>
      </c>
      <c r="AC3689">
        <v>3</v>
      </c>
      <c r="AD3689">
        <v>4</v>
      </c>
      <c r="AE3689">
        <v>2</v>
      </c>
      <c r="AF3689">
        <v>3</v>
      </c>
      <c r="AH3689">
        <v>2</v>
      </c>
      <c r="AJ3689">
        <v>2</v>
      </c>
      <c r="CH3689" t="str">
        <f t="shared" si="57"/>
        <v>D-0686</v>
      </c>
    </row>
    <row r="3690" spans="1:86">
      <c r="A3690" t="s">
        <v>5494</v>
      </c>
      <c r="B3690">
        <v>72</v>
      </c>
      <c r="C3690" t="s">
        <v>3398</v>
      </c>
      <c r="D3690" t="s">
        <v>444</v>
      </c>
      <c r="E3690" t="s">
        <v>642</v>
      </c>
      <c r="F3690" t="s">
        <v>636</v>
      </c>
      <c r="G3690" t="s">
        <v>637</v>
      </c>
      <c r="P3690">
        <v>3</v>
      </c>
      <c r="Q3690">
        <v>3</v>
      </c>
      <c r="R3690">
        <v>6</v>
      </c>
      <c r="S3690">
        <v>7</v>
      </c>
      <c r="T3690">
        <v>10</v>
      </c>
      <c r="U3690">
        <v>9</v>
      </c>
      <c r="V3690">
        <v>9</v>
      </c>
      <c r="W3690">
        <v>7</v>
      </c>
      <c r="X3690">
        <v>6</v>
      </c>
      <c r="Y3690">
        <v>3</v>
      </c>
      <c r="Z3690">
        <v>3</v>
      </c>
      <c r="AA3690">
        <v>2</v>
      </c>
      <c r="AB3690">
        <v>2</v>
      </c>
      <c r="AC3690">
        <v>1</v>
      </c>
      <c r="AD3690">
        <v>1</v>
      </c>
      <c r="CH3690" t="str">
        <f t="shared" si="57"/>
        <v>D-0686</v>
      </c>
    </row>
    <row r="3691" spans="1:86">
      <c r="A3691" t="s">
        <v>5495</v>
      </c>
      <c r="B3691">
        <v>56</v>
      </c>
      <c r="C3691" t="s">
        <v>3454</v>
      </c>
      <c r="D3691" t="s">
        <v>444</v>
      </c>
      <c r="E3691" t="s">
        <v>629</v>
      </c>
      <c r="F3691" t="s">
        <v>636</v>
      </c>
      <c r="G3691" t="s">
        <v>637</v>
      </c>
      <c r="R3691">
        <v>1</v>
      </c>
      <c r="S3691">
        <v>1</v>
      </c>
      <c r="T3691">
        <v>2</v>
      </c>
      <c r="U3691">
        <v>2</v>
      </c>
      <c r="V3691">
        <v>3</v>
      </c>
      <c r="W3691">
        <v>3</v>
      </c>
      <c r="X3691">
        <v>4</v>
      </c>
      <c r="Y3691">
        <v>5</v>
      </c>
      <c r="Z3691">
        <v>6</v>
      </c>
      <c r="AA3691">
        <v>6</v>
      </c>
      <c r="AB3691">
        <v>5</v>
      </c>
      <c r="AC3691">
        <v>4</v>
      </c>
      <c r="AD3691">
        <v>5</v>
      </c>
      <c r="AE3691">
        <v>2</v>
      </c>
      <c r="AF3691">
        <v>3</v>
      </c>
      <c r="AH3691">
        <v>2</v>
      </c>
      <c r="AJ3691">
        <v>2</v>
      </c>
      <c r="CH3691" t="str">
        <f t="shared" si="57"/>
        <v>D-0686</v>
      </c>
    </row>
    <row r="3692" spans="1:86">
      <c r="A3692" t="s">
        <v>5496</v>
      </c>
      <c r="B3692">
        <v>3787</v>
      </c>
      <c r="C3692" t="s">
        <v>5497</v>
      </c>
      <c r="D3692" t="s">
        <v>444</v>
      </c>
      <c r="E3692" t="s">
        <v>642</v>
      </c>
      <c r="F3692" t="s">
        <v>636</v>
      </c>
      <c r="G3692" t="s">
        <v>637</v>
      </c>
      <c r="P3692">
        <v>119</v>
      </c>
      <c r="Q3692">
        <v>381</v>
      </c>
      <c r="R3692">
        <v>681</v>
      </c>
      <c r="S3692">
        <v>1019</v>
      </c>
      <c r="T3692">
        <v>832</v>
      </c>
      <c r="U3692">
        <v>562</v>
      </c>
      <c r="V3692">
        <v>191</v>
      </c>
      <c r="Y3692">
        <v>1</v>
      </c>
      <c r="Z3692">
        <v>1</v>
      </c>
      <c r="CH3692" t="str">
        <f t="shared" si="57"/>
        <v>D-0686</v>
      </c>
    </row>
    <row r="3693" spans="1:86">
      <c r="A3693" t="s">
        <v>5498</v>
      </c>
      <c r="B3693">
        <v>3648</v>
      </c>
      <c r="C3693" t="s">
        <v>1182</v>
      </c>
      <c r="D3693" t="s">
        <v>444</v>
      </c>
      <c r="E3693" t="s">
        <v>642</v>
      </c>
      <c r="F3693" t="s">
        <v>636</v>
      </c>
      <c r="G3693" t="s">
        <v>1183</v>
      </c>
      <c r="P3693">
        <v>9</v>
      </c>
      <c r="R3693">
        <v>245</v>
      </c>
      <c r="S3693">
        <v>391</v>
      </c>
      <c r="T3693">
        <v>629</v>
      </c>
      <c r="U3693">
        <v>710</v>
      </c>
      <c r="V3693">
        <v>668</v>
      </c>
      <c r="W3693">
        <v>467</v>
      </c>
      <c r="X3693">
        <v>197</v>
      </c>
      <c r="Y3693">
        <v>188</v>
      </c>
      <c r="Z3693">
        <v>79</v>
      </c>
      <c r="AA3693">
        <v>26</v>
      </c>
      <c r="AB3693">
        <v>20</v>
      </c>
      <c r="AC3693">
        <v>11</v>
      </c>
      <c r="AD3693">
        <v>8</v>
      </c>
      <c r="CH3693" t="str">
        <f t="shared" si="57"/>
        <v>D-0686</v>
      </c>
    </row>
    <row r="3694" spans="1:86">
      <c r="A3694" t="s">
        <v>5499</v>
      </c>
      <c r="B3694">
        <v>474</v>
      </c>
      <c r="C3694" t="s">
        <v>1184</v>
      </c>
      <c r="D3694" t="s">
        <v>444</v>
      </c>
      <c r="E3694" t="s">
        <v>642</v>
      </c>
      <c r="F3694" t="s">
        <v>636</v>
      </c>
      <c r="G3694" t="s">
        <v>1185</v>
      </c>
      <c r="W3694">
        <v>114</v>
      </c>
      <c r="X3694">
        <v>257</v>
      </c>
      <c r="Y3694">
        <v>103</v>
      </c>
      <c r="CH3694" t="str">
        <f t="shared" si="57"/>
        <v>D-0686</v>
      </c>
    </row>
    <row r="3695" spans="1:86">
      <c r="A3695" t="s">
        <v>5500</v>
      </c>
      <c r="B3695">
        <v>617</v>
      </c>
      <c r="C3695" t="s">
        <v>2517</v>
      </c>
      <c r="D3695" t="s">
        <v>444</v>
      </c>
      <c r="E3695" t="s">
        <v>629</v>
      </c>
      <c r="F3695" t="s">
        <v>636</v>
      </c>
      <c r="G3695" t="s">
        <v>637</v>
      </c>
      <c r="S3695">
        <v>6</v>
      </c>
      <c r="T3695">
        <v>10</v>
      </c>
      <c r="U3695">
        <v>20</v>
      </c>
      <c r="V3695">
        <v>22</v>
      </c>
      <c r="W3695">
        <v>38</v>
      </c>
      <c r="X3695">
        <v>58</v>
      </c>
      <c r="Y3695">
        <v>79</v>
      </c>
      <c r="Z3695">
        <v>77</v>
      </c>
      <c r="AA3695">
        <v>87</v>
      </c>
      <c r="AB3695">
        <v>62</v>
      </c>
      <c r="AC3695">
        <v>28</v>
      </c>
      <c r="AD3695">
        <v>37</v>
      </c>
      <c r="AE3695">
        <v>24</v>
      </c>
      <c r="AF3695">
        <v>50</v>
      </c>
      <c r="AH3695">
        <v>19</v>
      </c>
      <c r="CH3695" t="str">
        <f t="shared" si="57"/>
        <v>D-0686</v>
      </c>
    </row>
    <row r="3696" spans="1:86">
      <c r="A3696" t="s">
        <v>5501</v>
      </c>
      <c r="B3696">
        <v>441</v>
      </c>
      <c r="C3696" t="s">
        <v>746</v>
      </c>
      <c r="D3696" t="s">
        <v>447</v>
      </c>
      <c r="E3696" t="s">
        <v>629</v>
      </c>
      <c r="F3696" t="s">
        <v>636</v>
      </c>
      <c r="G3696" t="s">
        <v>637</v>
      </c>
      <c r="T3696">
        <v>48</v>
      </c>
      <c r="X3696">
        <v>99</v>
      </c>
      <c r="Y3696">
        <v>120</v>
      </c>
      <c r="Z3696">
        <v>78</v>
      </c>
      <c r="AA3696">
        <v>18</v>
      </c>
      <c r="AB3696">
        <v>60</v>
      </c>
      <c r="AC3696">
        <v>12</v>
      </c>
      <c r="AD3696">
        <v>6</v>
      </c>
      <c r="CH3696" t="str">
        <f t="shared" si="57"/>
        <v>D-0686</v>
      </c>
    </row>
    <row r="3697" spans="1:86">
      <c r="A3697" t="s">
        <v>5502</v>
      </c>
      <c r="B3697">
        <v>1479</v>
      </c>
      <c r="C3697" t="s">
        <v>746</v>
      </c>
      <c r="D3697" t="s">
        <v>447</v>
      </c>
      <c r="E3697" t="s">
        <v>629</v>
      </c>
      <c r="F3697" t="s">
        <v>636</v>
      </c>
      <c r="G3697" t="s">
        <v>637</v>
      </c>
      <c r="R3697">
        <v>33</v>
      </c>
      <c r="T3697">
        <v>34</v>
      </c>
      <c r="X3697">
        <v>409</v>
      </c>
      <c r="Y3697">
        <v>166</v>
      </c>
      <c r="Z3697">
        <v>376</v>
      </c>
      <c r="AA3697">
        <v>113</v>
      </c>
      <c r="AB3697">
        <v>208</v>
      </c>
      <c r="AC3697">
        <v>17</v>
      </c>
      <c r="AD3697">
        <v>79</v>
      </c>
      <c r="AE3697">
        <v>14</v>
      </c>
      <c r="AH3697">
        <v>21</v>
      </c>
      <c r="AJ3697">
        <v>9</v>
      </c>
      <c r="CH3697" t="str">
        <f t="shared" si="57"/>
        <v>D-0686</v>
      </c>
    </row>
    <row r="3698" spans="1:86">
      <c r="A3698" t="s">
        <v>5503</v>
      </c>
      <c r="B3698">
        <v>2496</v>
      </c>
      <c r="C3698" t="s">
        <v>1561</v>
      </c>
      <c r="D3698" t="s">
        <v>444</v>
      </c>
      <c r="E3698" t="s">
        <v>629</v>
      </c>
      <c r="F3698" t="s">
        <v>636</v>
      </c>
      <c r="G3698" t="s">
        <v>1562</v>
      </c>
      <c r="R3698">
        <v>2</v>
      </c>
      <c r="S3698">
        <v>96</v>
      </c>
      <c r="T3698">
        <v>264</v>
      </c>
      <c r="U3698">
        <v>268</v>
      </c>
      <c r="V3698">
        <v>457</v>
      </c>
      <c r="W3698">
        <v>445</v>
      </c>
      <c r="X3698">
        <v>324</v>
      </c>
      <c r="Y3698">
        <v>327</v>
      </c>
      <c r="Z3698">
        <v>182</v>
      </c>
      <c r="AA3698">
        <v>71</v>
      </c>
      <c r="AB3698">
        <v>59</v>
      </c>
      <c r="AF3698">
        <v>1</v>
      </c>
      <c r="CH3698" t="str">
        <f t="shared" si="57"/>
        <v>D-0686</v>
      </c>
    </row>
    <row r="3699" spans="1:86">
      <c r="A3699" t="s">
        <v>5504</v>
      </c>
      <c r="B3699">
        <v>29</v>
      </c>
      <c r="C3699" t="s">
        <v>1563</v>
      </c>
      <c r="D3699" t="s">
        <v>444</v>
      </c>
      <c r="E3699" t="s">
        <v>629</v>
      </c>
      <c r="F3699" t="s">
        <v>636</v>
      </c>
      <c r="G3699" t="s">
        <v>1562</v>
      </c>
      <c r="R3699">
        <v>25</v>
      </c>
      <c r="AH3699">
        <v>2</v>
      </c>
      <c r="AJ3699">
        <v>2</v>
      </c>
      <c r="CH3699" t="str">
        <f t="shared" si="57"/>
        <v>D-0686</v>
      </c>
    </row>
    <row r="3700" spans="1:86">
      <c r="A3700" t="s">
        <v>5505</v>
      </c>
      <c r="B3700">
        <v>5318</v>
      </c>
      <c r="C3700" t="s">
        <v>3398</v>
      </c>
      <c r="D3700" t="s">
        <v>444</v>
      </c>
      <c r="E3700" t="s">
        <v>642</v>
      </c>
      <c r="F3700" t="s">
        <v>636</v>
      </c>
      <c r="G3700" t="s">
        <v>637</v>
      </c>
      <c r="P3700">
        <v>31</v>
      </c>
      <c r="Q3700">
        <v>81</v>
      </c>
      <c r="R3700">
        <v>323</v>
      </c>
      <c r="S3700">
        <v>374</v>
      </c>
      <c r="T3700">
        <v>778</v>
      </c>
      <c r="U3700">
        <v>923</v>
      </c>
      <c r="V3700">
        <v>759</v>
      </c>
      <c r="W3700">
        <v>764</v>
      </c>
      <c r="X3700">
        <v>472</v>
      </c>
      <c r="Y3700">
        <v>348</v>
      </c>
      <c r="Z3700">
        <v>317</v>
      </c>
      <c r="AA3700">
        <v>45</v>
      </c>
      <c r="AB3700">
        <v>76</v>
      </c>
      <c r="AC3700">
        <v>13</v>
      </c>
      <c r="AD3700">
        <v>14</v>
      </c>
      <c r="CH3700" t="str">
        <f t="shared" si="57"/>
        <v>D-0686</v>
      </c>
    </row>
    <row r="3701" spans="1:86">
      <c r="A3701" t="s">
        <v>5506</v>
      </c>
      <c r="B3701">
        <v>456</v>
      </c>
      <c r="C3701" t="s">
        <v>3454</v>
      </c>
      <c r="D3701" t="s">
        <v>444</v>
      </c>
      <c r="E3701" t="s">
        <v>629</v>
      </c>
      <c r="F3701" t="s">
        <v>636</v>
      </c>
      <c r="G3701" t="s">
        <v>637</v>
      </c>
      <c r="R3701">
        <v>3</v>
      </c>
      <c r="S3701">
        <v>5</v>
      </c>
      <c r="T3701">
        <v>7</v>
      </c>
      <c r="U3701">
        <v>10</v>
      </c>
      <c r="V3701">
        <v>19</v>
      </c>
      <c r="W3701">
        <v>25</v>
      </c>
      <c r="X3701">
        <v>40</v>
      </c>
      <c r="Y3701">
        <v>45</v>
      </c>
      <c r="Z3701">
        <v>52</v>
      </c>
      <c r="AA3701">
        <v>58</v>
      </c>
      <c r="AB3701">
        <v>55</v>
      </c>
      <c r="AC3701">
        <v>34</v>
      </c>
      <c r="AD3701">
        <v>42</v>
      </c>
      <c r="AE3701">
        <v>14</v>
      </c>
      <c r="AF3701">
        <v>28</v>
      </c>
      <c r="AH3701">
        <v>12</v>
      </c>
      <c r="AJ3701">
        <v>7</v>
      </c>
      <c r="CH3701" t="str">
        <f t="shared" si="57"/>
        <v>D-0686</v>
      </c>
    </row>
    <row r="3702" spans="1:86">
      <c r="A3702" t="s">
        <v>5507</v>
      </c>
      <c r="B3702">
        <v>9483</v>
      </c>
      <c r="C3702" t="s">
        <v>2515</v>
      </c>
      <c r="D3702" t="s">
        <v>444</v>
      </c>
      <c r="E3702" t="s">
        <v>642</v>
      </c>
      <c r="F3702" t="s">
        <v>636</v>
      </c>
      <c r="G3702" t="s">
        <v>2516</v>
      </c>
      <c r="P3702">
        <v>520</v>
      </c>
      <c r="Q3702">
        <v>1028</v>
      </c>
      <c r="R3702">
        <v>1564</v>
      </c>
      <c r="S3702">
        <v>2302</v>
      </c>
      <c r="T3702">
        <v>1896</v>
      </c>
      <c r="U3702">
        <v>1247</v>
      </c>
      <c r="V3702">
        <v>714</v>
      </c>
      <c r="W3702">
        <v>212</v>
      </c>
      <c r="CH3702" t="str">
        <f t="shared" si="57"/>
        <v>D-0686</v>
      </c>
    </row>
    <row r="3703" spans="1:86">
      <c r="A3703" t="s">
        <v>5508</v>
      </c>
      <c r="B3703">
        <v>8342</v>
      </c>
      <c r="C3703" t="s">
        <v>2515</v>
      </c>
      <c r="D3703" t="s">
        <v>444</v>
      </c>
      <c r="E3703" t="s">
        <v>642</v>
      </c>
      <c r="F3703" t="s">
        <v>636</v>
      </c>
      <c r="G3703" t="s">
        <v>2516</v>
      </c>
      <c r="P3703">
        <v>233</v>
      </c>
      <c r="Q3703">
        <v>345</v>
      </c>
      <c r="R3703">
        <v>915</v>
      </c>
      <c r="S3703">
        <v>2025</v>
      </c>
      <c r="T3703">
        <v>1962</v>
      </c>
      <c r="U3703">
        <v>1380</v>
      </c>
      <c r="V3703">
        <v>1212</v>
      </c>
      <c r="W3703">
        <v>270</v>
      </c>
      <c r="CH3703" t="str">
        <f t="shared" si="57"/>
        <v>D-0686</v>
      </c>
    </row>
    <row r="3704" spans="1:86">
      <c r="A3704" t="s">
        <v>5509</v>
      </c>
      <c r="B3704">
        <v>4044</v>
      </c>
      <c r="C3704" t="s">
        <v>2515</v>
      </c>
      <c r="D3704" t="s">
        <v>444</v>
      </c>
      <c r="E3704" t="s">
        <v>642</v>
      </c>
      <c r="F3704" t="s">
        <v>636</v>
      </c>
      <c r="G3704" t="s">
        <v>2516</v>
      </c>
      <c r="P3704">
        <v>22</v>
      </c>
      <c r="Q3704">
        <v>610</v>
      </c>
      <c r="R3704">
        <v>635</v>
      </c>
      <c r="S3704">
        <v>638</v>
      </c>
      <c r="T3704">
        <v>634</v>
      </c>
      <c r="U3704">
        <v>462</v>
      </c>
      <c r="V3704">
        <v>576</v>
      </c>
      <c r="W3704">
        <v>467</v>
      </c>
      <c r="CH3704" t="str">
        <f t="shared" si="57"/>
        <v>D-0686</v>
      </c>
    </row>
    <row r="3705" spans="1:86">
      <c r="A3705" t="s">
        <v>5510</v>
      </c>
      <c r="B3705">
        <v>605</v>
      </c>
      <c r="C3705" t="s">
        <v>1009</v>
      </c>
      <c r="D3705" t="s">
        <v>148</v>
      </c>
      <c r="E3705" t="s">
        <v>629</v>
      </c>
      <c r="F3705" t="s">
        <v>744</v>
      </c>
      <c r="G3705" t="s">
        <v>1010</v>
      </c>
      <c r="S3705">
        <v>20</v>
      </c>
      <c r="T3705">
        <v>40</v>
      </c>
      <c r="U3705">
        <v>40</v>
      </c>
      <c r="V3705">
        <v>60</v>
      </c>
      <c r="W3705">
        <v>85</v>
      </c>
      <c r="X3705">
        <v>80</v>
      </c>
      <c r="Y3705">
        <v>120</v>
      </c>
      <c r="Z3705">
        <v>80</v>
      </c>
      <c r="AA3705">
        <v>20</v>
      </c>
      <c r="AB3705">
        <v>20</v>
      </c>
      <c r="AC3705">
        <v>20</v>
      </c>
      <c r="AD3705">
        <v>20</v>
      </c>
      <c r="CH3705" t="str">
        <f t="shared" si="57"/>
        <v>D-0091</v>
      </c>
    </row>
    <row r="3706" spans="1:86">
      <c r="A3706" t="s">
        <v>5511</v>
      </c>
      <c r="B3706">
        <v>125</v>
      </c>
      <c r="C3706" t="s">
        <v>5512</v>
      </c>
      <c r="D3706" t="s">
        <v>457</v>
      </c>
      <c r="E3706" t="s">
        <v>629</v>
      </c>
      <c r="F3706" t="s">
        <v>1036</v>
      </c>
      <c r="G3706" t="s">
        <v>1037</v>
      </c>
      <c r="N3706">
        <v>12</v>
      </c>
      <c r="O3706">
        <v>42</v>
      </c>
      <c r="P3706">
        <v>65</v>
      </c>
      <c r="AA3706">
        <v>6</v>
      </c>
      <c r="CH3706" t="str">
        <f t="shared" si="57"/>
        <v>JV1-0695-3</v>
      </c>
    </row>
    <row r="3707" spans="1:86">
      <c r="A3707" t="s">
        <v>5513</v>
      </c>
      <c r="B3707">
        <v>173</v>
      </c>
      <c r="C3707" t="s">
        <v>5512</v>
      </c>
      <c r="D3707" t="s">
        <v>457</v>
      </c>
      <c r="E3707" t="s">
        <v>629</v>
      </c>
      <c r="F3707" t="s">
        <v>1036</v>
      </c>
      <c r="G3707" t="s">
        <v>1037</v>
      </c>
      <c r="Q3707">
        <v>78</v>
      </c>
      <c r="R3707">
        <v>48</v>
      </c>
      <c r="S3707">
        <v>47</v>
      </c>
      <c r="CH3707" t="str">
        <f t="shared" si="57"/>
        <v>JV1-0695-3</v>
      </c>
    </row>
    <row r="3708" spans="1:86">
      <c r="A3708" t="s">
        <v>5514</v>
      </c>
      <c r="B3708">
        <v>64</v>
      </c>
      <c r="C3708" t="s">
        <v>638</v>
      </c>
      <c r="D3708" t="s">
        <v>177</v>
      </c>
      <c r="E3708" t="s">
        <v>639</v>
      </c>
      <c r="F3708" t="s">
        <v>640</v>
      </c>
      <c r="G3708" t="s">
        <v>641</v>
      </c>
      <c r="S3708">
        <v>64</v>
      </c>
      <c r="CH3708" t="str">
        <f t="shared" si="57"/>
        <v>D-0152</v>
      </c>
    </row>
    <row r="3709" spans="1:86">
      <c r="A3709" t="s">
        <v>5515</v>
      </c>
      <c r="B3709">
        <v>28</v>
      </c>
      <c r="C3709" t="s">
        <v>638</v>
      </c>
      <c r="D3709" t="s">
        <v>177</v>
      </c>
      <c r="E3709" t="s">
        <v>639</v>
      </c>
      <c r="F3709" t="s">
        <v>640</v>
      </c>
      <c r="G3709" t="s">
        <v>641</v>
      </c>
      <c r="R3709">
        <v>28</v>
      </c>
      <c r="CH3709" t="str">
        <f t="shared" si="57"/>
        <v>D-0152</v>
      </c>
    </row>
    <row r="3710" spans="1:86">
      <c r="A3710" t="s">
        <v>5516</v>
      </c>
      <c r="B3710">
        <v>119</v>
      </c>
      <c r="C3710" t="s">
        <v>638</v>
      </c>
      <c r="D3710" t="s">
        <v>177</v>
      </c>
      <c r="E3710" t="s">
        <v>639</v>
      </c>
      <c r="F3710" t="s">
        <v>640</v>
      </c>
      <c r="G3710" t="s">
        <v>641</v>
      </c>
      <c r="Q3710">
        <v>119</v>
      </c>
      <c r="CH3710" t="str">
        <f t="shared" si="57"/>
        <v>D-0152</v>
      </c>
    </row>
    <row r="3711" spans="1:86">
      <c r="A3711" t="s">
        <v>5517</v>
      </c>
      <c r="B3711">
        <v>101</v>
      </c>
      <c r="C3711" t="s">
        <v>638</v>
      </c>
      <c r="D3711" t="s">
        <v>177</v>
      </c>
      <c r="E3711" t="s">
        <v>639</v>
      </c>
      <c r="F3711" t="s">
        <v>640</v>
      </c>
      <c r="G3711" t="s">
        <v>641</v>
      </c>
      <c r="P3711">
        <v>101</v>
      </c>
      <c r="CH3711" t="str">
        <f t="shared" si="57"/>
        <v>D-0152</v>
      </c>
    </row>
    <row r="3712" spans="1:86">
      <c r="A3712" t="s">
        <v>5518</v>
      </c>
      <c r="B3712">
        <v>26</v>
      </c>
      <c r="C3712" t="s">
        <v>638</v>
      </c>
      <c r="D3712" t="s">
        <v>177</v>
      </c>
      <c r="E3712" t="s">
        <v>639</v>
      </c>
      <c r="F3712" t="s">
        <v>640</v>
      </c>
      <c r="G3712" t="s">
        <v>641</v>
      </c>
      <c r="O3712">
        <v>26</v>
      </c>
      <c r="CH3712" t="str">
        <f t="shared" si="57"/>
        <v>D-0152</v>
      </c>
    </row>
    <row r="3713" spans="1:86">
      <c r="A3713" t="s">
        <v>5519</v>
      </c>
      <c r="B3713">
        <v>16</v>
      </c>
      <c r="C3713" t="s">
        <v>638</v>
      </c>
      <c r="D3713" t="s">
        <v>177</v>
      </c>
      <c r="E3713" t="s">
        <v>639</v>
      </c>
      <c r="F3713" t="s">
        <v>640</v>
      </c>
      <c r="G3713" t="s">
        <v>641</v>
      </c>
      <c r="N3713">
        <v>16</v>
      </c>
      <c r="CH3713" t="str">
        <f t="shared" si="57"/>
        <v>D-0152</v>
      </c>
    </row>
    <row r="3714" spans="1:86">
      <c r="A3714" t="s">
        <v>5520</v>
      </c>
      <c r="B3714">
        <v>25</v>
      </c>
      <c r="C3714" t="s">
        <v>638</v>
      </c>
      <c r="D3714" t="s">
        <v>177</v>
      </c>
      <c r="E3714" t="s">
        <v>639</v>
      </c>
      <c r="F3714" t="s">
        <v>640</v>
      </c>
      <c r="G3714" t="s">
        <v>641</v>
      </c>
      <c r="M3714">
        <v>25</v>
      </c>
      <c r="CH3714" t="str">
        <f t="shared" ref="CH3714:CH3777" si="58">TRIM(IFERROR(IFERROR(MID($D3714,FIND("(D-",$D3714)+1,6),LEFT($D3714,FIND("(",$D3714)-1)),$D3714))</f>
        <v>D-0152</v>
      </c>
    </row>
    <row r="3715" spans="1:86">
      <c r="A3715" t="s">
        <v>5521</v>
      </c>
      <c r="B3715">
        <v>10</v>
      </c>
      <c r="C3715" t="s">
        <v>638</v>
      </c>
      <c r="D3715" t="s">
        <v>177</v>
      </c>
      <c r="E3715" t="s">
        <v>639</v>
      </c>
      <c r="F3715" t="s">
        <v>640</v>
      </c>
      <c r="G3715" t="s">
        <v>641</v>
      </c>
      <c r="L3715">
        <v>10</v>
      </c>
      <c r="CH3715" t="str">
        <f t="shared" si="58"/>
        <v>D-0152</v>
      </c>
    </row>
    <row r="3716" spans="1:86">
      <c r="A3716" t="s">
        <v>5522</v>
      </c>
      <c r="B3716">
        <v>22</v>
      </c>
      <c r="C3716" t="s">
        <v>638</v>
      </c>
      <c r="D3716" t="s">
        <v>177</v>
      </c>
      <c r="E3716" t="s">
        <v>639</v>
      </c>
      <c r="F3716" t="s">
        <v>640</v>
      </c>
      <c r="G3716" t="s">
        <v>641</v>
      </c>
      <c r="K3716">
        <v>22</v>
      </c>
      <c r="CH3716" t="str">
        <f t="shared" si="58"/>
        <v>D-0152</v>
      </c>
    </row>
    <row r="3717" spans="1:86">
      <c r="A3717" t="s">
        <v>5523</v>
      </c>
      <c r="B3717">
        <v>23</v>
      </c>
      <c r="C3717" t="s">
        <v>638</v>
      </c>
      <c r="D3717" t="s">
        <v>177</v>
      </c>
      <c r="E3717" t="s">
        <v>639</v>
      </c>
      <c r="F3717" t="s">
        <v>640</v>
      </c>
      <c r="G3717" t="s">
        <v>641</v>
      </c>
      <c r="J3717">
        <v>23</v>
      </c>
      <c r="CH3717" t="str">
        <f t="shared" si="58"/>
        <v>D-0152</v>
      </c>
    </row>
    <row r="3718" spans="1:86">
      <c r="A3718" t="s">
        <v>5524</v>
      </c>
      <c r="B3718">
        <v>97</v>
      </c>
      <c r="C3718" t="s">
        <v>638</v>
      </c>
      <c r="D3718" t="s">
        <v>177</v>
      </c>
      <c r="E3718" t="s">
        <v>639</v>
      </c>
      <c r="F3718" t="s">
        <v>640</v>
      </c>
      <c r="G3718" t="s">
        <v>641</v>
      </c>
      <c r="I3718">
        <v>97</v>
      </c>
      <c r="CH3718" t="str">
        <f t="shared" si="58"/>
        <v>D-0152</v>
      </c>
    </row>
    <row r="3719" spans="1:86">
      <c r="A3719" t="s">
        <v>5525</v>
      </c>
      <c r="B3719">
        <v>55</v>
      </c>
      <c r="C3719" t="s">
        <v>638</v>
      </c>
      <c r="D3719" t="s">
        <v>177</v>
      </c>
      <c r="E3719" t="s">
        <v>639</v>
      </c>
      <c r="F3719" t="s">
        <v>640</v>
      </c>
      <c r="G3719" t="s">
        <v>641</v>
      </c>
      <c r="H3719">
        <v>55</v>
      </c>
      <c r="CH3719" t="str">
        <f t="shared" si="58"/>
        <v>D-0152</v>
      </c>
    </row>
    <row r="3720" spans="1:86">
      <c r="A3720" t="s">
        <v>5526</v>
      </c>
      <c r="B3720">
        <v>38</v>
      </c>
      <c r="C3720" t="s">
        <v>638</v>
      </c>
      <c r="D3720" t="s">
        <v>177</v>
      </c>
      <c r="E3720" t="s">
        <v>639</v>
      </c>
      <c r="F3720" t="s">
        <v>640</v>
      </c>
      <c r="G3720" t="s">
        <v>641</v>
      </c>
      <c r="CH3720" t="str">
        <f t="shared" si="58"/>
        <v>D-0152</v>
      </c>
    </row>
    <row r="3721" spans="1:86">
      <c r="A3721" t="s">
        <v>5527</v>
      </c>
      <c r="B3721">
        <v>82</v>
      </c>
      <c r="C3721" t="s">
        <v>638</v>
      </c>
      <c r="D3721" t="s">
        <v>177</v>
      </c>
      <c r="E3721" t="s">
        <v>639</v>
      </c>
      <c r="F3721" t="s">
        <v>640</v>
      </c>
      <c r="G3721" t="s">
        <v>641</v>
      </c>
      <c r="CH3721" t="str">
        <f t="shared" si="58"/>
        <v>D-0152</v>
      </c>
    </row>
    <row r="3722" spans="1:86">
      <c r="A3722" t="s">
        <v>5528</v>
      </c>
      <c r="B3722">
        <v>21</v>
      </c>
      <c r="C3722" t="s">
        <v>638</v>
      </c>
      <c r="D3722" t="s">
        <v>177</v>
      </c>
      <c r="E3722" t="s">
        <v>639</v>
      </c>
      <c r="F3722" t="s">
        <v>640</v>
      </c>
      <c r="G3722" t="s">
        <v>641</v>
      </c>
      <c r="CH3722" t="str">
        <f t="shared" si="58"/>
        <v>D-0152</v>
      </c>
    </row>
    <row r="3723" spans="1:86">
      <c r="A3723" t="s">
        <v>5529</v>
      </c>
      <c r="B3723">
        <v>49</v>
      </c>
      <c r="C3723" t="s">
        <v>638</v>
      </c>
      <c r="D3723" t="s">
        <v>177</v>
      </c>
      <c r="E3723" t="s">
        <v>639</v>
      </c>
      <c r="F3723" t="s">
        <v>640</v>
      </c>
      <c r="G3723" t="s">
        <v>641</v>
      </c>
      <c r="CG3723">
        <v>49</v>
      </c>
      <c r="CH3723" t="str">
        <f t="shared" si="58"/>
        <v>D-0152</v>
      </c>
    </row>
    <row r="3724" spans="1:86">
      <c r="A3724" t="s">
        <v>5530</v>
      </c>
      <c r="B3724">
        <v>9</v>
      </c>
      <c r="C3724" t="s">
        <v>638</v>
      </c>
      <c r="D3724" t="s">
        <v>177</v>
      </c>
      <c r="E3724" t="s">
        <v>639</v>
      </c>
      <c r="F3724" t="s">
        <v>640</v>
      </c>
      <c r="G3724" t="s">
        <v>641</v>
      </c>
      <c r="CF3724">
        <v>9</v>
      </c>
      <c r="CH3724" t="str">
        <f t="shared" si="58"/>
        <v>D-0152</v>
      </c>
    </row>
    <row r="3725" spans="1:86">
      <c r="A3725" t="s">
        <v>5531</v>
      </c>
      <c r="B3725">
        <v>22</v>
      </c>
      <c r="C3725" t="s">
        <v>638</v>
      </c>
      <c r="D3725" t="s">
        <v>177</v>
      </c>
      <c r="E3725" t="s">
        <v>639</v>
      </c>
      <c r="F3725" t="s">
        <v>640</v>
      </c>
      <c r="G3725" t="s">
        <v>641</v>
      </c>
      <c r="CE3725">
        <v>22</v>
      </c>
      <c r="CH3725" t="str">
        <f t="shared" si="58"/>
        <v>D-0152</v>
      </c>
    </row>
    <row r="3726" spans="1:86">
      <c r="A3726" t="s">
        <v>5532</v>
      </c>
      <c r="B3726">
        <v>56</v>
      </c>
      <c r="C3726" t="s">
        <v>638</v>
      </c>
      <c r="D3726" t="s">
        <v>177</v>
      </c>
      <c r="E3726" t="s">
        <v>639</v>
      </c>
      <c r="F3726" t="s">
        <v>640</v>
      </c>
      <c r="G3726" t="s">
        <v>641</v>
      </c>
      <c r="CD3726">
        <v>56</v>
      </c>
      <c r="CH3726" t="str">
        <f t="shared" si="58"/>
        <v>D-0152</v>
      </c>
    </row>
    <row r="3727" spans="1:86">
      <c r="A3727" t="s">
        <v>5533</v>
      </c>
      <c r="B3727">
        <v>42</v>
      </c>
      <c r="C3727" t="s">
        <v>638</v>
      </c>
      <c r="D3727" t="s">
        <v>177</v>
      </c>
      <c r="E3727" t="s">
        <v>639</v>
      </c>
      <c r="F3727" t="s">
        <v>640</v>
      </c>
      <c r="G3727" t="s">
        <v>641</v>
      </c>
      <c r="CC3727">
        <v>42</v>
      </c>
      <c r="CH3727" t="str">
        <f t="shared" si="58"/>
        <v>D-0152</v>
      </c>
    </row>
    <row r="3728" spans="1:86">
      <c r="A3728" t="s">
        <v>5534</v>
      </c>
      <c r="B3728">
        <v>930</v>
      </c>
      <c r="C3728" t="s">
        <v>638</v>
      </c>
      <c r="D3728" t="s">
        <v>177</v>
      </c>
      <c r="E3728" t="s">
        <v>639</v>
      </c>
      <c r="F3728" t="s">
        <v>640</v>
      </c>
      <c r="G3728" t="s">
        <v>641</v>
      </c>
      <c r="K3728">
        <v>930</v>
      </c>
      <c r="CH3728" t="str">
        <f t="shared" si="58"/>
        <v>D-0152</v>
      </c>
    </row>
    <row r="3729" spans="1:86">
      <c r="A3729" t="s">
        <v>5535</v>
      </c>
      <c r="B3729">
        <v>143</v>
      </c>
      <c r="C3729" t="s">
        <v>638</v>
      </c>
      <c r="D3729" t="s">
        <v>177</v>
      </c>
      <c r="E3729" t="s">
        <v>639</v>
      </c>
      <c r="F3729" t="s">
        <v>640</v>
      </c>
      <c r="G3729" t="s">
        <v>641</v>
      </c>
      <c r="L3729">
        <v>143</v>
      </c>
      <c r="CH3729" t="str">
        <f t="shared" si="58"/>
        <v>D-0152</v>
      </c>
    </row>
    <row r="3730" spans="1:86">
      <c r="A3730" t="s">
        <v>5536</v>
      </c>
      <c r="B3730">
        <v>181</v>
      </c>
      <c r="C3730" t="s">
        <v>739</v>
      </c>
      <c r="D3730" t="s">
        <v>140</v>
      </c>
      <c r="E3730" t="s">
        <v>629</v>
      </c>
      <c r="F3730" t="s">
        <v>632</v>
      </c>
      <c r="G3730" t="s">
        <v>5537</v>
      </c>
      <c r="Q3730">
        <v>50</v>
      </c>
      <c r="U3730">
        <v>80</v>
      </c>
      <c r="X3730">
        <v>51</v>
      </c>
      <c r="CH3730" t="str">
        <f t="shared" si="58"/>
        <v>D-0057</v>
      </c>
    </row>
    <row r="3731" spans="1:86">
      <c r="A3731" t="s">
        <v>5538</v>
      </c>
      <c r="B3731">
        <v>826</v>
      </c>
      <c r="C3731" t="s">
        <v>1022</v>
      </c>
      <c r="D3731" t="s">
        <v>539</v>
      </c>
      <c r="E3731" t="s">
        <v>639</v>
      </c>
      <c r="F3731" t="s">
        <v>764</v>
      </c>
      <c r="G3731" t="s">
        <v>1023</v>
      </c>
      <c r="AX3731">
        <v>45</v>
      </c>
      <c r="AY3731">
        <v>52</v>
      </c>
      <c r="AZ3731">
        <v>56</v>
      </c>
      <c r="BA3731">
        <v>54</v>
      </c>
      <c r="BB3731">
        <v>68</v>
      </c>
      <c r="BC3731">
        <v>68</v>
      </c>
      <c r="BD3731">
        <v>92</v>
      </c>
      <c r="BE3731">
        <v>110</v>
      </c>
      <c r="BF3731">
        <v>108</v>
      </c>
      <c r="BG3731">
        <v>59</v>
      </c>
      <c r="BH3731">
        <v>55</v>
      </c>
      <c r="BI3731">
        <v>59</v>
      </c>
      <c r="CH3731" t="str">
        <f t="shared" si="58"/>
        <v>D-0519</v>
      </c>
    </row>
    <row r="3732" spans="1:86">
      <c r="A3732" t="s">
        <v>5539</v>
      </c>
      <c r="B3732">
        <v>899</v>
      </c>
      <c r="C3732" t="s">
        <v>3235</v>
      </c>
      <c r="D3732" t="s">
        <v>137</v>
      </c>
      <c r="E3732" t="s">
        <v>642</v>
      </c>
      <c r="F3732" t="s">
        <v>632</v>
      </c>
      <c r="G3732" t="s">
        <v>3236</v>
      </c>
      <c r="P3732">
        <v>14</v>
      </c>
      <c r="Q3732">
        <v>72</v>
      </c>
      <c r="R3732">
        <v>122</v>
      </c>
      <c r="S3732">
        <v>185</v>
      </c>
      <c r="T3732">
        <v>202</v>
      </c>
      <c r="U3732">
        <v>146</v>
      </c>
      <c r="V3732">
        <v>118</v>
      </c>
      <c r="W3732">
        <v>35</v>
      </c>
      <c r="X3732">
        <v>5</v>
      </c>
      <c r="CH3732" t="str">
        <f t="shared" si="58"/>
        <v>D-0042</v>
      </c>
    </row>
    <row r="3733" spans="1:86">
      <c r="A3733" t="s">
        <v>5540</v>
      </c>
      <c r="B3733">
        <v>9684</v>
      </c>
      <c r="C3733" t="s">
        <v>1060</v>
      </c>
      <c r="D3733" t="s">
        <v>137</v>
      </c>
      <c r="E3733" t="s">
        <v>629</v>
      </c>
      <c r="F3733" t="s">
        <v>645</v>
      </c>
      <c r="G3733" t="s">
        <v>4157</v>
      </c>
      <c r="N3733">
        <v>48</v>
      </c>
      <c r="O3733">
        <v>546</v>
      </c>
      <c r="P3733">
        <v>810</v>
      </c>
      <c r="Q3733">
        <v>1350</v>
      </c>
      <c r="R3733">
        <v>432</v>
      </c>
      <c r="S3733">
        <v>1896</v>
      </c>
      <c r="T3733">
        <v>1278</v>
      </c>
      <c r="U3733">
        <v>426</v>
      </c>
      <c r="V3733">
        <v>468</v>
      </c>
      <c r="W3733">
        <v>1092</v>
      </c>
      <c r="Y3733">
        <v>732</v>
      </c>
      <c r="Z3733">
        <v>426</v>
      </c>
      <c r="AA3733">
        <v>180</v>
      </c>
      <c r="CH3733" t="str">
        <f t="shared" si="58"/>
        <v>D-0042</v>
      </c>
    </row>
    <row r="3734" spans="1:86">
      <c r="A3734" t="s">
        <v>5541</v>
      </c>
      <c r="B3734">
        <v>300</v>
      </c>
      <c r="C3734" t="s">
        <v>1022</v>
      </c>
      <c r="D3734" t="s">
        <v>539</v>
      </c>
      <c r="E3734" t="s">
        <v>639</v>
      </c>
      <c r="F3734" t="s">
        <v>764</v>
      </c>
      <c r="G3734" t="s">
        <v>1023</v>
      </c>
      <c r="AX3734">
        <v>20</v>
      </c>
      <c r="AY3734">
        <v>18</v>
      </c>
      <c r="AZ3734">
        <v>19</v>
      </c>
      <c r="BA3734">
        <v>19</v>
      </c>
      <c r="BB3734">
        <v>25</v>
      </c>
      <c r="BC3734">
        <v>25</v>
      </c>
      <c r="BD3734">
        <v>33</v>
      </c>
      <c r="BE3734">
        <v>40</v>
      </c>
      <c r="BF3734">
        <v>38</v>
      </c>
      <c r="BG3734">
        <v>21</v>
      </c>
      <c r="BH3734">
        <v>21</v>
      </c>
      <c r="BI3734">
        <v>21</v>
      </c>
      <c r="CH3734" t="str">
        <f t="shared" si="58"/>
        <v>D-0519</v>
      </c>
    </row>
    <row r="3735" spans="1:86">
      <c r="A3735" t="s">
        <v>5542</v>
      </c>
      <c r="B3735">
        <v>301</v>
      </c>
      <c r="C3735" t="s">
        <v>1022</v>
      </c>
      <c r="D3735" t="s">
        <v>539</v>
      </c>
      <c r="E3735" t="s">
        <v>639</v>
      </c>
      <c r="F3735" t="s">
        <v>764</v>
      </c>
      <c r="G3735" t="s">
        <v>1023</v>
      </c>
      <c r="AX3735">
        <v>15</v>
      </c>
      <c r="AY3735">
        <v>19</v>
      </c>
      <c r="AZ3735">
        <v>22</v>
      </c>
      <c r="BA3735">
        <v>21</v>
      </c>
      <c r="BB3735">
        <v>27</v>
      </c>
      <c r="BC3735">
        <v>27</v>
      </c>
      <c r="BD3735">
        <v>33</v>
      </c>
      <c r="BE3735">
        <v>41</v>
      </c>
      <c r="BF3735">
        <v>37</v>
      </c>
      <c r="BG3735">
        <v>20</v>
      </c>
      <c r="BH3735">
        <v>18</v>
      </c>
      <c r="BI3735">
        <v>21</v>
      </c>
      <c r="CH3735" t="str">
        <f t="shared" si="58"/>
        <v>D-0519</v>
      </c>
    </row>
    <row r="3736" spans="1:86">
      <c r="A3736" t="s">
        <v>5543</v>
      </c>
      <c r="B3736">
        <v>725</v>
      </c>
      <c r="C3736" t="s">
        <v>1022</v>
      </c>
      <c r="D3736" t="s">
        <v>539</v>
      </c>
      <c r="E3736" t="s">
        <v>639</v>
      </c>
      <c r="F3736" t="s">
        <v>764</v>
      </c>
      <c r="G3736" t="s">
        <v>1023</v>
      </c>
      <c r="AX3736">
        <v>40</v>
      </c>
      <c r="AY3736">
        <v>53</v>
      </c>
      <c r="AZ3736">
        <v>63</v>
      </c>
      <c r="BA3736">
        <v>57</v>
      </c>
      <c r="BB3736">
        <v>71</v>
      </c>
      <c r="BC3736">
        <v>70</v>
      </c>
      <c r="BD3736">
        <v>77</v>
      </c>
      <c r="BE3736">
        <v>86</v>
      </c>
      <c r="BF3736">
        <v>76</v>
      </c>
      <c r="BG3736">
        <v>53</v>
      </c>
      <c r="BH3736">
        <v>43</v>
      </c>
      <c r="BI3736">
        <v>36</v>
      </c>
      <c r="CH3736" t="str">
        <f t="shared" si="58"/>
        <v>D-0519</v>
      </c>
    </row>
    <row r="3737" spans="1:86">
      <c r="A3737" t="s">
        <v>5544</v>
      </c>
      <c r="B3737">
        <v>569</v>
      </c>
      <c r="C3737" t="s">
        <v>1286</v>
      </c>
      <c r="D3737" t="s">
        <v>1287</v>
      </c>
      <c r="E3737" t="s">
        <v>639</v>
      </c>
      <c r="F3737" t="s">
        <v>1288</v>
      </c>
      <c r="G3737" t="s">
        <v>1023</v>
      </c>
      <c r="AY3737">
        <v>14</v>
      </c>
      <c r="AZ3737">
        <v>27</v>
      </c>
      <c r="BA3737">
        <v>32</v>
      </c>
      <c r="BB3737">
        <v>32</v>
      </c>
      <c r="BC3737">
        <v>34</v>
      </c>
      <c r="BD3737">
        <v>49</v>
      </c>
      <c r="BE3737">
        <v>65</v>
      </c>
      <c r="BF3737">
        <v>60</v>
      </c>
      <c r="BG3737">
        <v>78</v>
      </c>
      <c r="BH3737">
        <v>77</v>
      </c>
      <c r="BI3737">
        <v>101</v>
      </c>
      <c r="CH3737" t="str">
        <f t="shared" si="58"/>
        <v>D-0509</v>
      </c>
    </row>
    <row r="3738" spans="1:86">
      <c r="A3738" t="s">
        <v>5545</v>
      </c>
      <c r="B3738">
        <v>1204</v>
      </c>
      <c r="C3738" t="s">
        <v>1286</v>
      </c>
      <c r="D3738" t="s">
        <v>1287</v>
      </c>
      <c r="E3738" t="s">
        <v>639</v>
      </c>
      <c r="F3738" t="s">
        <v>1288</v>
      </c>
      <c r="G3738" t="s">
        <v>1023</v>
      </c>
      <c r="AY3738">
        <v>86</v>
      </c>
      <c r="AZ3738">
        <v>96</v>
      </c>
      <c r="BA3738">
        <v>103</v>
      </c>
      <c r="BB3738">
        <v>110</v>
      </c>
      <c r="BC3738">
        <v>107</v>
      </c>
      <c r="BD3738">
        <v>115</v>
      </c>
      <c r="BE3738">
        <v>106</v>
      </c>
      <c r="BF3738">
        <v>104</v>
      </c>
      <c r="BG3738">
        <v>105</v>
      </c>
      <c r="BH3738">
        <v>128</v>
      </c>
      <c r="BI3738">
        <v>144</v>
      </c>
      <c r="CH3738" t="str">
        <f t="shared" si="58"/>
        <v>D-0509</v>
      </c>
    </row>
    <row r="3739" spans="1:86">
      <c r="A3739" t="s">
        <v>5546</v>
      </c>
      <c r="B3739">
        <v>970</v>
      </c>
      <c r="C3739" t="s">
        <v>1286</v>
      </c>
      <c r="D3739" t="s">
        <v>1287</v>
      </c>
      <c r="E3739" t="s">
        <v>639</v>
      </c>
      <c r="F3739" t="s">
        <v>1288</v>
      </c>
      <c r="G3739" t="s">
        <v>1023</v>
      </c>
      <c r="AY3739">
        <v>88</v>
      </c>
      <c r="AZ3739">
        <v>95</v>
      </c>
      <c r="BA3739">
        <v>92</v>
      </c>
      <c r="BB3739">
        <v>97</v>
      </c>
      <c r="BC3739">
        <v>87</v>
      </c>
      <c r="BD3739">
        <v>87</v>
      </c>
      <c r="BE3739">
        <v>89</v>
      </c>
      <c r="BF3739">
        <v>82</v>
      </c>
      <c r="BG3739">
        <v>85</v>
      </c>
      <c r="BH3739">
        <v>79</v>
      </c>
      <c r="BI3739">
        <v>89</v>
      </c>
      <c r="CH3739" t="str">
        <f t="shared" si="58"/>
        <v>D-0509</v>
      </c>
    </row>
    <row r="3740" spans="1:86">
      <c r="A3740" t="s">
        <v>5547</v>
      </c>
      <c r="B3740">
        <v>667</v>
      </c>
      <c r="C3740" t="s">
        <v>5548</v>
      </c>
      <c r="D3740" t="s">
        <v>1287</v>
      </c>
      <c r="E3740" t="s">
        <v>639</v>
      </c>
      <c r="F3740" t="s">
        <v>1288</v>
      </c>
      <c r="G3740" t="s">
        <v>1023</v>
      </c>
      <c r="AY3740">
        <v>44</v>
      </c>
      <c r="AZ3740">
        <v>48</v>
      </c>
      <c r="BA3740">
        <v>50</v>
      </c>
      <c r="BB3740">
        <v>60</v>
      </c>
      <c r="BC3740">
        <v>72</v>
      </c>
      <c r="BD3740">
        <v>82</v>
      </c>
      <c r="BE3740">
        <v>85</v>
      </c>
      <c r="BF3740">
        <v>79</v>
      </c>
      <c r="BG3740">
        <v>61</v>
      </c>
      <c r="BH3740">
        <v>47</v>
      </c>
      <c r="BI3740">
        <v>39</v>
      </c>
      <c r="CH3740" t="str">
        <f t="shared" si="58"/>
        <v>D-0509</v>
      </c>
    </row>
    <row r="3741" spans="1:86">
      <c r="A3741" t="s">
        <v>5549</v>
      </c>
      <c r="B3741">
        <v>1125</v>
      </c>
      <c r="C3741" t="s">
        <v>5550</v>
      </c>
      <c r="D3741" t="s">
        <v>1282</v>
      </c>
      <c r="E3741" t="s">
        <v>639</v>
      </c>
      <c r="F3741" t="s">
        <v>1283</v>
      </c>
      <c r="G3741" t="s">
        <v>1284</v>
      </c>
      <c r="AW3741">
        <v>57</v>
      </c>
      <c r="AX3741">
        <v>54</v>
      </c>
      <c r="AY3741">
        <v>40</v>
      </c>
      <c r="AZ3741">
        <v>53</v>
      </c>
      <c r="BA3741">
        <v>76</v>
      </c>
      <c r="BB3741">
        <v>92</v>
      </c>
      <c r="BC3741">
        <v>89</v>
      </c>
      <c r="BD3741">
        <v>113</v>
      </c>
      <c r="BE3741">
        <v>131</v>
      </c>
      <c r="BF3741">
        <v>125</v>
      </c>
      <c r="BG3741">
        <v>101</v>
      </c>
      <c r="BH3741">
        <v>98</v>
      </c>
      <c r="BI3741">
        <v>96</v>
      </c>
      <c r="CH3741" t="str">
        <f t="shared" si="58"/>
        <v>D-0537</v>
      </c>
    </row>
    <row r="3742" spans="1:86">
      <c r="A3742" t="s">
        <v>5551</v>
      </c>
      <c r="B3742">
        <v>641</v>
      </c>
      <c r="C3742" t="s">
        <v>1281</v>
      </c>
      <c r="D3742" t="s">
        <v>1282</v>
      </c>
      <c r="E3742" t="s">
        <v>639</v>
      </c>
      <c r="F3742" t="s">
        <v>1283</v>
      </c>
      <c r="G3742" t="s">
        <v>1284</v>
      </c>
      <c r="AW3742">
        <v>24</v>
      </c>
      <c r="AX3742">
        <v>22</v>
      </c>
      <c r="AY3742">
        <v>31</v>
      </c>
      <c r="AZ3742">
        <v>36</v>
      </c>
      <c r="BA3742">
        <v>39</v>
      </c>
      <c r="BB3742">
        <v>62</v>
      </c>
      <c r="BC3742">
        <v>63</v>
      </c>
      <c r="BD3742">
        <v>71</v>
      </c>
      <c r="BE3742">
        <v>69</v>
      </c>
      <c r="BF3742">
        <v>60</v>
      </c>
      <c r="BG3742">
        <v>61</v>
      </c>
      <c r="BH3742">
        <v>52</v>
      </c>
      <c r="BI3742">
        <v>51</v>
      </c>
      <c r="CH3742" t="str">
        <f t="shared" si="58"/>
        <v>D-0537</v>
      </c>
    </row>
    <row r="3743" spans="1:86">
      <c r="A3743" t="s">
        <v>5552</v>
      </c>
      <c r="B3743">
        <v>1134</v>
      </c>
      <c r="C3743" t="s">
        <v>1281</v>
      </c>
      <c r="D3743" t="s">
        <v>1282</v>
      </c>
      <c r="E3743" t="s">
        <v>639</v>
      </c>
      <c r="F3743" t="s">
        <v>1283</v>
      </c>
      <c r="G3743" t="s">
        <v>1284</v>
      </c>
      <c r="AW3743">
        <v>58</v>
      </c>
      <c r="AX3743">
        <v>70</v>
      </c>
      <c r="AY3743">
        <v>83</v>
      </c>
      <c r="AZ3743">
        <v>83</v>
      </c>
      <c r="BA3743">
        <v>101</v>
      </c>
      <c r="BB3743">
        <v>106</v>
      </c>
      <c r="BC3743">
        <v>107</v>
      </c>
      <c r="BD3743">
        <v>117</v>
      </c>
      <c r="BE3743">
        <v>121</v>
      </c>
      <c r="BF3743">
        <v>95</v>
      </c>
      <c r="BG3743">
        <v>82</v>
      </c>
      <c r="BH3743">
        <v>63</v>
      </c>
      <c r="BI3743">
        <v>48</v>
      </c>
      <c r="CH3743" t="str">
        <f t="shared" si="58"/>
        <v>D-0537</v>
      </c>
    </row>
    <row r="3744" spans="1:86">
      <c r="A3744" t="s">
        <v>5553</v>
      </c>
      <c r="B3744">
        <v>501</v>
      </c>
      <c r="C3744" t="s">
        <v>1281</v>
      </c>
      <c r="D3744" t="s">
        <v>1282</v>
      </c>
      <c r="E3744" t="s">
        <v>639</v>
      </c>
      <c r="F3744" t="s">
        <v>1283</v>
      </c>
      <c r="G3744" t="s">
        <v>1284</v>
      </c>
      <c r="AW3744">
        <v>20</v>
      </c>
      <c r="AX3744">
        <v>30</v>
      </c>
      <c r="AY3744">
        <v>32</v>
      </c>
      <c r="AZ3744">
        <v>26</v>
      </c>
      <c r="BA3744">
        <v>32</v>
      </c>
      <c r="BB3744">
        <v>36</v>
      </c>
      <c r="BC3744">
        <v>45</v>
      </c>
      <c r="BD3744">
        <v>47</v>
      </c>
      <c r="BE3744">
        <v>48</v>
      </c>
      <c r="BF3744">
        <v>50</v>
      </c>
      <c r="BG3744">
        <v>48</v>
      </c>
      <c r="BH3744">
        <v>40</v>
      </c>
      <c r="BI3744">
        <v>47</v>
      </c>
      <c r="CH3744" t="str">
        <f t="shared" si="58"/>
        <v>D-0537</v>
      </c>
    </row>
    <row r="3745" spans="1:86">
      <c r="A3745" t="s">
        <v>5554</v>
      </c>
      <c r="B3745">
        <v>396</v>
      </c>
      <c r="C3745" t="s">
        <v>2592</v>
      </c>
      <c r="D3745" t="s">
        <v>313</v>
      </c>
      <c r="E3745" t="s">
        <v>629</v>
      </c>
      <c r="F3745" t="s">
        <v>636</v>
      </c>
      <c r="G3745" t="s">
        <v>2593</v>
      </c>
      <c r="U3745">
        <v>4</v>
      </c>
      <c r="V3745">
        <v>17</v>
      </c>
      <c r="W3745">
        <v>34</v>
      </c>
      <c r="X3745">
        <v>52</v>
      </c>
      <c r="Y3745">
        <v>54</v>
      </c>
      <c r="Z3745">
        <v>70</v>
      </c>
      <c r="AA3745">
        <v>52</v>
      </c>
      <c r="AB3745">
        <v>51</v>
      </c>
      <c r="AC3745">
        <v>42</v>
      </c>
      <c r="AE3745">
        <v>20</v>
      </c>
      <c r="CH3745" t="str">
        <f t="shared" si="58"/>
        <v>D-0468</v>
      </c>
    </row>
    <row r="3746" spans="1:86">
      <c r="A3746" t="s">
        <v>5555</v>
      </c>
      <c r="B3746">
        <v>4375</v>
      </c>
      <c r="C3746" t="s">
        <v>5556</v>
      </c>
      <c r="D3746" t="s">
        <v>200</v>
      </c>
      <c r="E3746" t="s">
        <v>629</v>
      </c>
      <c r="F3746" t="s">
        <v>632</v>
      </c>
      <c r="G3746" t="s">
        <v>2593</v>
      </c>
      <c r="R3746">
        <v>12</v>
      </c>
      <c r="S3746">
        <v>2</v>
      </c>
      <c r="T3746">
        <v>113</v>
      </c>
      <c r="U3746">
        <v>133</v>
      </c>
      <c r="V3746">
        <v>342</v>
      </c>
      <c r="W3746">
        <v>259</v>
      </c>
      <c r="X3746">
        <v>510</v>
      </c>
      <c r="Y3746">
        <v>395</v>
      </c>
      <c r="Z3746">
        <v>741</v>
      </c>
      <c r="AA3746">
        <v>900</v>
      </c>
      <c r="AB3746">
        <v>227</v>
      </c>
      <c r="AC3746">
        <v>207</v>
      </c>
      <c r="AD3746">
        <v>240</v>
      </c>
      <c r="AE3746">
        <v>20</v>
      </c>
      <c r="AF3746">
        <v>235</v>
      </c>
      <c r="AH3746">
        <v>24</v>
      </c>
      <c r="AJ3746">
        <v>15</v>
      </c>
      <c r="CH3746" t="str">
        <f t="shared" si="58"/>
        <v>D-0212</v>
      </c>
    </row>
    <row r="3747" spans="1:86">
      <c r="A3747" t="s">
        <v>5557</v>
      </c>
      <c r="B3747">
        <v>5790</v>
      </c>
      <c r="C3747" t="s">
        <v>2583</v>
      </c>
      <c r="D3747" t="s">
        <v>200</v>
      </c>
      <c r="E3747" t="s">
        <v>629</v>
      </c>
      <c r="F3747" t="s">
        <v>632</v>
      </c>
      <c r="G3747" t="s">
        <v>2693</v>
      </c>
      <c r="V3747">
        <v>122</v>
      </c>
      <c r="W3747">
        <v>680</v>
      </c>
      <c r="X3747">
        <v>737</v>
      </c>
      <c r="Y3747">
        <v>683</v>
      </c>
      <c r="Z3747">
        <v>685</v>
      </c>
      <c r="AA3747">
        <v>583</v>
      </c>
      <c r="AB3747">
        <v>556</v>
      </c>
      <c r="AC3747">
        <v>599</v>
      </c>
      <c r="AD3747">
        <v>589</v>
      </c>
      <c r="AF3747">
        <v>556</v>
      </c>
      <c r="CH3747" t="str">
        <f t="shared" si="58"/>
        <v>D-0212</v>
      </c>
    </row>
    <row r="3748" spans="1:86">
      <c r="A3748" t="s">
        <v>5558</v>
      </c>
      <c r="B3748">
        <v>6263</v>
      </c>
      <c r="C3748" t="s">
        <v>2590</v>
      </c>
      <c r="D3748" t="s">
        <v>313</v>
      </c>
      <c r="E3748" t="s">
        <v>629</v>
      </c>
      <c r="F3748" t="s">
        <v>636</v>
      </c>
      <c r="G3748" t="s">
        <v>3367</v>
      </c>
      <c r="N3748">
        <v>51</v>
      </c>
      <c r="O3748">
        <v>111</v>
      </c>
      <c r="P3748">
        <v>319</v>
      </c>
      <c r="Q3748">
        <v>522</v>
      </c>
      <c r="R3748">
        <v>807</v>
      </c>
      <c r="S3748">
        <v>875</v>
      </c>
      <c r="T3748">
        <v>1023</v>
      </c>
      <c r="U3748">
        <v>832</v>
      </c>
      <c r="V3748">
        <v>678</v>
      </c>
      <c r="W3748">
        <v>459</v>
      </c>
      <c r="X3748">
        <v>363</v>
      </c>
      <c r="Y3748">
        <v>75</v>
      </c>
      <c r="Z3748">
        <v>109</v>
      </c>
      <c r="AA3748">
        <v>39</v>
      </c>
      <c r="CH3748" t="str">
        <f t="shared" si="58"/>
        <v>D-0468</v>
      </c>
    </row>
    <row r="3749" spans="1:86">
      <c r="A3749" t="s">
        <v>5559</v>
      </c>
      <c r="B3749">
        <v>43</v>
      </c>
      <c r="C3749" t="s">
        <v>2590</v>
      </c>
      <c r="D3749" t="s">
        <v>313</v>
      </c>
      <c r="E3749" t="s">
        <v>629</v>
      </c>
      <c r="F3749" t="s">
        <v>636</v>
      </c>
      <c r="G3749" t="s">
        <v>3367</v>
      </c>
      <c r="AB3749">
        <v>43</v>
      </c>
      <c r="CH3749" t="str">
        <f t="shared" si="58"/>
        <v>D-0468</v>
      </c>
    </row>
    <row r="3750" spans="1:86">
      <c r="A3750" t="s">
        <v>5560</v>
      </c>
      <c r="B3750">
        <v>9945</v>
      </c>
      <c r="C3750" t="s">
        <v>2592</v>
      </c>
      <c r="D3750" t="s">
        <v>313</v>
      </c>
      <c r="E3750" t="s">
        <v>629</v>
      </c>
      <c r="F3750" t="s">
        <v>636</v>
      </c>
      <c r="G3750" t="s">
        <v>2593</v>
      </c>
      <c r="X3750">
        <v>3655</v>
      </c>
      <c r="Y3750">
        <v>2425</v>
      </c>
      <c r="Z3750">
        <v>2286</v>
      </c>
      <c r="AA3750">
        <v>1282</v>
      </c>
      <c r="AB3750">
        <v>72</v>
      </c>
      <c r="AC3750">
        <v>3</v>
      </c>
      <c r="AD3750">
        <v>20</v>
      </c>
      <c r="AE3750">
        <v>71</v>
      </c>
      <c r="AF3750">
        <v>56</v>
      </c>
      <c r="AH3750">
        <v>38</v>
      </c>
      <c r="AJ3750">
        <v>37</v>
      </c>
      <c r="CH3750" t="str">
        <f t="shared" si="58"/>
        <v>D-0468</v>
      </c>
    </row>
    <row r="3751" spans="1:86">
      <c r="A3751" t="s">
        <v>5561</v>
      </c>
      <c r="B3751">
        <v>1729</v>
      </c>
      <c r="C3751" t="s">
        <v>2592</v>
      </c>
      <c r="D3751" t="s">
        <v>313</v>
      </c>
      <c r="E3751" t="s">
        <v>629</v>
      </c>
      <c r="F3751" t="s">
        <v>636</v>
      </c>
      <c r="G3751" t="s">
        <v>2593</v>
      </c>
      <c r="N3751">
        <v>79</v>
      </c>
      <c r="O3751">
        <v>115</v>
      </c>
      <c r="P3751">
        <v>392</v>
      </c>
      <c r="Q3751">
        <v>459</v>
      </c>
      <c r="R3751">
        <v>684</v>
      </c>
      <c r="CH3751" t="str">
        <f t="shared" si="58"/>
        <v>D-0468</v>
      </c>
    </row>
    <row r="3752" spans="1:86">
      <c r="A3752" t="s">
        <v>5562</v>
      </c>
      <c r="B3752">
        <v>12255</v>
      </c>
      <c r="C3752" t="s">
        <v>2592</v>
      </c>
      <c r="D3752" t="s">
        <v>313</v>
      </c>
      <c r="E3752" t="s">
        <v>629</v>
      </c>
      <c r="F3752" t="s">
        <v>636</v>
      </c>
      <c r="G3752" t="s">
        <v>2593</v>
      </c>
      <c r="S3752">
        <v>872</v>
      </c>
      <c r="T3752">
        <v>1831</v>
      </c>
      <c r="U3752">
        <v>2490</v>
      </c>
      <c r="V3752">
        <v>3055</v>
      </c>
      <c r="W3752">
        <v>4007</v>
      </c>
      <c r="CH3752" t="str">
        <f t="shared" si="58"/>
        <v>D-0468</v>
      </c>
    </row>
    <row r="3753" spans="1:86">
      <c r="A3753" t="s">
        <v>5563</v>
      </c>
      <c r="B3753">
        <v>2318</v>
      </c>
      <c r="C3753" t="s">
        <v>2592</v>
      </c>
      <c r="D3753" t="s">
        <v>313</v>
      </c>
      <c r="E3753" t="s">
        <v>629</v>
      </c>
      <c r="F3753" t="s">
        <v>636</v>
      </c>
      <c r="G3753" t="s">
        <v>2593</v>
      </c>
      <c r="S3753">
        <v>70</v>
      </c>
      <c r="T3753">
        <v>111</v>
      </c>
      <c r="U3753">
        <v>188</v>
      </c>
      <c r="V3753">
        <v>184</v>
      </c>
      <c r="W3753">
        <v>330</v>
      </c>
      <c r="X3753">
        <v>307</v>
      </c>
      <c r="Y3753">
        <v>282</v>
      </c>
      <c r="Z3753">
        <v>325</v>
      </c>
      <c r="AA3753">
        <v>215</v>
      </c>
      <c r="AB3753">
        <v>119</v>
      </c>
      <c r="AC3753">
        <v>107</v>
      </c>
      <c r="AD3753">
        <v>4</v>
      </c>
      <c r="AE3753">
        <v>57</v>
      </c>
      <c r="AF3753">
        <v>6</v>
      </c>
      <c r="AH3753">
        <v>7</v>
      </c>
      <c r="AJ3753">
        <v>6</v>
      </c>
      <c r="CH3753" t="str">
        <f t="shared" si="58"/>
        <v>D-0468</v>
      </c>
    </row>
    <row r="3754" spans="1:86">
      <c r="A3754" t="s">
        <v>5564</v>
      </c>
      <c r="B3754">
        <v>129</v>
      </c>
      <c r="C3754" t="s">
        <v>2592</v>
      </c>
      <c r="D3754" t="s">
        <v>313</v>
      </c>
      <c r="E3754" t="s">
        <v>629</v>
      </c>
      <c r="F3754" t="s">
        <v>636</v>
      </c>
      <c r="G3754" t="s">
        <v>2593</v>
      </c>
      <c r="N3754">
        <v>2</v>
      </c>
      <c r="O3754">
        <v>5</v>
      </c>
      <c r="P3754">
        <v>21</v>
      </c>
      <c r="Q3754">
        <v>31</v>
      </c>
      <c r="R3754">
        <v>70</v>
      </c>
      <c r="CH3754" t="str">
        <f t="shared" si="58"/>
        <v>D-0468</v>
      </c>
    </row>
    <row r="3755" spans="1:86">
      <c r="A3755" t="s">
        <v>5565</v>
      </c>
      <c r="B3755">
        <v>8843</v>
      </c>
      <c r="C3755" t="s">
        <v>5566</v>
      </c>
      <c r="D3755" t="s">
        <v>313</v>
      </c>
      <c r="E3755" t="s">
        <v>629</v>
      </c>
      <c r="F3755" t="s">
        <v>636</v>
      </c>
      <c r="G3755" t="s">
        <v>2283</v>
      </c>
      <c r="O3755">
        <v>12</v>
      </c>
      <c r="P3755">
        <v>642</v>
      </c>
      <c r="Q3755">
        <v>756</v>
      </c>
      <c r="R3755">
        <v>1398</v>
      </c>
      <c r="S3755">
        <v>378</v>
      </c>
      <c r="T3755">
        <v>2016</v>
      </c>
      <c r="U3755">
        <v>1926</v>
      </c>
      <c r="V3755">
        <v>282</v>
      </c>
      <c r="W3755">
        <v>768</v>
      </c>
      <c r="X3755">
        <v>659</v>
      </c>
      <c r="Y3755">
        <v>6</v>
      </c>
      <c r="CH3755" t="str">
        <f t="shared" si="58"/>
        <v>D-0468</v>
      </c>
    </row>
    <row r="3756" spans="1:86">
      <c r="A3756" t="s">
        <v>5567</v>
      </c>
      <c r="B3756">
        <v>11783</v>
      </c>
      <c r="C3756" t="s">
        <v>5568</v>
      </c>
      <c r="D3756" t="s">
        <v>313</v>
      </c>
      <c r="E3756" t="s">
        <v>629</v>
      </c>
      <c r="F3756" t="s">
        <v>636</v>
      </c>
      <c r="G3756" t="s">
        <v>2283</v>
      </c>
      <c r="S3756">
        <v>6</v>
      </c>
      <c r="T3756">
        <v>42</v>
      </c>
      <c r="U3756">
        <v>900</v>
      </c>
      <c r="V3756">
        <v>210</v>
      </c>
      <c r="W3756">
        <v>1092</v>
      </c>
      <c r="X3756">
        <v>1895</v>
      </c>
      <c r="Y3756">
        <v>1056</v>
      </c>
      <c r="Z3756">
        <v>2016</v>
      </c>
      <c r="AA3756">
        <v>1950</v>
      </c>
      <c r="AB3756">
        <v>396</v>
      </c>
      <c r="AC3756">
        <v>300</v>
      </c>
      <c r="AD3756">
        <v>780</v>
      </c>
      <c r="AE3756">
        <v>840</v>
      </c>
      <c r="AF3756">
        <v>288</v>
      </c>
      <c r="AH3756">
        <v>12</v>
      </c>
      <c r="CH3756" t="str">
        <f t="shared" si="58"/>
        <v>D-0468</v>
      </c>
    </row>
    <row r="3757" spans="1:86">
      <c r="A3757" t="s">
        <v>5569</v>
      </c>
      <c r="B3757">
        <v>1250</v>
      </c>
      <c r="C3757" t="s">
        <v>1359</v>
      </c>
      <c r="D3757" t="s">
        <v>365</v>
      </c>
      <c r="E3757" t="s">
        <v>629</v>
      </c>
      <c r="F3757" t="s">
        <v>706</v>
      </c>
      <c r="G3757" t="s">
        <v>737</v>
      </c>
      <c r="U3757">
        <v>12</v>
      </c>
      <c r="V3757">
        <v>48</v>
      </c>
      <c r="X3757">
        <v>228</v>
      </c>
      <c r="Y3757">
        <v>158</v>
      </c>
      <c r="Z3757">
        <v>216</v>
      </c>
      <c r="AA3757">
        <v>228</v>
      </c>
      <c r="AB3757">
        <v>168</v>
      </c>
      <c r="AC3757">
        <v>156</v>
      </c>
      <c r="AD3757">
        <v>36</v>
      </c>
      <c r="CH3757" t="str">
        <f t="shared" si="58"/>
        <v>D-0524</v>
      </c>
    </row>
    <row r="3758" spans="1:86">
      <c r="A3758" t="s">
        <v>5570</v>
      </c>
      <c r="B3758">
        <v>1766</v>
      </c>
      <c r="C3758" t="s">
        <v>946</v>
      </c>
      <c r="D3758" t="s">
        <v>365</v>
      </c>
      <c r="E3758" t="s">
        <v>629</v>
      </c>
      <c r="F3758" t="s">
        <v>706</v>
      </c>
      <c r="G3758" t="s">
        <v>1351</v>
      </c>
      <c r="T3758">
        <v>24</v>
      </c>
      <c r="U3758">
        <v>24</v>
      </c>
      <c r="V3758">
        <v>60</v>
      </c>
      <c r="W3758">
        <v>36</v>
      </c>
      <c r="X3758">
        <v>156</v>
      </c>
      <c r="Y3758">
        <v>194</v>
      </c>
      <c r="Z3758">
        <v>192</v>
      </c>
      <c r="AA3758">
        <v>276</v>
      </c>
      <c r="AB3758">
        <v>240</v>
      </c>
      <c r="AC3758">
        <v>156</v>
      </c>
      <c r="AD3758">
        <v>192</v>
      </c>
      <c r="AF3758">
        <v>156</v>
      </c>
      <c r="AH3758">
        <v>60</v>
      </c>
      <c r="CH3758" t="str">
        <f t="shared" si="58"/>
        <v>D-0524</v>
      </c>
    </row>
    <row r="3759" spans="1:86">
      <c r="A3759" t="s">
        <v>1554</v>
      </c>
      <c r="B3759">
        <v>2184</v>
      </c>
      <c r="C3759" t="s">
        <v>1555</v>
      </c>
      <c r="D3759" t="s">
        <v>261</v>
      </c>
      <c r="E3759" t="s">
        <v>629</v>
      </c>
      <c r="F3759" t="s">
        <v>652</v>
      </c>
      <c r="G3759" t="s">
        <v>1556</v>
      </c>
      <c r="L3759">
        <v>120</v>
      </c>
      <c r="M3759">
        <v>228</v>
      </c>
      <c r="N3759">
        <v>156</v>
      </c>
      <c r="O3759">
        <v>204</v>
      </c>
      <c r="P3759">
        <v>228</v>
      </c>
      <c r="Q3759">
        <v>240</v>
      </c>
      <c r="R3759">
        <v>180</v>
      </c>
      <c r="S3759">
        <v>48</v>
      </c>
      <c r="T3759">
        <v>180</v>
      </c>
      <c r="U3759">
        <v>84</v>
      </c>
      <c r="V3759">
        <v>72</v>
      </c>
      <c r="W3759">
        <v>132</v>
      </c>
      <c r="X3759">
        <v>108</v>
      </c>
      <c r="Y3759">
        <v>84</v>
      </c>
      <c r="Z3759">
        <v>48</v>
      </c>
      <c r="AA3759">
        <v>36</v>
      </c>
      <c r="AB3759">
        <v>36</v>
      </c>
      <c r="CH3759" t="str">
        <f t="shared" si="58"/>
        <v>D-0310</v>
      </c>
    </row>
    <row r="3760" spans="1:86">
      <c r="A3760" t="s">
        <v>3556</v>
      </c>
      <c r="B3760">
        <v>1008</v>
      </c>
      <c r="C3760" t="s">
        <v>3493</v>
      </c>
      <c r="D3760" t="s">
        <v>3494</v>
      </c>
      <c r="E3760" t="s">
        <v>629</v>
      </c>
      <c r="F3760" t="s">
        <v>635</v>
      </c>
      <c r="G3760" t="s">
        <v>1647</v>
      </c>
      <c r="N3760">
        <v>12</v>
      </c>
      <c r="O3760">
        <v>24</v>
      </c>
      <c r="P3760">
        <v>36</v>
      </c>
      <c r="Q3760">
        <v>24</v>
      </c>
      <c r="R3760">
        <v>24</v>
      </c>
      <c r="S3760">
        <v>24</v>
      </c>
      <c r="T3760">
        <v>36</v>
      </c>
      <c r="U3760">
        <v>24</v>
      </c>
      <c r="V3760">
        <v>108</v>
      </c>
      <c r="W3760">
        <v>60</v>
      </c>
      <c r="X3760">
        <v>132</v>
      </c>
      <c r="Y3760">
        <v>48</v>
      </c>
      <c r="Z3760">
        <v>132</v>
      </c>
      <c r="AA3760">
        <v>60</v>
      </c>
      <c r="AB3760">
        <v>108</v>
      </c>
      <c r="AC3760">
        <v>24</v>
      </c>
      <c r="AD3760">
        <v>84</v>
      </c>
      <c r="AF3760">
        <v>48</v>
      </c>
      <c r="CH3760" t="str">
        <f t="shared" si="58"/>
        <v>D-0493</v>
      </c>
    </row>
    <row r="3761" spans="1:86">
      <c r="A3761" t="s">
        <v>3611</v>
      </c>
      <c r="B3761">
        <v>126</v>
      </c>
      <c r="C3761" t="s">
        <v>3493</v>
      </c>
      <c r="D3761" t="s">
        <v>3494</v>
      </c>
      <c r="E3761" t="s">
        <v>629</v>
      </c>
      <c r="F3761" t="s">
        <v>635</v>
      </c>
      <c r="G3761" t="s">
        <v>1647</v>
      </c>
      <c r="T3761">
        <v>8</v>
      </c>
      <c r="V3761">
        <v>12</v>
      </c>
      <c r="X3761">
        <v>48</v>
      </c>
      <c r="Z3761">
        <v>36</v>
      </c>
      <c r="AB3761">
        <v>16</v>
      </c>
      <c r="AD3761">
        <v>6</v>
      </c>
      <c r="CH3761" t="str">
        <f t="shared" si="58"/>
        <v>D-0493</v>
      </c>
    </row>
    <row r="3762" spans="1:86">
      <c r="A3762" t="s">
        <v>3613</v>
      </c>
      <c r="B3762">
        <v>84</v>
      </c>
      <c r="C3762" t="s">
        <v>3493</v>
      </c>
      <c r="D3762" t="s">
        <v>3494</v>
      </c>
      <c r="E3762" t="s">
        <v>629</v>
      </c>
      <c r="F3762" t="s">
        <v>635</v>
      </c>
      <c r="G3762" t="s">
        <v>1647</v>
      </c>
      <c r="S3762">
        <v>7</v>
      </c>
      <c r="T3762">
        <v>14</v>
      </c>
      <c r="U3762">
        <v>14</v>
      </c>
      <c r="V3762">
        <v>14</v>
      </c>
      <c r="W3762">
        <v>14</v>
      </c>
      <c r="X3762">
        <v>7</v>
      </c>
      <c r="Y3762">
        <v>7</v>
      </c>
      <c r="Z3762">
        <v>7</v>
      </c>
      <c r="CH3762" t="str">
        <f t="shared" si="58"/>
        <v>D-0493</v>
      </c>
    </row>
    <row r="3763" spans="1:86">
      <c r="A3763" t="s">
        <v>3614</v>
      </c>
      <c r="B3763">
        <v>12</v>
      </c>
      <c r="C3763" t="s">
        <v>3493</v>
      </c>
      <c r="D3763" t="s">
        <v>3494</v>
      </c>
      <c r="E3763" t="s">
        <v>629</v>
      </c>
      <c r="F3763" t="s">
        <v>635</v>
      </c>
      <c r="G3763" t="s">
        <v>1647</v>
      </c>
      <c r="T3763">
        <v>1</v>
      </c>
      <c r="U3763">
        <v>1</v>
      </c>
      <c r="V3763">
        <v>1</v>
      </c>
      <c r="W3763">
        <v>2</v>
      </c>
      <c r="X3763">
        <v>2</v>
      </c>
      <c r="Y3763">
        <v>2</v>
      </c>
      <c r="Z3763">
        <v>1</v>
      </c>
      <c r="AA3763">
        <v>1</v>
      </c>
      <c r="AB3763">
        <v>1</v>
      </c>
      <c r="CH3763" t="str">
        <f t="shared" si="58"/>
        <v>D-0493</v>
      </c>
    </row>
    <row r="3764" spans="1:86">
      <c r="A3764" t="s">
        <v>3616</v>
      </c>
      <c r="B3764">
        <v>24</v>
      </c>
      <c r="C3764" t="s">
        <v>3493</v>
      </c>
      <c r="D3764" t="s">
        <v>3494</v>
      </c>
      <c r="E3764" t="s">
        <v>629</v>
      </c>
      <c r="F3764" t="s">
        <v>635</v>
      </c>
      <c r="G3764" t="s">
        <v>1647</v>
      </c>
      <c r="N3764">
        <v>2</v>
      </c>
      <c r="O3764">
        <v>2</v>
      </c>
      <c r="P3764">
        <v>2</v>
      </c>
      <c r="Q3764">
        <v>4</v>
      </c>
      <c r="R3764">
        <v>4</v>
      </c>
      <c r="S3764">
        <v>4</v>
      </c>
      <c r="T3764">
        <v>2</v>
      </c>
      <c r="U3764">
        <v>2</v>
      </c>
      <c r="V3764">
        <v>2</v>
      </c>
      <c r="CH3764" t="str">
        <f t="shared" si="58"/>
        <v>D-0493</v>
      </c>
    </row>
    <row r="3765" spans="1:86">
      <c r="A3765" t="s">
        <v>3619</v>
      </c>
      <c r="B3765">
        <v>186</v>
      </c>
      <c r="C3765" t="s">
        <v>3493</v>
      </c>
      <c r="D3765" t="s">
        <v>3494</v>
      </c>
      <c r="E3765" t="s">
        <v>629</v>
      </c>
      <c r="F3765" t="s">
        <v>635</v>
      </c>
      <c r="G3765" t="s">
        <v>1647</v>
      </c>
      <c r="T3765">
        <v>30</v>
      </c>
      <c r="V3765">
        <v>46</v>
      </c>
      <c r="X3765">
        <v>46</v>
      </c>
      <c r="Z3765">
        <v>32</v>
      </c>
      <c r="AB3765">
        <v>18</v>
      </c>
      <c r="AD3765">
        <v>14</v>
      </c>
      <c r="CH3765" t="str">
        <f t="shared" si="58"/>
        <v>D-0493</v>
      </c>
    </row>
    <row r="3766" spans="1:86">
      <c r="A3766" t="s">
        <v>3620</v>
      </c>
      <c r="B3766">
        <v>108</v>
      </c>
      <c r="C3766" t="s">
        <v>3493</v>
      </c>
      <c r="D3766" t="s">
        <v>3494</v>
      </c>
      <c r="E3766" t="s">
        <v>629</v>
      </c>
      <c r="F3766" t="s">
        <v>635</v>
      </c>
      <c r="G3766" t="s">
        <v>1647</v>
      </c>
      <c r="T3766">
        <v>18</v>
      </c>
      <c r="V3766">
        <v>27</v>
      </c>
      <c r="X3766">
        <v>27</v>
      </c>
      <c r="Z3766">
        <v>18</v>
      </c>
      <c r="AB3766">
        <v>9</v>
      </c>
      <c r="AD3766">
        <v>9</v>
      </c>
      <c r="CH3766" t="str">
        <f t="shared" si="58"/>
        <v>D-0493</v>
      </c>
    </row>
    <row r="3767" spans="1:86">
      <c r="A3767" t="s">
        <v>3623</v>
      </c>
      <c r="B3767">
        <v>312</v>
      </c>
      <c r="C3767" t="s">
        <v>3493</v>
      </c>
      <c r="D3767" t="s">
        <v>3494</v>
      </c>
      <c r="E3767" t="s">
        <v>629</v>
      </c>
      <c r="F3767" t="s">
        <v>635</v>
      </c>
      <c r="G3767" t="s">
        <v>1647</v>
      </c>
      <c r="O3767">
        <v>26</v>
      </c>
      <c r="Q3767">
        <v>26</v>
      </c>
      <c r="R3767">
        <v>26</v>
      </c>
      <c r="T3767">
        <v>26</v>
      </c>
      <c r="U3767">
        <v>52</v>
      </c>
      <c r="W3767">
        <v>52</v>
      </c>
      <c r="Y3767">
        <v>52</v>
      </c>
      <c r="Z3767">
        <v>52</v>
      </c>
      <c r="CH3767" t="str">
        <f t="shared" si="58"/>
        <v>D-0493</v>
      </c>
    </row>
    <row r="3768" spans="1:86">
      <c r="A3768" t="s">
        <v>3624</v>
      </c>
      <c r="B3768">
        <v>2118</v>
      </c>
      <c r="C3768" t="s">
        <v>3493</v>
      </c>
      <c r="D3768" t="s">
        <v>3494</v>
      </c>
      <c r="E3768" t="s">
        <v>629</v>
      </c>
      <c r="F3768" t="s">
        <v>635</v>
      </c>
      <c r="G3768" t="s">
        <v>1647</v>
      </c>
      <c r="L3768">
        <v>18</v>
      </c>
      <c r="N3768">
        <v>66</v>
      </c>
      <c r="P3768">
        <v>168</v>
      </c>
      <c r="R3768">
        <v>258</v>
      </c>
      <c r="T3768">
        <v>360</v>
      </c>
      <c r="V3768">
        <v>354</v>
      </c>
      <c r="X3768">
        <v>288</v>
      </c>
      <c r="Z3768">
        <v>240</v>
      </c>
      <c r="AB3768">
        <v>216</v>
      </c>
      <c r="AD3768">
        <v>132</v>
      </c>
      <c r="AF3768">
        <v>18</v>
      </c>
      <c r="CH3768" t="str">
        <f t="shared" si="58"/>
        <v>D-0493</v>
      </c>
    </row>
    <row r="3769" spans="1:86">
      <c r="A3769" t="s">
        <v>3625</v>
      </c>
      <c r="B3769">
        <v>349</v>
      </c>
      <c r="C3769" t="s">
        <v>3493</v>
      </c>
      <c r="D3769" t="s">
        <v>3494</v>
      </c>
      <c r="E3769" t="s">
        <v>629</v>
      </c>
      <c r="F3769" t="s">
        <v>635</v>
      </c>
      <c r="G3769" t="s">
        <v>1647</v>
      </c>
      <c r="L3769">
        <v>3</v>
      </c>
      <c r="N3769">
        <v>13</v>
      </c>
      <c r="P3769">
        <v>33</v>
      </c>
      <c r="R3769">
        <v>49</v>
      </c>
      <c r="T3769">
        <v>64</v>
      </c>
      <c r="V3769">
        <v>63</v>
      </c>
      <c r="X3769">
        <v>47</v>
      </c>
      <c r="Z3769">
        <v>30</v>
      </c>
      <c r="AB3769">
        <v>27</v>
      </c>
      <c r="AD3769">
        <v>16</v>
      </c>
      <c r="AF3769">
        <v>4</v>
      </c>
      <c r="CH3769" t="str">
        <f t="shared" si="58"/>
        <v>D-0493</v>
      </c>
    </row>
    <row r="3770" spans="1:86">
      <c r="A3770" t="s">
        <v>3626</v>
      </c>
      <c r="B3770">
        <v>95</v>
      </c>
      <c r="C3770" t="s">
        <v>3493</v>
      </c>
      <c r="D3770" t="s">
        <v>3494</v>
      </c>
      <c r="E3770" t="s">
        <v>629</v>
      </c>
      <c r="F3770" t="s">
        <v>635</v>
      </c>
      <c r="G3770" t="s">
        <v>1647</v>
      </c>
      <c r="M3770">
        <v>2</v>
      </c>
      <c r="O3770">
        <v>8</v>
      </c>
      <c r="Q3770">
        <v>11</v>
      </c>
      <c r="R3770">
        <v>15</v>
      </c>
      <c r="T3770">
        <v>16</v>
      </c>
      <c r="U3770">
        <v>15</v>
      </c>
      <c r="W3770">
        <v>12</v>
      </c>
      <c r="Y3770">
        <v>9</v>
      </c>
      <c r="Z3770">
        <v>4</v>
      </c>
      <c r="AB3770">
        <v>3</v>
      </c>
      <c r="CH3770" t="str">
        <f t="shared" si="58"/>
        <v>D-0493</v>
      </c>
    </row>
    <row r="3771" spans="1:86">
      <c r="A3771" t="s">
        <v>3627</v>
      </c>
      <c r="B3771">
        <v>1248</v>
      </c>
      <c r="C3771" t="s">
        <v>3493</v>
      </c>
      <c r="D3771" t="s">
        <v>3494</v>
      </c>
      <c r="E3771" t="s">
        <v>629</v>
      </c>
      <c r="F3771" t="s">
        <v>635</v>
      </c>
      <c r="G3771" t="s">
        <v>1647</v>
      </c>
      <c r="L3771">
        <v>24</v>
      </c>
      <c r="M3771">
        <v>60</v>
      </c>
      <c r="N3771">
        <v>48</v>
      </c>
      <c r="O3771">
        <v>24</v>
      </c>
      <c r="P3771">
        <v>72</v>
      </c>
      <c r="Q3771">
        <v>84</v>
      </c>
      <c r="R3771">
        <v>48</v>
      </c>
      <c r="S3771">
        <v>72</v>
      </c>
      <c r="T3771">
        <v>96</v>
      </c>
      <c r="U3771">
        <v>120</v>
      </c>
      <c r="V3771">
        <v>168</v>
      </c>
      <c r="W3771">
        <v>156</v>
      </c>
      <c r="X3771">
        <v>72</v>
      </c>
      <c r="Y3771">
        <v>96</v>
      </c>
      <c r="Z3771">
        <v>36</v>
      </c>
      <c r="AA3771">
        <v>36</v>
      </c>
      <c r="AB3771">
        <v>24</v>
      </c>
      <c r="AC3771">
        <v>12</v>
      </c>
      <c r="CH3771" t="str">
        <f t="shared" si="58"/>
        <v>D-0493</v>
      </c>
    </row>
    <row r="3772" spans="1:86">
      <c r="A3772" t="s">
        <v>3628</v>
      </c>
      <c r="B3772">
        <v>432</v>
      </c>
      <c r="C3772" t="s">
        <v>3493</v>
      </c>
      <c r="D3772" t="s">
        <v>3494</v>
      </c>
      <c r="E3772" t="s">
        <v>629</v>
      </c>
      <c r="F3772" t="s">
        <v>635</v>
      </c>
      <c r="G3772" t="s">
        <v>1647</v>
      </c>
      <c r="M3772">
        <v>24</v>
      </c>
      <c r="N3772">
        <v>24</v>
      </c>
      <c r="O3772">
        <v>36</v>
      </c>
      <c r="P3772">
        <v>24</v>
      </c>
      <c r="Q3772">
        <v>24</v>
      </c>
      <c r="R3772">
        <v>12</v>
      </c>
      <c r="S3772">
        <v>24</v>
      </c>
      <c r="T3772">
        <v>48</v>
      </c>
      <c r="U3772">
        <v>48</v>
      </c>
      <c r="V3772">
        <v>48</v>
      </c>
      <c r="W3772">
        <v>48</v>
      </c>
      <c r="X3772">
        <v>24</v>
      </c>
      <c r="Y3772">
        <v>24</v>
      </c>
      <c r="Z3772">
        <v>24</v>
      </c>
      <c r="CH3772" t="str">
        <f t="shared" si="58"/>
        <v>D-0493</v>
      </c>
    </row>
    <row r="3773" spans="1:86">
      <c r="A3773" t="s">
        <v>3629</v>
      </c>
      <c r="B3773">
        <v>210</v>
      </c>
      <c r="C3773" t="s">
        <v>3493</v>
      </c>
      <c r="D3773" t="s">
        <v>3494</v>
      </c>
      <c r="E3773" t="s">
        <v>629</v>
      </c>
      <c r="F3773" t="s">
        <v>635</v>
      </c>
      <c r="G3773" t="s">
        <v>1647</v>
      </c>
      <c r="P3773">
        <v>14</v>
      </c>
      <c r="R3773">
        <v>14</v>
      </c>
      <c r="T3773">
        <v>14</v>
      </c>
      <c r="V3773">
        <v>15</v>
      </c>
      <c r="W3773">
        <v>15</v>
      </c>
      <c r="X3773">
        <v>17</v>
      </c>
      <c r="Y3773">
        <v>30</v>
      </c>
      <c r="Z3773">
        <v>32</v>
      </c>
      <c r="AA3773">
        <v>29</v>
      </c>
      <c r="AB3773">
        <v>15</v>
      </c>
      <c r="AD3773">
        <v>9</v>
      </c>
      <c r="AF3773">
        <v>6</v>
      </c>
      <c r="CH3773" t="str">
        <f t="shared" si="58"/>
        <v>D-0493</v>
      </c>
    </row>
    <row r="3774" spans="1:86">
      <c r="A3774" t="s">
        <v>3630</v>
      </c>
      <c r="B3774">
        <v>24</v>
      </c>
      <c r="C3774" t="s">
        <v>3493</v>
      </c>
      <c r="D3774" t="s">
        <v>3494</v>
      </c>
      <c r="E3774" t="s">
        <v>629</v>
      </c>
      <c r="F3774" t="s">
        <v>635</v>
      </c>
      <c r="G3774" t="s">
        <v>1647</v>
      </c>
      <c r="T3774">
        <v>4</v>
      </c>
      <c r="U3774">
        <v>4</v>
      </c>
      <c r="W3774">
        <v>8</v>
      </c>
      <c r="Y3774">
        <v>4</v>
      </c>
      <c r="Z3774">
        <v>2</v>
      </c>
      <c r="AB3774">
        <v>2</v>
      </c>
      <c r="CH3774" t="str">
        <f t="shared" si="58"/>
        <v>D-0493</v>
      </c>
    </row>
    <row r="3775" spans="1:86">
      <c r="A3775" t="s">
        <v>3631</v>
      </c>
      <c r="B3775">
        <v>105</v>
      </c>
      <c r="C3775" t="s">
        <v>3493</v>
      </c>
      <c r="D3775" t="s">
        <v>3494</v>
      </c>
      <c r="E3775" t="s">
        <v>629</v>
      </c>
      <c r="F3775" t="s">
        <v>635</v>
      </c>
      <c r="G3775" t="s">
        <v>1647</v>
      </c>
      <c r="M3775">
        <v>7</v>
      </c>
      <c r="O3775">
        <v>7</v>
      </c>
      <c r="P3775">
        <v>7</v>
      </c>
      <c r="Q3775">
        <v>7</v>
      </c>
      <c r="R3775">
        <v>7</v>
      </c>
      <c r="T3775">
        <v>7</v>
      </c>
      <c r="U3775">
        <v>7</v>
      </c>
      <c r="W3775">
        <v>14</v>
      </c>
      <c r="X3775">
        <v>7</v>
      </c>
      <c r="Y3775">
        <v>14</v>
      </c>
      <c r="Z3775">
        <v>7</v>
      </c>
      <c r="AB3775">
        <v>7</v>
      </c>
      <c r="AC3775">
        <v>7</v>
      </c>
      <c r="CH3775" t="str">
        <f t="shared" si="58"/>
        <v>D-0493</v>
      </c>
    </row>
    <row r="3776" spans="1:86">
      <c r="A3776" t="s">
        <v>3632</v>
      </c>
      <c r="B3776">
        <v>536</v>
      </c>
      <c r="C3776" t="s">
        <v>3493</v>
      </c>
      <c r="D3776" t="s">
        <v>3494</v>
      </c>
      <c r="E3776" t="s">
        <v>629</v>
      </c>
      <c r="F3776" t="s">
        <v>635</v>
      </c>
      <c r="G3776" t="s">
        <v>1647</v>
      </c>
      <c r="T3776">
        <v>58</v>
      </c>
      <c r="V3776">
        <v>153</v>
      </c>
      <c r="X3776">
        <v>153</v>
      </c>
      <c r="Z3776">
        <v>114</v>
      </c>
      <c r="AB3776">
        <v>58</v>
      </c>
      <c r="CH3776" t="str">
        <f t="shared" si="58"/>
        <v>D-0493</v>
      </c>
    </row>
    <row r="3777" spans="1:86">
      <c r="A3777" t="s">
        <v>3633</v>
      </c>
      <c r="B3777">
        <v>97</v>
      </c>
      <c r="C3777" t="s">
        <v>3493</v>
      </c>
      <c r="D3777" t="s">
        <v>3494</v>
      </c>
      <c r="E3777" t="s">
        <v>629</v>
      </c>
      <c r="F3777" t="s">
        <v>635</v>
      </c>
      <c r="G3777" t="s">
        <v>1647</v>
      </c>
      <c r="T3777">
        <v>3</v>
      </c>
      <c r="V3777">
        <v>10</v>
      </c>
      <c r="X3777">
        <v>36</v>
      </c>
      <c r="Z3777">
        <v>24</v>
      </c>
      <c r="AB3777">
        <v>18</v>
      </c>
      <c r="AD3777">
        <v>6</v>
      </c>
      <c r="CH3777" t="str">
        <f t="shared" si="58"/>
        <v>D-0493</v>
      </c>
    </row>
    <row r="3778" spans="1:86">
      <c r="A3778" t="s">
        <v>3634</v>
      </c>
      <c r="B3778">
        <v>228</v>
      </c>
      <c r="C3778" t="s">
        <v>3493</v>
      </c>
      <c r="D3778" t="s">
        <v>3494</v>
      </c>
      <c r="E3778" t="s">
        <v>629</v>
      </c>
      <c r="F3778" t="s">
        <v>635</v>
      </c>
      <c r="G3778" t="s">
        <v>1647</v>
      </c>
      <c r="S3778">
        <v>19</v>
      </c>
      <c r="T3778">
        <v>38</v>
      </c>
      <c r="U3778">
        <v>38</v>
      </c>
      <c r="V3778">
        <v>38</v>
      </c>
      <c r="W3778">
        <v>38</v>
      </c>
      <c r="X3778">
        <v>19</v>
      </c>
      <c r="Y3778">
        <v>19</v>
      </c>
      <c r="Z3778">
        <v>19</v>
      </c>
      <c r="CH3778" t="str">
        <f t="shared" ref="CH3778:CH3841" si="59">TRIM(IFERROR(IFERROR(MID($D3778,FIND("(D-",$D3778)+1,6),LEFT($D3778,FIND("(",$D3778)-1)),$D3778))</f>
        <v>D-0493</v>
      </c>
    </row>
    <row r="3779" spans="1:86">
      <c r="A3779" t="s">
        <v>3635</v>
      </c>
      <c r="B3779">
        <v>72</v>
      </c>
      <c r="C3779" t="s">
        <v>3493</v>
      </c>
      <c r="D3779" t="s">
        <v>3494</v>
      </c>
      <c r="E3779" t="s">
        <v>629</v>
      </c>
      <c r="F3779" t="s">
        <v>635</v>
      </c>
      <c r="G3779" t="s">
        <v>1647</v>
      </c>
      <c r="S3779">
        <v>6</v>
      </c>
      <c r="T3779">
        <v>12</v>
      </c>
      <c r="U3779">
        <v>12</v>
      </c>
      <c r="V3779">
        <v>12</v>
      </c>
      <c r="W3779">
        <v>12</v>
      </c>
      <c r="X3779">
        <v>6</v>
      </c>
      <c r="Y3779">
        <v>6</v>
      </c>
      <c r="Z3779">
        <v>6</v>
      </c>
      <c r="CH3779" t="str">
        <f t="shared" si="59"/>
        <v>D-0493</v>
      </c>
    </row>
    <row r="3780" spans="1:86">
      <c r="A3780" t="s">
        <v>3636</v>
      </c>
      <c r="B3780">
        <v>12</v>
      </c>
      <c r="C3780" t="s">
        <v>3493</v>
      </c>
      <c r="D3780" t="s">
        <v>3494</v>
      </c>
      <c r="E3780" t="s">
        <v>629</v>
      </c>
      <c r="F3780" t="s">
        <v>635</v>
      </c>
      <c r="G3780" t="s">
        <v>1647</v>
      </c>
      <c r="T3780">
        <v>1</v>
      </c>
      <c r="U3780">
        <v>1</v>
      </c>
      <c r="V3780">
        <v>1</v>
      </c>
      <c r="W3780">
        <v>2</v>
      </c>
      <c r="X3780">
        <v>2</v>
      </c>
      <c r="Y3780">
        <v>2</v>
      </c>
      <c r="Z3780">
        <v>1</v>
      </c>
      <c r="AA3780">
        <v>1</v>
      </c>
      <c r="AB3780">
        <v>1</v>
      </c>
      <c r="CH3780" t="str">
        <f t="shared" si="59"/>
        <v>D-0493</v>
      </c>
    </row>
    <row r="3781" spans="1:86">
      <c r="A3781" t="s">
        <v>3637</v>
      </c>
      <c r="B3781">
        <v>105</v>
      </c>
      <c r="C3781" t="s">
        <v>3493</v>
      </c>
      <c r="D3781" t="s">
        <v>3494</v>
      </c>
      <c r="E3781" t="s">
        <v>629</v>
      </c>
      <c r="F3781" t="s">
        <v>635</v>
      </c>
      <c r="G3781" t="s">
        <v>1647</v>
      </c>
      <c r="T3781">
        <v>17</v>
      </c>
      <c r="U3781">
        <v>16</v>
      </c>
      <c r="V3781">
        <v>9</v>
      </c>
      <c r="W3781">
        <v>19</v>
      </c>
      <c r="X3781">
        <v>8</v>
      </c>
      <c r="Y3781">
        <v>19</v>
      </c>
      <c r="Z3781">
        <v>9</v>
      </c>
      <c r="AA3781">
        <v>8</v>
      </c>
      <c r="CH3781" t="str">
        <f t="shared" si="59"/>
        <v>D-0493</v>
      </c>
    </row>
    <row r="3782" spans="1:86">
      <c r="A3782" t="s">
        <v>3639</v>
      </c>
      <c r="B3782">
        <v>108</v>
      </c>
      <c r="C3782" t="s">
        <v>3493</v>
      </c>
      <c r="D3782" t="s">
        <v>3494</v>
      </c>
      <c r="E3782" t="s">
        <v>629</v>
      </c>
      <c r="F3782" t="s">
        <v>635</v>
      </c>
      <c r="G3782" t="s">
        <v>1647</v>
      </c>
      <c r="T3782">
        <v>18</v>
      </c>
      <c r="V3782">
        <v>27</v>
      </c>
      <c r="X3782">
        <v>27</v>
      </c>
      <c r="Z3782">
        <v>18</v>
      </c>
      <c r="AB3782">
        <v>9</v>
      </c>
      <c r="AD3782">
        <v>9</v>
      </c>
      <c r="CH3782" t="str">
        <f t="shared" si="59"/>
        <v>D-0493</v>
      </c>
    </row>
    <row r="3783" spans="1:86">
      <c r="A3783" t="s">
        <v>3640</v>
      </c>
      <c r="B3783">
        <v>1200</v>
      </c>
      <c r="C3783" t="s">
        <v>3493</v>
      </c>
      <c r="D3783" t="s">
        <v>3494</v>
      </c>
      <c r="E3783" t="s">
        <v>629</v>
      </c>
      <c r="F3783" t="s">
        <v>635</v>
      </c>
      <c r="G3783" t="s">
        <v>1647</v>
      </c>
      <c r="L3783">
        <v>48</v>
      </c>
      <c r="M3783">
        <v>60</v>
      </c>
      <c r="N3783">
        <v>72</v>
      </c>
      <c r="O3783">
        <v>72</v>
      </c>
      <c r="P3783">
        <v>72</v>
      </c>
      <c r="R3783">
        <v>156</v>
      </c>
      <c r="S3783">
        <v>84</v>
      </c>
      <c r="T3783">
        <v>132</v>
      </c>
      <c r="U3783">
        <v>120</v>
      </c>
      <c r="V3783">
        <v>120</v>
      </c>
      <c r="W3783">
        <v>84</v>
      </c>
      <c r="X3783">
        <v>72</v>
      </c>
      <c r="Y3783">
        <v>12</v>
      </c>
      <c r="Z3783">
        <v>72</v>
      </c>
      <c r="AA3783">
        <v>24</v>
      </c>
      <c r="CH3783" t="str">
        <f t="shared" si="59"/>
        <v>D-0493</v>
      </c>
    </row>
    <row r="3784" spans="1:86">
      <c r="A3784" t="s">
        <v>3641</v>
      </c>
      <c r="B3784">
        <v>234</v>
      </c>
      <c r="C3784" t="s">
        <v>3493</v>
      </c>
      <c r="D3784" t="s">
        <v>3494</v>
      </c>
      <c r="E3784" t="s">
        <v>629</v>
      </c>
      <c r="F3784" t="s">
        <v>635</v>
      </c>
      <c r="G3784" t="s">
        <v>1647</v>
      </c>
      <c r="T3784">
        <v>26</v>
      </c>
      <c r="U3784">
        <v>26</v>
      </c>
      <c r="W3784">
        <v>78</v>
      </c>
      <c r="Y3784">
        <v>52</v>
      </c>
      <c r="Z3784">
        <v>26</v>
      </c>
      <c r="AB3784">
        <v>26</v>
      </c>
      <c r="CH3784" t="str">
        <f t="shared" si="59"/>
        <v>D-0493</v>
      </c>
    </row>
    <row r="3785" spans="1:86">
      <c r="A3785" t="s">
        <v>3680</v>
      </c>
      <c r="B3785">
        <v>228</v>
      </c>
      <c r="C3785" t="s">
        <v>3498</v>
      </c>
      <c r="D3785" t="s">
        <v>3494</v>
      </c>
      <c r="E3785" t="s">
        <v>629</v>
      </c>
      <c r="F3785" t="s">
        <v>635</v>
      </c>
      <c r="G3785" t="s">
        <v>1647</v>
      </c>
      <c r="O3785">
        <v>19</v>
      </c>
      <c r="Q3785">
        <v>19</v>
      </c>
      <c r="R3785">
        <v>19</v>
      </c>
      <c r="T3785">
        <v>19</v>
      </c>
      <c r="U3785">
        <v>38</v>
      </c>
      <c r="W3785">
        <v>38</v>
      </c>
      <c r="Y3785">
        <v>38</v>
      </c>
      <c r="Z3785">
        <v>38</v>
      </c>
      <c r="CH3785" t="str">
        <f t="shared" si="59"/>
        <v>D-0493</v>
      </c>
    </row>
    <row r="3786" spans="1:86">
      <c r="A3786" t="s">
        <v>3682</v>
      </c>
      <c r="B3786">
        <v>205</v>
      </c>
      <c r="C3786" t="s">
        <v>3498</v>
      </c>
      <c r="D3786" t="s">
        <v>3494</v>
      </c>
      <c r="E3786" t="s">
        <v>629</v>
      </c>
      <c r="F3786" t="s">
        <v>635</v>
      </c>
      <c r="G3786" t="s">
        <v>1647</v>
      </c>
      <c r="L3786">
        <v>2</v>
      </c>
      <c r="N3786">
        <v>7</v>
      </c>
      <c r="P3786">
        <v>20</v>
      </c>
      <c r="R3786">
        <v>28</v>
      </c>
      <c r="T3786">
        <v>36</v>
      </c>
      <c r="V3786">
        <v>36</v>
      </c>
      <c r="X3786">
        <v>28</v>
      </c>
      <c r="Z3786">
        <v>18</v>
      </c>
      <c r="AB3786">
        <v>16</v>
      </c>
      <c r="AD3786">
        <v>10</v>
      </c>
      <c r="AF3786">
        <v>4</v>
      </c>
      <c r="CH3786" t="str">
        <f t="shared" si="59"/>
        <v>D-0493</v>
      </c>
    </row>
    <row r="3787" spans="1:86">
      <c r="A3787" t="s">
        <v>3684</v>
      </c>
      <c r="B3787">
        <v>156</v>
      </c>
      <c r="C3787" t="s">
        <v>3498</v>
      </c>
      <c r="D3787" t="s">
        <v>3494</v>
      </c>
      <c r="E3787" t="s">
        <v>629</v>
      </c>
      <c r="F3787" t="s">
        <v>635</v>
      </c>
      <c r="G3787" t="s">
        <v>1647</v>
      </c>
      <c r="P3787">
        <v>10</v>
      </c>
      <c r="R3787">
        <v>10</v>
      </c>
      <c r="T3787">
        <v>10</v>
      </c>
      <c r="V3787">
        <v>11</v>
      </c>
      <c r="W3787">
        <v>11</v>
      </c>
      <c r="X3787">
        <v>13</v>
      </c>
      <c r="Y3787">
        <v>25</v>
      </c>
      <c r="Z3787">
        <v>23</v>
      </c>
      <c r="AA3787">
        <v>15</v>
      </c>
      <c r="AB3787">
        <v>11</v>
      </c>
      <c r="AD3787">
        <v>11</v>
      </c>
      <c r="AF3787">
        <v>6</v>
      </c>
      <c r="CH3787" t="str">
        <f t="shared" si="59"/>
        <v>D-0493</v>
      </c>
    </row>
    <row r="3788" spans="1:86">
      <c r="A3788" t="s">
        <v>3685</v>
      </c>
      <c r="B3788">
        <v>24</v>
      </c>
      <c r="C3788" t="s">
        <v>3498</v>
      </c>
      <c r="D3788" t="s">
        <v>3494</v>
      </c>
      <c r="E3788" t="s">
        <v>629</v>
      </c>
      <c r="F3788" t="s">
        <v>635</v>
      </c>
      <c r="G3788" t="s">
        <v>1647</v>
      </c>
      <c r="T3788">
        <v>4</v>
      </c>
      <c r="U3788">
        <v>4</v>
      </c>
      <c r="W3788">
        <v>8</v>
      </c>
      <c r="Y3788">
        <v>4</v>
      </c>
      <c r="Z3788">
        <v>2</v>
      </c>
      <c r="AB3788">
        <v>2</v>
      </c>
      <c r="CH3788" t="str">
        <f t="shared" si="59"/>
        <v>D-0493</v>
      </c>
    </row>
    <row r="3789" spans="1:86">
      <c r="A3789" t="s">
        <v>3686</v>
      </c>
      <c r="B3789">
        <v>105</v>
      </c>
      <c r="C3789" t="s">
        <v>3498</v>
      </c>
      <c r="D3789" t="s">
        <v>3494</v>
      </c>
      <c r="E3789" t="s">
        <v>629</v>
      </c>
      <c r="F3789" t="s">
        <v>635</v>
      </c>
      <c r="G3789" t="s">
        <v>1647</v>
      </c>
      <c r="M3789">
        <v>7</v>
      </c>
      <c r="O3789">
        <v>7</v>
      </c>
      <c r="P3789">
        <v>7</v>
      </c>
      <c r="Q3789">
        <v>7</v>
      </c>
      <c r="R3789">
        <v>7</v>
      </c>
      <c r="T3789">
        <v>7</v>
      </c>
      <c r="U3789">
        <v>7</v>
      </c>
      <c r="W3789">
        <v>14</v>
      </c>
      <c r="X3789">
        <v>7</v>
      </c>
      <c r="Y3789">
        <v>14</v>
      </c>
      <c r="Z3789">
        <v>7</v>
      </c>
      <c r="AB3789">
        <v>7</v>
      </c>
      <c r="AC3789">
        <v>7</v>
      </c>
      <c r="CH3789" t="str">
        <f t="shared" si="59"/>
        <v>D-0493</v>
      </c>
    </row>
    <row r="3790" spans="1:86">
      <c r="A3790" t="s">
        <v>3692</v>
      </c>
      <c r="B3790">
        <v>24</v>
      </c>
      <c r="C3790" t="s">
        <v>3498</v>
      </c>
      <c r="D3790" t="s">
        <v>3494</v>
      </c>
      <c r="E3790" t="s">
        <v>629</v>
      </c>
      <c r="F3790" t="s">
        <v>635</v>
      </c>
      <c r="G3790" t="s">
        <v>1647</v>
      </c>
      <c r="N3790">
        <v>2</v>
      </c>
      <c r="O3790">
        <v>2</v>
      </c>
      <c r="P3790">
        <v>2</v>
      </c>
      <c r="Q3790">
        <v>4</v>
      </c>
      <c r="R3790">
        <v>4</v>
      </c>
      <c r="S3790">
        <v>4</v>
      </c>
      <c r="T3790">
        <v>2</v>
      </c>
      <c r="U3790">
        <v>2</v>
      </c>
      <c r="V3790">
        <v>2</v>
      </c>
      <c r="CH3790" t="str">
        <f t="shared" si="59"/>
        <v>D-0493</v>
      </c>
    </row>
    <row r="3791" spans="1:86">
      <c r="A3791" t="s">
        <v>3695</v>
      </c>
      <c r="B3791">
        <v>720</v>
      </c>
      <c r="C3791" t="s">
        <v>3498</v>
      </c>
      <c r="D3791" t="s">
        <v>3494</v>
      </c>
      <c r="E3791" t="s">
        <v>629</v>
      </c>
      <c r="F3791" t="s">
        <v>635</v>
      </c>
      <c r="G3791" t="s">
        <v>1647</v>
      </c>
      <c r="L3791">
        <v>36</v>
      </c>
      <c r="M3791">
        <v>36</v>
      </c>
      <c r="N3791">
        <v>36</v>
      </c>
      <c r="O3791">
        <v>36</v>
      </c>
      <c r="P3791">
        <v>48</v>
      </c>
      <c r="R3791">
        <v>84</v>
      </c>
      <c r="S3791">
        <v>60</v>
      </c>
      <c r="T3791">
        <v>84</v>
      </c>
      <c r="U3791">
        <v>72</v>
      </c>
      <c r="V3791">
        <v>72</v>
      </c>
      <c r="W3791">
        <v>48</v>
      </c>
      <c r="X3791">
        <v>48</v>
      </c>
      <c r="Y3791">
        <v>12</v>
      </c>
      <c r="Z3791">
        <v>36</v>
      </c>
      <c r="AA3791">
        <v>12</v>
      </c>
      <c r="CH3791" t="str">
        <f t="shared" si="59"/>
        <v>D-0493</v>
      </c>
    </row>
    <row r="3792" spans="1:86">
      <c r="A3792" t="s">
        <v>3696</v>
      </c>
      <c r="B3792">
        <v>216</v>
      </c>
      <c r="C3792" t="s">
        <v>3498</v>
      </c>
      <c r="D3792" t="s">
        <v>3494</v>
      </c>
      <c r="E3792" t="s">
        <v>629</v>
      </c>
      <c r="F3792" t="s">
        <v>635</v>
      </c>
      <c r="G3792" t="s">
        <v>1647</v>
      </c>
      <c r="T3792">
        <v>24</v>
      </c>
      <c r="U3792">
        <v>24</v>
      </c>
      <c r="W3792">
        <v>72</v>
      </c>
      <c r="Y3792">
        <v>48</v>
      </c>
      <c r="Z3792">
        <v>24</v>
      </c>
      <c r="AB3792">
        <v>24</v>
      </c>
      <c r="CH3792" t="str">
        <f t="shared" si="59"/>
        <v>D-0493</v>
      </c>
    </row>
    <row r="3793" spans="1:86">
      <c r="A3793" t="s">
        <v>1047</v>
      </c>
      <c r="B3793">
        <v>5260</v>
      </c>
      <c r="C3793" t="s">
        <v>1048</v>
      </c>
      <c r="D3793" t="s">
        <v>134</v>
      </c>
      <c r="E3793" t="s">
        <v>642</v>
      </c>
      <c r="F3793" t="s">
        <v>633</v>
      </c>
      <c r="G3793" t="s">
        <v>1049</v>
      </c>
      <c r="P3793">
        <v>324</v>
      </c>
      <c r="Q3793">
        <v>611</v>
      </c>
      <c r="R3793">
        <v>815</v>
      </c>
      <c r="S3793">
        <v>1094</v>
      </c>
      <c r="T3793">
        <v>929</v>
      </c>
      <c r="U3793">
        <v>538</v>
      </c>
      <c r="V3793">
        <v>470</v>
      </c>
      <c r="W3793">
        <v>181</v>
      </c>
      <c r="X3793">
        <v>57</v>
      </c>
      <c r="Y3793">
        <v>68</v>
      </c>
      <c r="Z3793">
        <v>61</v>
      </c>
      <c r="AA3793">
        <v>38</v>
      </c>
      <c r="AB3793">
        <v>31</v>
      </c>
      <c r="AC3793">
        <v>25</v>
      </c>
      <c r="AD3793">
        <v>18</v>
      </c>
      <c r="CH3793" t="str">
        <f t="shared" si="59"/>
        <v>D-0038</v>
      </c>
    </row>
    <row r="3794" spans="1:86">
      <c r="A3794" t="s">
        <v>1050</v>
      </c>
      <c r="B3794">
        <v>8134</v>
      </c>
      <c r="C3794" t="s">
        <v>1051</v>
      </c>
      <c r="D3794" t="s">
        <v>134</v>
      </c>
      <c r="E3794" t="s">
        <v>642</v>
      </c>
      <c r="F3794" t="s">
        <v>633</v>
      </c>
      <c r="G3794" t="s">
        <v>670</v>
      </c>
      <c r="P3794">
        <v>575</v>
      </c>
      <c r="Q3794">
        <v>995</v>
      </c>
      <c r="R3794">
        <v>1379</v>
      </c>
      <c r="S3794">
        <v>1784</v>
      </c>
      <c r="T3794">
        <v>1423</v>
      </c>
      <c r="U3794">
        <v>855</v>
      </c>
      <c r="V3794">
        <v>656</v>
      </c>
      <c r="W3794">
        <v>251</v>
      </c>
      <c r="X3794">
        <v>38</v>
      </c>
      <c r="Y3794">
        <v>75</v>
      </c>
      <c r="Z3794">
        <v>57</v>
      </c>
      <c r="AA3794">
        <v>14</v>
      </c>
      <c r="AB3794">
        <v>19</v>
      </c>
      <c r="AC3794">
        <v>10</v>
      </c>
      <c r="AD3794">
        <v>3</v>
      </c>
      <c r="CH3794" t="str">
        <f t="shared" si="59"/>
        <v>D-0038</v>
      </c>
    </row>
    <row r="3795" spans="1:86">
      <c r="A3795" t="s">
        <v>733</v>
      </c>
      <c r="B3795">
        <v>202</v>
      </c>
      <c r="C3795" t="s">
        <v>734</v>
      </c>
      <c r="D3795" t="s">
        <v>210</v>
      </c>
      <c r="E3795" t="s">
        <v>629</v>
      </c>
      <c r="F3795" t="s">
        <v>633</v>
      </c>
      <c r="G3795" t="s">
        <v>670</v>
      </c>
      <c r="T3795">
        <v>10</v>
      </c>
      <c r="U3795">
        <v>12</v>
      </c>
      <c r="V3795">
        <v>24</v>
      </c>
      <c r="W3795">
        <v>24</v>
      </c>
      <c r="X3795">
        <v>24</v>
      </c>
      <c r="Y3795">
        <v>24</v>
      </c>
      <c r="Z3795">
        <v>24</v>
      </c>
      <c r="AA3795">
        <v>20</v>
      </c>
      <c r="AB3795">
        <v>30</v>
      </c>
      <c r="AC3795">
        <v>10</v>
      </c>
      <c r="CH3795" t="str">
        <f t="shared" si="59"/>
        <v>D-0256</v>
      </c>
    </row>
    <row r="3796" spans="1:86">
      <c r="A3796" t="s">
        <v>966</v>
      </c>
      <c r="B3796">
        <v>333</v>
      </c>
      <c r="C3796" t="s">
        <v>962</v>
      </c>
      <c r="D3796" t="s">
        <v>173</v>
      </c>
      <c r="E3796" t="s">
        <v>642</v>
      </c>
      <c r="F3796" t="s">
        <v>938</v>
      </c>
      <c r="G3796" t="s">
        <v>963</v>
      </c>
      <c r="M3796">
        <v>24</v>
      </c>
      <c r="N3796">
        <v>30</v>
      </c>
      <c r="O3796">
        <v>60</v>
      </c>
      <c r="P3796">
        <v>72</v>
      </c>
      <c r="Q3796">
        <v>72</v>
      </c>
      <c r="R3796">
        <v>42</v>
      </c>
      <c r="S3796">
        <v>24</v>
      </c>
      <c r="T3796">
        <v>9</v>
      </c>
      <c r="CH3796" t="str">
        <f t="shared" si="59"/>
        <v>D-0146</v>
      </c>
    </row>
    <row r="3797" spans="1:86">
      <c r="A3797" t="s">
        <v>1041</v>
      </c>
      <c r="B3797">
        <v>3782</v>
      </c>
      <c r="C3797" t="s">
        <v>1038</v>
      </c>
      <c r="D3797" t="s">
        <v>365</v>
      </c>
      <c r="E3797" t="s">
        <v>629</v>
      </c>
      <c r="F3797" t="s">
        <v>706</v>
      </c>
      <c r="G3797" t="s">
        <v>947</v>
      </c>
      <c r="V3797">
        <v>240</v>
      </c>
      <c r="W3797">
        <v>60</v>
      </c>
      <c r="X3797">
        <v>242</v>
      </c>
      <c r="Y3797">
        <v>360</v>
      </c>
      <c r="Z3797">
        <v>480</v>
      </c>
      <c r="AA3797">
        <v>600</v>
      </c>
      <c r="AB3797">
        <v>660</v>
      </c>
      <c r="AC3797">
        <v>360</v>
      </c>
      <c r="AD3797">
        <v>660</v>
      </c>
      <c r="AF3797">
        <v>120</v>
      </c>
      <c r="CH3797" t="str">
        <f t="shared" si="59"/>
        <v>D-0524</v>
      </c>
    </row>
    <row r="3798" spans="1:86">
      <c r="A3798" t="s">
        <v>1042</v>
      </c>
      <c r="B3798">
        <v>3926</v>
      </c>
      <c r="C3798" t="s">
        <v>1038</v>
      </c>
      <c r="D3798" t="s">
        <v>365</v>
      </c>
      <c r="E3798" t="s">
        <v>629</v>
      </c>
      <c r="F3798" t="s">
        <v>706</v>
      </c>
      <c r="G3798" t="s">
        <v>947</v>
      </c>
      <c r="V3798">
        <v>84</v>
      </c>
      <c r="X3798">
        <v>98</v>
      </c>
      <c r="Y3798">
        <v>144</v>
      </c>
      <c r="Z3798">
        <v>564</v>
      </c>
      <c r="AA3798">
        <v>660</v>
      </c>
      <c r="AB3798">
        <v>1152</v>
      </c>
      <c r="AC3798">
        <v>336</v>
      </c>
      <c r="AD3798">
        <v>672</v>
      </c>
      <c r="AF3798">
        <v>216</v>
      </c>
      <c r="CH3798" t="str">
        <f t="shared" si="59"/>
        <v>D-0524</v>
      </c>
    </row>
    <row r="3799" spans="1:86">
      <c r="A3799" t="s">
        <v>1043</v>
      </c>
      <c r="B3799">
        <v>470</v>
      </c>
      <c r="C3799" t="s">
        <v>1038</v>
      </c>
      <c r="D3799" t="s">
        <v>365</v>
      </c>
      <c r="E3799" t="s">
        <v>629</v>
      </c>
      <c r="F3799" t="s">
        <v>706</v>
      </c>
      <c r="G3799" t="s">
        <v>947</v>
      </c>
      <c r="V3799">
        <v>12</v>
      </c>
      <c r="W3799">
        <v>24</v>
      </c>
      <c r="X3799">
        <v>38</v>
      </c>
      <c r="Y3799">
        <v>48</v>
      </c>
      <c r="Z3799">
        <v>60</v>
      </c>
      <c r="AA3799">
        <v>72</v>
      </c>
      <c r="AB3799">
        <v>60</v>
      </c>
      <c r="AC3799">
        <v>48</v>
      </c>
      <c r="AD3799">
        <v>48</v>
      </c>
      <c r="AE3799">
        <v>24</v>
      </c>
      <c r="AF3799">
        <v>36</v>
      </c>
      <c r="CH3799" t="str">
        <f t="shared" si="59"/>
        <v>D-0524</v>
      </c>
    </row>
    <row r="3800" spans="1:86">
      <c r="A3800" t="s">
        <v>1057</v>
      </c>
      <c r="B3800">
        <v>6134</v>
      </c>
      <c r="C3800" t="s">
        <v>1056</v>
      </c>
      <c r="D3800" t="s">
        <v>365</v>
      </c>
      <c r="E3800" t="s">
        <v>629</v>
      </c>
      <c r="F3800" t="s">
        <v>706</v>
      </c>
      <c r="G3800" t="s">
        <v>737</v>
      </c>
      <c r="V3800">
        <v>144</v>
      </c>
      <c r="W3800">
        <v>360</v>
      </c>
      <c r="X3800">
        <v>242</v>
      </c>
      <c r="Y3800">
        <v>480</v>
      </c>
      <c r="Z3800">
        <v>600</v>
      </c>
      <c r="AA3800">
        <v>900</v>
      </c>
      <c r="AB3800">
        <v>960</v>
      </c>
      <c r="AC3800">
        <v>600</v>
      </c>
      <c r="AD3800">
        <v>1044</v>
      </c>
      <c r="AE3800">
        <v>36</v>
      </c>
      <c r="AF3800">
        <v>672</v>
      </c>
      <c r="AH3800">
        <v>84</v>
      </c>
      <c r="AJ3800">
        <v>12</v>
      </c>
      <c r="CH3800" t="str">
        <f t="shared" si="59"/>
        <v>D-0524</v>
      </c>
    </row>
    <row r="3801" spans="1:86">
      <c r="A3801" t="s">
        <v>1064</v>
      </c>
      <c r="B3801">
        <v>7453</v>
      </c>
      <c r="C3801" t="s">
        <v>731</v>
      </c>
      <c r="D3801" t="s">
        <v>223</v>
      </c>
      <c r="E3801" t="s">
        <v>629</v>
      </c>
      <c r="F3801" t="s">
        <v>693</v>
      </c>
      <c r="G3801" t="s">
        <v>4580</v>
      </c>
      <c r="R3801">
        <v>11</v>
      </c>
      <c r="S3801">
        <v>12</v>
      </c>
      <c r="T3801">
        <v>452</v>
      </c>
      <c r="U3801">
        <v>426</v>
      </c>
      <c r="V3801">
        <v>580</v>
      </c>
      <c r="W3801">
        <v>611</v>
      </c>
      <c r="X3801">
        <v>723</v>
      </c>
      <c r="Y3801">
        <v>749</v>
      </c>
      <c r="Z3801">
        <v>776</v>
      </c>
      <c r="AA3801">
        <v>816</v>
      </c>
      <c r="AB3801">
        <v>702</v>
      </c>
      <c r="AC3801">
        <v>465</v>
      </c>
      <c r="AD3801">
        <v>605</v>
      </c>
      <c r="AE3801">
        <v>18</v>
      </c>
      <c r="AF3801">
        <v>426</v>
      </c>
      <c r="AH3801">
        <v>54</v>
      </c>
      <c r="AJ3801">
        <v>27</v>
      </c>
      <c r="CH3801" t="str">
        <f t="shared" si="59"/>
        <v>D-0263</v>
      </c>
    </row>
    <row r="3802" spans="1:86">
      <c r="A3802" t="s">
        <v>5571</v>
      </c>
      <c r="B3802">
        <v>433</v>
      </c>
      <c r="C3802" t="s">
        <v>5150</v>
      </c>
      <c r="D3802" t="s">
        <v>5145</v>
      </c>
      <c r="E3802" t="s">
        <v>642</v>
      </c>
      <c r="F3802" t="s">
        <v>5146</v>
      </c>
      <c r="G3802" t="s">
        <v>2427</v>
      </c>
      <c r="P3802">
        <v>6</v>
      </c>
      <c r="Q3802">
        <v>11</v>
      </c>
      <c r="R3802">
        <v>46</v>
      </c>
      <c r="S3802">
        <v>64</v>
      </c>
      <c r="T3802">
        <v>72</v>
      </c>
      <c r="U3802">
        <v>66</v>
      </c>
      <c r="V3802">
        <v>53</v>
      </c>
      <c r="W3802">
        <v>27</v>
      </c>
      <c r="X3802">
        <v>17</v>
      </c>
      <c r="Y3802">
        <v>14</v>
      </c>
      <c r="Z3802">
        <v>13</v>
      </c>
      <c r="AA3802">
        <v>12</v>
      </c>
      <c r="AB3802">
        <v>12</v>
      </c>
      <c r="AC3802">
        <v>10</v>
      </c>
      <c r="AD3802">
        <v>10</v>
      </c>
      <c r="CH3802" t="str">
        <f t="shared" si="59"/>
        <v>D-0514</v>
      </c>
    </row>
    <row r="3803" spans="1:86">
      <c r="A3803" t="s">
        <v>5572</v>
      </c>
      <c r="B3803">
        <v>3487</v>
      </c>
      <c r="C3803" t="s">
        <v>5144</v>
      </c>
      <c r="D3803" t="s">
        <v>5145</v>
      </c>
      <c r="E3803" t="s">
        <v>642</v>
      </c>
      <c r="F3803" t="s">
        <v>5146</v>
      </c>
      <c r="G3803" t="s">
        <v>2593</v>
      </c>
      <c r="P3803">
        <v>30</v>
      </c>
      <c r="Q3803">
        <v>103</v>
      </c>
      <c r="R3803">
        <v>114</v>
      </c>
      <c r="S3803">
        <v>341</v>
      </c>
      <c r="T3803">
        <v>527</v>
      </c>
      <c r="U3803">
        <v>278</v>
      </c>
      <c r="V3803">
        <v>328</v>
      </c>
      <c r="W3803">
        <v>153</v>
      </c>
      <c r="X3803">
        <v>241</v>
      </c>
      <c r="Y3803">
        <v>228</v>
      </c>
      <c r="Z3803">
        <v>282</v>
      </c>
      <c r="AA3803">
        <v>248</v>
      </c>
      <c r="AB3803">
        <v>217</v>
      </c>
      <c r="AC3803">
        <v>186</v>
      </c>
      <c r="AD3803">
        <v>199</v>
      </c>
      <c r="AF3803">
        <v>12</v>
      </c>
      <c r="CH3803" t="str">
        <f t="shared" si="59"/>
        <v>D-0514</v>
      </c>
    </row>
    <row r="3804" spans="1:86">
      <c r="A3804" t="s">
        <v>1141</v>
      </c>
      <c r="B3804">
        <v>7543</v>
      </c>
      <c r="C3804" t="s">
        <v>692</v>
      </c>
      <c r="D3804" t="s">
        <v>223</v>
      </c>
      <c r="E3804" t="s">
        <v>642</v>
      </c>
      <c r="F3804" t="s">
        <v>693</v>
      </c>
      <c r="G3804" t="s">
        <v>694</v>
      </c>
      <c r="P3804">
        <v>18</v>
      </c>
      <c r="Q3804">
        <v>30</v>
      </c>
      <c r="R3804">
        <v>366</v>
      </c>
      <c r="S3804">
        <v>468</v>
      </c>
      <c r="T3804">
        <v>1207</v>
      </c>
      <c r="U3804">
        <v>690</v>
      </c>
      <c r="V3804">
        <v>1356</v>
      </c>
      <c r="W3804">
        <v>1224</v>
      </c>
      <c r="X3804">
        <v>1140</v>
      </c>
      <c r="Y3804">
        <v>378</v>
      </c>
      <c r="Z3804">
        <v>480</v>
      </c>
      <c r="AB3804">
        <v>174</v>
      </c>
      <c r="AD3804">
        <v>12</v>
      </c>
      <c r="CH3804" t="str">
        <f t="shared" si="59"/>
        <v>D-0263</v>
      </c>
    </row>
    <row r="3805" spans="1:86">
      <c r="A3805" t="s">
        <v>5573</v>
      </c>
      <c r="B3805">
        <v>6</v>
      </c>
      <c r="C3805" t="s">
        <v>5144</v>
      </c>
      <c r="D3805" t="s">
        <v>5145</v>
      </c>
      <c r="E3805" t="s">
        <v>642</v>
      </c>
      <c r="F3805" t="s">
        <v>5146</v>
      </c>
      <c r="G3805" t="s">
        <v>2593</v>
      </c>
      <c r="AH3805">
        <v>6</v>
      </c>
      <c r="CH3805" t="str">
        <f t="shared" si="59"/>
        <v>D-0514</v>
      </c>
    </row>
    <row r="3806" spans="1:86">
      <c r="A3806" t="s">
        <v>1178</v>
      </c>
      <c r="B3806">
        <v>4497</v>
      </c>
      <c r="C3806" t="s">
        <v>1179</v>
      </c>
      <c r="D3806" t="s">
        <v>199</v>
      </c>
      <c r="E3806" t="s">
        <v>629</v>
      </c>
      <c r="F3806" t="s">
        <v>725</v>
      </c>
      <c r="G3806" t="s">
        <v>960</v>
      </c>
      <c r="T3806">
        <v>201</v>
      </c>
      <c r="U3806">
        <v>40</v>
      </c>
      <c r="V3806">
        <v>384</v>
      </c>
      <c r="W3806">
        <v>240</v>
      </c>
      <c r="X3806">
        <v>662</v>
      </c>
      <c r="Y3806">
        <v>300</v>
      </c>
      <c r="Z3806">
        <v>804</v>
      </c>
      <c r="AA3806">
        <v>240</v>
      </c>
      <c r="AB3806">
        <v>660</v>
      </c>
      <c r="AC3806">
        <v>240</v>
      </c>
      <c r="AD3806">
        <v>420</v>
      </c>
      <c r="AE3806">
        <v>40</v>
      </c>
      <c r="AF3806">
        <v>216</v>
      </c>
      <c r="AH3806">
        <v>50</v>
      </c>
      <c r="CH3806" t="str">
        <f t="shared" si="59"/>
        <v>D-0203</v>
      </c>
    </row>
    <row r="3807" spans="1:86">
      <c r="A3807" t="s">
        <v>5574</v>
      </c>
      <c r="B3807">
        <v>65</v>
      </c>
      <c r="C3807" t="s">
        <v>5144</v>
      </c>
      <c r="D3807" t="s">
        <v>5145</v>
      </c>
      <c r="E3807" t="s">
        <v>642</v>
      </c>
      <c r="F3807" t="s">
        <v>5146</v>
      </c>
      <c r="G3807" t="s">
        <v>2593</v>
      </c>
      <c r="P3807">
        <v>5</v>
      </c>
      <c r="R3807">
        <v>6</v>
      </c>
      <c r="S3807">
        <v>6</v>
      </c>
      <c r="U3807">
        <v>8</v>
      </c>
      <c r="W3807">
        <v>8</v>
      </c>
      <c r="Y3807">
        <v>8</v>
      </c>
      <c r="AA3807">
        <v>6</v>
      </c>
      <c r="AB3807">
        <v>6</v>
      </c>
      <c r="AC3807">
        <v>6</v>
      </c>
      <c r="AD3807">
        <v>6</v>
      </c>
      <c r="CH3807" t="str">
        <f t="shared" si="59"/>
        <v>D-0514</v>
      </c>
    </row>
    <row r="3808" spans="1:86">
      <c r="A3808" t="s">
        <v>5575</v>
      </c>
      <c r="B3808">
        <v>35</v>
      </c>
      <c r="C3808" t="s">
        <v>5144</v>
      </c>
      <c r="D3808" t="s">
        <v>5145</v>
      </c>
      <c r="E3808" t="s">
        <v>642</v>
      </c>
      <c r="F3808" t="s">
        <v>5146</v>
      </c>
      <c r="G3808" t="s">
        <v>2593</v>
      </c>
      <c r="Q3808">
        <v>5</v>
      </c>
      <c r="T3808">
        <v>8</v>
      </c>
      <c r="V3808">
        <v>8</v>
      </c>
      <c r="X3808">
        <v>8</v>
      </c>
      <c r="Z3808">
        <v>6</v>
      </c>
      <c r="CH3808" t="str">
        <f t="shared" si="59"/>
        <v>D-0514</v>
      </c>
    </row>
    <row r="3809" spans="1:86">
      <c r="A3809" t="s">
        <v>5576</v>
      </c>
      <c r="B3809">
        <v>256</v>
      </c>
      <c r="C3809" t="s">
        <v>5144</v>
      </c>
      <c r="D3809" t="s">
        <v>5145</v>
      </c>
      <c r="E3809" t="s">
        <v>642</v>
      </c>
      <c r="F3809" t="s">
        <v>5146</v>
      </c>
      <c r="G3809" t="s">
        <v>2593</v>
      </c>
      <c r="P3809">
        <v>7</v>
      </c>
      <c r="Q3809">
        <v>14</v>
      </c>
      <c r="R3809">
        <v>16</v>
      </c>
      <c r="S3809">
        <v>16</v>
      </c>
      <c r="T3809">
        <v>26</v>
      </c>
      <c r="U3809">
        <v>25</v>
      </c>
      <c r="V3809">
        <v>27</v>
      </c>
      <c r="W3809">
        <v>25</v>
      </c>
      <c r="X3809">
        <v>24</v>
      </c>
      <c r="Y3809">
        <v>21</v>
      </c>
      <c r="Z3809">
        <v>19</v>
      </c>
      <c r="AA3809">
        <v>11</v>
      </c>
      <c r="AB3809">
        <v>11</v>
      </c>
      <c r="AC3809">
        <v>7</v>
      </c>
      <c r="AD3809">
        <v>7</v>
      </c>
      <c r="CH3809" t="str">
        <f t="shared" si="59"/>
        <v>D-0514</v>
      </c>
    </row>
    <row r="3810" spans="1:86">
      <c r="A3810" t="s">
        <v>5577</v>
      </c>
      <c r="B3810">
        <v>857</v>
      </c>
      <c r="C3810" t="s">
        <v>5144</v>
      </c>
      <c r="D3810" t="s">
        <v>5145</v>
      </c>
      <c r="E3810" t="s">
        <v>642</v>
      </c>
      <c r="F3810" t="s">
        <v>5146</v>
      </c>
      <c r="G3810" t="s">
        <v>2593</v>
      </c>
      <c r="P3810">
        <v>7</v>
      </c>
      <c r="Q3810">
        <v>22</v>
      </c>
      <c r="R3810">
        <v>91</v>
      </c>
      <c r="S3810">
        <v>121</v>
      </c>
      <c r="T3810">
        <v>182</v>
      </c>
      <c r="U3810">
        <v>154</v>
      </c>
      <c r="V3810">
        <v>117</v>
      </c>
      <c r="W3810">
        <v>49</v>
      </c>
      <c r="X3810">
        <v>35</v>
      </c>
      <c r="Y3810">
        <v>28</v>
      </c>
      <c r="Z3810">
        <v>13</v>
      </c>
      <c r="AA3810">
        <v>11</v>
      </c>
      <c r="AB3810">
        <v>9</v>
      </c>
      <c r="AC3810">
        <v>9</v>
      </c>
      <c r="AD3810">
        <v>9</v>
      </c>
      <c r="CH3810" t="str">
        <f t="shared" si="59"/>
        <v>D-0514</v>
      </c>
    </row>
    <row r="3811" spans="1:86">
      <c r="A3811" t="s">
        <v>5578</v>
      </c>
      <c r="B3811">
        <v>1115</v>
      </c>
      <c r="C3811" t="s">
        <v>5144</v>
      </c>
      <c r="D3811" t="s">
        <v>5145</v>
      </c>
      <c r="E3811" t="s">
        <v>642</v>
      </c>
      <c r="F3811" t="s">
        <v>5146</v>
      </c>
      <c r="G3811" t="s">
        <v>2593</v>
      </c>
      <c r="P3811">
        <v>18</v>
      </c>
      <c r="Q3811">
        <v>39</v>
      </c>
      <c r="R3811">
        <v>87</v>
      </c>
      <c r="S3811">
        <v>135</v>
      </c>
      <c r="T3811">
        <v>170</v>
      </c>
      <c r="U3811">
        <v>161</v>
      </c>
      <c r="V3811">
        <v>137</v>
      </c>
      <c r="W3811">
        <v>116</v>
      </c>
      <c r="X3811">
        <v>66</v>
      </c>
      <c r="Y3811">
        <v>63</v>
      </c>
      <c r="Z3811">
        <v>39</v>
      </c>
      <c r="AA3811">
        <v>30</v>
      </c>
      <c r="AB3811">
        <v>30</v>
      </c>
      <c r="AC3811">
        <v>12</v>
      </c>
      <c r="AD3811">
        <v>12</v>
      </c>
      <c r="CH3811" t="str">
        <f t="shared" si="59"/>
        <v>D-0514</v>
      </c>
    </row>
    <row r="3812" spans="1:86">
      <c r="A3812" t="s">
        <v>5579</v>
      </c>
      <c r="B3812">
        <v>72</v>
      </c>
      <c r="C3812" t="s">
        <v>5144</v>
      </c>
      <c r="D3812" t="s">
        <v>5145</v>
      </c>
      <c r="E3812" t="s">
        <v>642</v>
      </c>
      <c r="F3812" t="s">
        <v>5146</v>
      </c>
      <c r="G3812" t="s">
        <v>2593</v>
      </c>
      <c r="R3812">
        <v>12</v>
      </c>
      <c r="S3812">
        <v>12</v>
      </c>
      <c r="T3812">
        <v>12</v>
      </c>
      <c r="U3812">
        <v>12</v>
      </c>
      <c r="V3812">
        <v>12</v>
      </c>
      <c r="W3812">
        <v>6</v>
      </c>
      <c r="X3812">
        <v>6</v>
      </c>
      <c r="CH3812" t="str">
        <f t="shared" si="59"/>
        <v>D-0514</v>
      </c>
    </row>
    <row r="3813" spans="1:86">
      <c r="A3813" t="s">
        <v>5580</v>
      </c>
      <c r="B3813">
        <v>240</v>
      </c>
      <c r="C3813" t="s">
        <v>5144</v>
      </c>
      <c r="D3813" t="s">
        <v>5145</v>
      </c>
      <c r="E3813" t="s">
        <v>642</v>
      </c>
      <c r="F3813" t="s">
        <v>5146</v>
      </c>
      <c r="G3813" t="s">
        <v>2593</v>
      </c>
      <c r="P3813">
        <v>6</v>
      </c>
      <c r="Q3813">
        <v>6</v>
      </c>
      <c r="R3813">
        <v>36</v>
      </c>
      <c r="S3813">
        <v>36</v>
      </c>
      <c r="T3813">
        <v>48</v>
      </c>
      <c r="U3813">
        <v>36</v>
      </c>
      <c r="V3813">
        <v>30</v>
      </c>
      <c r="W3813">
        <v>12</v>
      </c>
      <c r="X3813">
        <v>12</v>
      </c>
      <c r="Y3813">
        <v>6</v>
      </c>
      <c r="Z3813">
        <v>6</v>
      </c>
      <c r="AB3813">
        <v>6</v>
      </c>
      <c r="CH3813" t="str">
        <f t="shared" si="59"/>
        <v>D-0514</v>
      </c>
    </row>
    <row r="3814" spans="1:86">
      <c r="A3814" t="s">
        <v>5581</v>
      </c>
      <c r="B3814">
        <v>126</v>
      </c>
      <c r="C3814" t="s">
        <v>5144</v>
      </c>
      <c r="D3814" t="s">
        <v>5145</v>
      </c>
      <c r="E3814" t="s">
        <v>642</v>
      </c>
      <c r="F3814" t="s">
        <v>5146</v>
      </c>
      <c r="G3814" t="s">
        <v>2593</v>
      </c>
      <c r="Q3814">
        <v>6</v>
      </c>
      <c r="R3814">
        <v>18</v>
      </c>
      <c r="S3814">
        <v>24</v>
      </c>
      <c r="T3814">
        <v>30</v>
      </c>
      <c r="U3814">
        <v>24</v>
      </c>
      <c r="V3814">
        <v>12</v>
      </c>
      <c r="W3814">
        <v>6</v>
      </c>
      <c r="X3814">
        <v>6</v>
      </c>
      <c r="CH3814" t="str">
        <f t="shared" si="59"/>
        <v>D-0514</v>
      </c>
    </row>
    <row r="3815" spans="1:86">
      <c r="A3815" t="s">
        <v>1191</v>
      </c>
      <c r="B3815">
        <v>3735</v>
      </c>
      <c r="C3815" t="s">
        <v>1189</v>
      </c>
      <c r="D3815" t="s">
        <v>128</v>
      </c>
      <c r="E3815" t="s">
        <v>642</v>
      </c>
      <c r="F3815" t="s">
        <v>632</v>
      </c>
      <c r="G3815" t="s">
        <v>1190</v>
      </c>
      <c r="R3815">
        <v>60</v>
      </c>
      <c r="S3815">
        <v>156</v>
      </c>
      <c r="T3815">
        <v>409</v>
      </c>
      <c r="U3815">
        <v>516</v>
      </c>
      <c r="V3815">
        <v>492</v>
      </c>
      <c r="W3815">
        <v>780</v>
      </c>
      <c r="X3815">
        <v>506</v>
      </c>
      <c r="Y3815">
        <v>408</v>
      </c>
      <c r="Z3815">
        <v>204</v>
      </c>
      <c r="AA3815">
        <v>204</v>
      </c>
      <c r="CH3815" t="str">
        <f t="shared" si="59"/>
        <v>D-0023</v>
      </c>
    </row>
    <row r="3816" spans="1:86">
      <c r="A3816" t="s">
        <v>1214</v>
      </c>
      <c r="B3816">
        <v>288</v>
      </c>
      <c r="C3816" t="s">
        <v>1215</v>
      </c>
      <c r="D3816" t="s">
        <v>195</v>
      </c>
      <c r="E3816" t="s">
        <v>629</v>
      </c>
      <c r="F3816" t="s">
        <v>630</v>
      </c>
      <c r="G3816" t="s">
        <v>1216</v>
      </c>
      <c r="T3816">
        <v>4</v>
      </c>
      <c r="U3816">
        <v>2</v>
      </c>
      <c r="V3816">
        <v>21</v>
      </c>
      <c r="W3816">
        <v>20</v>
      </c>
      <c r="X3816">
        <v>41</v>
      </c>
      <c r="Y3816">
        <v>33</v>
      </c>
      <c r="Z3816">
        <v>45</v>
      </c>
      <c r="AA3816">
        <v>36</v>
      </c>
      <c r="AB3816">
        <v>36</v>
      </c>
      <c r="AC3816">
        <v>12</v>
      </c>
      <c r="AD3816">
        <v>22</v>
      </c>
      <c r="AE3816">
        <v>2</v>
      </c>
      <c r="AF3816">
        <v>8</v>
      </c>
      <c r="AH3816">
        <v>4</v>
      </c>
      <c r="AJ3816">
        <v>2</v>
      </c>
      <c r="CH3816" t="str">
        <f t="shared" si="59"/>
        <v>D-0189</v>
      </c>
    </row>
    <row r="3817" spans="1:86">
      <c r="A3817" t="s">
        <v>5582</v>
      </c>
      <c r="B3817">
        <v>12</v>
      </c>
      <c r="C3817" t="s">
        <v>5150</v>
      </c>
      <c r="D3817" t="s">
        <v>5145</v>
      </c>
      <c r="E3817" t="s">
        <v>642</v>
      </c>
      <c r="F3817" t="s">
        <v>5146</v>
      </c>
      <c r="G3817" t="s">
        <v>2427</v>
      </c>
      <c r="X3817">
        <v>7</v>
      </c>
      <c r="Z3817">
        <v>5</v>
      </c>
      <c r="CH3817" t="str">
        <f t="shared" si="59"/>
        <v>D-0514</v>
      </c>
    </row>
    <row r="3818" spans="1:86">
      <c r="A3818" t="s">
        <v>5583</v>
      </c>
      <c r="B3818">
        <v>1484</v>
      </c>
      <c r="C3818" t="s">
        <v>5150</v>
      </c>
      <c r="D3818" t="s">
        <v>5145</v>
      </c>
      <c r="E3818" t="s">
        <v>642</v>
      </c>
      <c r="F3818" t="s">
        <v>5146</v>
      </c>
      <c r="G3818" t="s">
        <v>2427</v>
      </c>
      <c r="P3818">
        <v>33</v>
      </c>
      <c r="Q3818">
        <v>62</v>
      </c>
      <c r="R3818">
        <v>109</v>
      </c>
      <c r="S3818">
        <v>131</v>
      </c>
      <c r="T3818">
        <v>197</v>
      </c>
      <c r="U3818">
        <v>185</v>
      </c>
      <c r="V3818">
        <v>203</v>
      </c>
      <c r="W3818">
        <v>159</v>
      </c>
      <c r="X3818">
        <v>136</v>
      </c>
      <c r="Y3818">
        <v>97</v>
      </c>
      <c r="Z3818">
        <v>66</v>
      </c>
      <c r="AA3818">
        <v>35</v>
      </c>
      <c r="AB3818">
        <v>26</v>
      </c>
      <c r="AE3818">
        <v>12</v>
      </c>
      <c r="AF3818">
        <v>11</v>
      </c>
      <c r="AG3818">
        <v>6</v>
      </c>
      <c r="AH3818">
        <v>5</v>
      </c>
      <c r="AI3818">
        <v>5</v>
      </c>
      <c r="AJ3818">
        <v>3</v>
      </c>
      <c r="AK3818">
        <v>3</v>
      </c>
      <c r="CH3818" t="str">
        <f t="shared" si="59"/>
        <v>D-0514</v>
      </c>
    </row>
    <row r="3819" spans="1:86">
      <c r="A3819" t="s">
        <v>5584</v>
      </c>
      <c r="B3819">
        <v>32</v>
      </c>
      <c r="C3819" t="s">
        <v>5150</v>
      </c>
      <c r="D3819" t="s">
        <v>5145</v>
      </c>
      <c r="E3819" t="s">
        <v>642</v>
      </c>
      <c r="F3819" t="s">
        <v>5146</v>
      </c>
      <c r="G3819" t="s">
        <v>2427</v>
      </c>
      <c r="AC3819">
        <v>16</v>
      </c>
      <c r="AD3819">
        <v>16</v>
      </c>
      <c r="CH3819" t="str">
        <f t="shared" si="59"/>
        <v>D-0514</v>
      </c>
    </row>
    <row r="3820" spans="1:86">
      <c r="A3820" t="s">
        <v>5585</v>
      </c>
      <c r="B3820">
        <v>22</v>
      </c>
      <c r="C3820" t="s">
        <v>5144</v>
      </c>
      <c r="D3820" t="s">
        <v>5145</v>
      </c>
      <c r="E3820" t="s">
        <v>642</v>
      </c>
      <c r="F3820" t="s">
        <v>5146</v>
      </c>
      <c r="G3820" t="s">
        <v>2593</v>
      </c>
      <c r="AE3820">
        <v>9</v>
      </c>
      <c r="AG3820">
        <v>3</v>
      </c>
      <c r="AI3820">
        <v>4</v>
      </c>
      <c r="AJ3820">
        <v>3</v>
      </c>
      <c r="AK3820">
        <v>3</v>
      </c>
      <c r="CH3820" t="str">
        <f t="shared" si="59"/>
        <v>D-0514</v>
      </c>
    </row>
    <row r="3821" spans="1:86">
      <c r="A3821" t="s">
        <v>5586</v>
      </c>
      <c r="B3821">
        <v>18</v>
      </c>
      <c r="C3821" t="s">
        <v>5144</v>
      </c>
      <c r="D3821" t="s">
        <v>5145</v>
      </c>
      <c r="E3821" t="s">
        <v>642</v>
      </c>
      <c r="F3821" t="s">
        <v>5146</v>
      </c>
      <c r="G3821" t="s">
        <v>2593</v>
      </c>
      <c r="AE3821">
        <v>9</v>
      </c>
      <c r="AG3821">
        <v>6</v>
      </c>
      <c r="AI3821">
        <v>2</v>
      </c>
      <c r="AJ3821">
        <v>1</v>
      </c>
      <c r="CH3821" t="str">
        <f t="shared" si="59"/>
        <v>D-0514</v>
      </c>
    </row>
    <row r="3822" spans="1:86">
      <c r="A3822" t="s">
        <v>5587</v>
      </c>
      <c r="B3822">
        <v>16</v>
      </c>
      <c r="C3822" t="s">
        <v>5144</v>
      </c>
      <c r="D3822" t="s">
        <v>5145</v>
      </c>
      <c r="E3822" t="s">
        <v>642</v>
      </c>
      <c r="F3822" t="s">
        <v>5146</v>
      </c>
      <c r="G3822" t="s">
        <v>2593</v>
      </c>
      <c r="AF3822">
        <v>16</v>
      </c>
      <c r="CH3822" t="str">
        <f t="shared" si="59"/>
        <v>D-0514</v>
      </c>
    </row>
    <row r="3823" spans="1:86">
      <c r="A3823" t="s">
        <v>5588</v>
      </c>
      <c r="B3823">
        <v>41</v>
      </c>
      <c r="C3823" t="s">
        <v>5144</v>
      </c>
      <c r="D3823" t="s">
        <v>5145</v>
      </c>
      <c r="E3823" t="s">
        <v>642</v>
      </c>
      <c r="F3823" t="s">
        <v>5146</v>
      </c>
      <c r="G3823" t="s">
        <v>2593</v>
      </c>
      <c r="P3823">
        <v>1</v>
      </c>
      <c r="Y3823">
        <v>13</v>
      </c>
      <c r="AA3823">
        <v>5</v>
      </c>
      <c r="AB3823">
        <v>14</v>
      </c>
      <c r="AC3823">
        <v>2</v>
      </c>
      <c r="AH3823">
        <v>6</v>
      </c>
      <c r="CH3823" t="str">
        <f t="shared" si="59"/>
        <v>D-0514</v>
      </c>
    </row>
    <row r="3824" spans="1:86">
      <c r="A3824" t="s">
        <v>5589</v>
      </c>
      <c r="B3824">
        <v>43</v>
      </c>
      <c r="C3824" t="s">
        <v>5144</v>
      </c>
      <c r="D3824" t="s">
        <v>5145</v>
      </c>
      <c r="E3824" t="s">
        <v>642</v>
      </c>
      <c r="F3824" t="s">
        <v>5146</v>
      </c>
      <c r="G3824" t="s">
        <v>2593</v>
      </c>
      <c r="Q3824">
        <v>1</v>
      </c>
      <c r="X3824">
        <v>36</v>
      </c>
      <c r="Z3824">
        <v>6</v>
      </c>
      <c r="CH3824" t="str">
        <f t="shared" si="59"/>
        <v>D-0514</v>
      </c>
    </row>
    <row r="3825" spans="1:86">
      <c r="A3825" t="s">
        <v>5590</v>
      </c>
      <c r="B3825">
        <v>1664</v>
      </c>
      <c r="C3825" t="s">
        <v>5144</v>
      </c>
      <c r="D3825" t="s">
        <v>5145</v>
      </c>
      <c r="E3825" t="s">
        <v>642</v>
      </c>
      <c r="F3825" t="s">
        <v>5146</v>
      </c>
      <c r="G3825" t="s">
        <v>2593</v>
      </c>
      <c r="P3825">
        <v>43</v>
      </c>
      <c r="Q3825">
        <v>92</v>
      </c>
      <c r="T3825">
        <v>272</v>
      </c>
      <c r="U3825">
        <v>285</v>
      </c>
      <c r="V3825">
        <v>253</v>
      </c>
      <c r="W3825">
        <v>218</v>
      </c>
      <c r="X3825">
        <v>133</v>
      </c>
      <c r="Y3825">
        <v>126</v>
      </c>
      <c r="Z3825">
        <v>83</v>
      </c>
      <c r="AA3825">
        <v>58</v>
      </c>
      <c r="AB3825">
        <v>38</v>
      </c>
      <c r="AC3825">
        <v>34</v>
      </c>
      <c r="AD3825">
        <v>29</v>
      </c>
      <c r="CH3825" t="str">
        <f t="shared" si="59"/>
        <v>D-0514</v>
      </c>
    </row>
    <row r="3826" spans="1:86">
      <c r="A3826" t="s">
        <v>5591</v>
      </c>
      <c r="B3826">
        <v>342</v>
      </c>
      <c r="C3826" t="s">
        <v>5144</v>
      </c>
      <c r="D3826" t="s">
        <v>5145</v>
      </c>
      <c r="E3826" t="s">
        <v>642</v>
      </c>
      <c r="F3826" t="s">
        <v>5146</v>
      </c>
      <c r="G3826" t="s">
        <v>2593</v>
      </c>
      <c r="R3826">
        <v>145</v>
      </c>
      <c r="S3826">
        <v>197</v>
      </c>
      <c r="CH3826" t="str">
        <f t="shared" si="59"/>
        <v>D-0514</v>
      </c>
    </row>
    <row r="3827" spans="1:86">
      <c r="A3827" t="s">
        <v>1285</v>
      </c>
      <c r="B3827">
        <v>549</v>
      </c>
      <c r="C3827" t="s">
        <v>1286</v>
      </c>
      <c r="D3827" t="s">
        <v>1287</v>
      </c>
      <c r="E3827" t="s">
        <v>639</v>
      </c>
      <c r="F3827" t="s">
        <v>1288</v>
      </c>
      <c r="G3827" t="s">
        <v>1023</v>
      </c>
      <c r="AY3827">
        <v>31</v>
      </c>
      <c r="AZ3827">
        <v>39</v>
      </c>
      <c r="BA3827">
        <v>45</v>
      </c>
      <c r="BB3827">
        <v>56</v>
      </c>
      <c r="BC3827">
        <v>46</v>
      </c>
      <c r="BD3827">
        <v>51</v>
      </c>
      <c r="BE3827">
        <v>65</v>
      </c>
      <c r="BF3827">
        <v>53</v>
      </c>
      <c r="BG3827">
        <v>40</v>
      </c>
      <c r="BH3827">
        <v>59</v>
      </c>
      <c r="BI3827">
        <v>64</v>
      </c>
      <c r="CH3827" t="str">
        <f t="shared" si="59"/>
        <v>D-0509</v>
      </c>
    </row>
    <row r="3828" spans="1:86">
      <c r="A3828" t="s">
        <v>1317</v>
      </c>
      <c r="B3828">
        <v>546</v>
      </c>
      <c r="C3828" t="s">
        <v>1022</v>
      </c>
      <c r="D3828" t="s">
        <v>539</v>
      </c>
      <c r="E3828" t="s">
        <v>639</v>
      </c>
      <c r="F3828" t="s">
        <v>764</v>
      </c>
      <c r="G3828" t="s">
        <v>1023</v>
      </c>
      <c r="AX3828">
        <v>36</v>
      </c>
      <c r="AY3828">
        <v>43</v>
      </c>
      <c r="AZ3828">
        <v>45</v>
      </c>
      <c r="BA3828">
        <v>50</v>
      </c>
      <c r="BB3828">
        <v>56</v>
      </c>
      <c r="BC3828">
        <v>53</v>
      </c>
      <c r="BD3828">
        <v>59</v>
      </c>
      <c r="BE3828">
        <v>68</v>
      </c>
      <c r="BF3828">
        <v>50</v>
      </c>
      <c r="BG3828">
        <v>29</v>
      </c>
      <c r="BH3828">
        <v>28</v>
      </c>
      <c r="BI3828">
        <v>29</v>
      </c>
      <c r="CH3828" t="str">
        <f t="shared" si="59"/>
        <v>D-0519</v>
      </c>
    </row>
    <row r="3829" spans="1:86">
      <c r="A3829" t="s">
        <v>1330</v>
      </c>
      <c r="B3829">
        <v>5625</v>
      </c>
      <c r="C3829" t="s">
        <v>1273</v>
      </c>
      <c r="D3829" t="s">
        <v>352</v>
      </c>
      <c r="E3829" t="s">
        <v>642</v>
      </c>
      <c r="F3829" t="s">
        <v>645</v>
      </c>
      <c r="G3829" t="s">
        <v>1274</v>
      </c>
      <c r="P3829">
        <v>41</v>
      </c>
      <c r="Q3829">
        <v>121</v>
      </c>
      <c r="R3829">
        <v>511</v>
      </c>
      <c r="S3829">
        <v>643</v>
      </c>
      <c r="T3829">
        <v>972</v>
      </c>
      <c r="U3829">
        <v>777</v>
      </c>
      <c r="V3829">
        <v>901</v>
      </c>
      <c r="W3829">
        <v>460</v>
      </c>
      <c r="X3829">
        <v>452</v>
      </c>
      <c r="Y3829">
        <v>251</v>
      </c>
      <c r="Z3829">
        <v>282</v>
      </c>
      <c r="AA3829">
        <v>55</v>
      </c>
      <c r="AB3829">
        <v>99</v>
      </c>
      <c r="AC3829">
        <v>31</v>
      </c>
      <c r="AD3829">
        <v>29</v>
      </c>
      <c r="CH3829" t="str">
        <f t="shared" si="59"/>
        <v>D-0515</v>
      </c>
    </row>
    <row r="3830" spans="1:86">
      <c r="A3830" t="s">
        <v>1352</v>
      </c>
      <c r="B3830">
        <v>428</v>
      </c>
      <c r="C3830" t="s">
        <v>953</v>
      </c>
      <c r="D3830" t="s">
        <v>365</v>
      </c>
      <c r="E3830" t="s">
        <v>629</v>
      </c>
      <c r="F3830" t="s">
        <v>706</v>
      </c>
      <c r="G3830" t="s">
        <v>1353</v>
      </c>
      <c r="V3830">
        <v>48</v>
      </c>
      <c r="W3830">
        <v>132</v>
      </c>
      <c r="X3830">
        <v>74</v>
      </c>
      <c r="Y3830">
        <v>156</v>
      </c>
      <c r="Z3830">
        <v>18</v>
      </c>
      <c r="CH3830" t="str">
        <f t="shared" si="59"/>
        <v>D-0524</v>
      </c>
    </row>
    <row r="3831" spans="1:86">
      <c r="A3831" t="s">
        <v>1356</v>
      </c>
      <c r="B3831">
        <v>4202</v>
      </c>
      <c r="C3831" t="s">
        <v>946</v>
      </c>
      <c r="D3831" t="s">
        <v>365</v>
      </c>
      <c r="E3831" t="s">
        <v>629</v>
      </c>
      <c r="F3831" t="s">
        <v>706</v>
      </c>
      <c r="G3831" t="s">
        <v>1351</v>
      </c>
      <c r="V3831">
        <v>72</v>
      </c>
      <c r="W3831">
        <v>552</v>
      </c>
      <c r="X3831">
        <v>74</v>
      </c>
      <c r="Y3831">
        <v>552</v>
      </c>
      <c r="Z3831">
        <v>564</v>
      </c>
      <c r="AA3831">
        <v>564</v>
      </c>
      <c r="AB3831">
        <v>564</v>
      </c>
      <c r="AC3831">
        <v>72</v>
      </c>
      <c r="AD3831">
        <v>564</v>
      </c>
      <c r="AF3831">
        <v>552</v>
      </c>
      <c r="AH3831">
        <v>72</v>
      </c>
      <c r="CH3831" t="str">
        <f t="shared" si="59"/>
        <v>D-0524</v>
      </c>
    </row>
    <row r="3832" spans="1:86">
      <c r="A3832" t="s">
        <v>1381</v>
      </c>
      <c r="B3832">
        <v>2005</v>
      </c>
      <c r="C3832" t="s">
        <v>1008</v>
      </c>
      <c r="D3832" t="s">
        <v>148</v>
      </c>
      <c r="E3832" t="s">
        <v>629</v>
      </c>
      <c r="F3832" t="s">
        <v>744</v>
      </c>
      <c r="G3832" t="s">
        <v>745</v>
      </c>
      <c r="S3832">
        <v>140</v>
      </c>
      <c r="U3832">
        <v>220</v>
      </c>
      <c r="V3832">
        <v>400</v>
      </c>
      <c r="X3832">
        <v>445</v>
      </c>
      <c r="Y3832">
        <v>360</v>
      </c>
      <c r="AA3832">
        <v>240</v>
      </c>
      <c r="AB3832">
        <v>200</v>
      </c>
      <c r="CH3832" t="str">
        <f t="shared" si="59"/>
        <v>D-0091</v>
      </c>
    </row>
    <row r="3833" spans="1:86">
      <c r="A3833" t="s">
        <v>1394</v>
      </c>
      <c r="B3833">
        <v>581</v>
      </c>
      <c r="C3833" t="s">
        <v>1385</v>
      </c>
      <c r="D3833" t="s">
        <v>457</v>
      </c>
      <c r="E3833" t="s">
        <v>629</v>
      </c>
      <c r="F3833" t="s">
        <v>672</v>
      </c>
      <c r="G3833" t="s">
        <v>1000</v>
      </c>
      <c r="U3833">
        <v>48</v>
      </c>
      <c r="V3833">
        <v>101</v>
      </c>
      <c r="W3833">
        <v>96</v>
      </c>
      <c r="X3833">
        <v>48</v>
      </c>
      <c r="Y3833">
        <v>96</v>
      </c>
      <c r="Z3833">
        <v>96</v>
      </c>
      <c r="AB3833">
        <v>48</v>
      </c>
      <c r="AD3833">
        <v>48</v>
      </c>
      <c r="CH3833" t="str">
        <f t="shared" si="59"/>
        <v>JV1-0695-3</v>
      </c>
    </row>
    <row r="3834" spans="1:86">
      <c r="A3834" t="s">
        <v>1395</v>
      </c>
      <c r="B3834">
        <v>581</v>
      </c>
      <c r="C3834" t="s">
        <v>1385</v>
      </c>
      <c r="D3834" t="s">
        <v>457</v>
      </c>
      <c r="E3834" t="s">
        <v>629</v>
      </c>
      <c r="F3834" t="s">
        <v>672</v>
      </c>
      <c r="G3834" t="s">
        <v>1000</v>
      </c>
      <c r="U3834">
        <v>48</v>
      </c>
      <c r="V3834">
        <v>101</v>
      </c>
      <c r="W3834">
        <v>96</v>
      </c>
      <c r="X3834">
        <v>48</v>
      </c>
      <c r="Y3834">
        <v>96</v>
      </c>
      <c r="Z3834">
        <v>96</v>
      </c>
      <c r="AB3834">
        <v>48</v>
      </c>
      <c r="AD3834">
        <v>48</v>
      </c>
      <c r="CH3834" t="str">
        <f t="shared" si="59"/>
        <v>JV1-0695-3</v>
      </c>
    </row>
    <row r="3835" spans="1:86">
      <c r="A3835" t="s">
        <v>1401</v>
      </c>
      <c r="B3835">
        <v>167</v>
      </c>
      <c r="C3835" t="s">
        <v>1385</v>
      </c>
      <c r="D3835" t="s">
        <v>457</v>
      </c>
      <c r="E3835" t="s">
        <v>629</v>
      </c>
      <c r="F3835" t="s">
        <v>672</v>
      </c>
      <c r="G3835" t="s">
        <v>1000</v>
      </c>
      <c r="T3835">
        <v>6</v>
      </c>
      <c r="U3835">
        <v>12</v>
      </c>
      <c r="V3835">
        <v>17</v>
      </c>
      <c r="W3835">
        <v>18</v>
      </c>
      <c r="X3835">
        <v>24</v>
      </c>
      <c r="Y3835">
        <v>24</v>
      </c>
      <c r="Z3835">
        <v>18</v>
      </c>
      <c r="AA3835">
        <v>18</v>
      </c>
      <c r="AB3835">
        <v>12</v>
      </c>
      <c r="AC3835">
        <v>12</v>
      </c>
      <c r="AD3835">
        <v>6</v>
      </c>
      <c r="CH3835" t="str">
        <f t="shared" si="59"/>
        <v>JV1-0695-3</v>
      </c>
    </row>
    <row r="3836" spans="1:86">
      <c r="A3836" t="s">
        <v>1404</v>
      </c>
      <c r="B3836">
        <v>335</v>
      </c>
      <c r="C3836" t="s">
        <v>1385</v>
      </c>
      <c r="D3836" t="s">
        <v>457</v>
      </c>
      <c r="E3836" t="s">
        <v>629</v>
      </c>
      <c r="F3836" t="s">
        <v>672</v>
      </c>
      <c r="G3836" t="s">
        <v>1000</v>
      </c>
      <c r="O3836">
        <v>6</v>
      </c>
      <c r="P3836">
        <v>6</v>
      </c>
      <c r="Q3836">
        <v>6</v>
      </c>
      <c r="R3836">
        <v>6</v>
      </c>
      <c r="S3836">
        <v>6</v>
      </c>
      <c r="T3836">
        <v>6</v>
      </c>
      <c r="U3836">
        <v>6</v>
      </c>
      <c r="V3836">
        <v>23</v>
      </c>
      <c r="W3836">
        <v>30</v>
      </c>
      <c r="X3836">
        <v>36</v>
      </c>
      <c r="Y3836">
        <v>66</v>
      </c>
      <c r="Z3836">
        <v>48</v>
      </c>
      <c r="AA3836">
        <v>24</v>
      </c>
      <c r="AB3836">
        <v>36</v>
      </c>
      <c r="AC3836">
        <v>6</v>
      </c>
      <c r="AD3836">
        <v>18</v>
      </c>
      <c r="AE3836">
        <v>6</v>
      </c>
      <c r="CH3836" t="str">
        <f t="shared" si="59"/>
        <v>JV1-0695-3</v>
      </c>
    </row>
    <row r="3837" spans="1:86">
      <c r="A3837" t="s">
        <v>1406</v>
      </c>
      <c r="B3837">
        <v>569</v>
      </c>
      <c r="C3837" t="s">
        <v>1385</v>
      </c>
      <c r="D3837" t="s">
        <v>457</v>
      </c>
      <c r="E3837" t="s">
        <v>629</v>
      </c>
      <c r="F3837" t="s">
        <v>672</v>
      </c>
      <c r="G3837" t="s">
        <v>1000</v>
      </c>
      <c r="Q3837">
        <v>18</v>
      </c>
      <c r="R3837">
        <v>6</v>
      </c>
      <c r="S3837">
        <v>36</v>
      </c>
      <c r="T3837">
        <v>6</v>
      </c>
      <c r="U3837">
        <v>36</v>
      </c>
      <c r="V3837">
        <v>47</v>
      </c>
      <c r="W3837">
        <v>84</v>
      </c>
      <c r="X3837">
        <v>6</v>
      </c>
      <c r="Y3837">
        <v>114</v>
      </c>
      <c r="Z3837">
        <v>90</v>
      </c>
      <c r="AA3837">
        <v>6</v>
      </c>
      <c r="AB3837">
        <v>78</v>
      </c>
      <c r="AC3837">
        <v>24</v>
      </c>
      <c r="AD3837">
        <v>18</v>
      </c>
      <c r="CH3837" t="str">
        <f t="shared" si="59"/>
        <v>JV1-0695-3</v>
      </c>
    </row>
    <row r="3838" spans="1:86">
      <c r="A3838" t="s">
        <v>1408</v>
      </c>
      <c r="B3838">
        <v>293</v>
      </c>
      <c r="C3838" t="s">
        <v>1385</v>
      </c>
      <c r="D3838" t="s">
        <v>457</v>
      </c>
      <c r="E3838" t="s">
        <v>629</v>
      </c>
      <c r="F3838" t="s">
        <v>672</v>
      </c>
      <c r="G3838" t="s">
        <v>1000</v>
      </c>
      <c r="T3838">
        <v>6</v>
      </c>
      <c r="U3838">
        <v>18</v>
      </c>
      <c r="V3838">
        <v>29</v>
      </c>
      <c r="W3838">
        <v>30</v>
      </c>
      <c r="X3838">
        <v>36</v>
      </c>
      <c r="Y3838">
        <v>36</v>
      </c>
      <c r="Z3838">
        <v>36</v>
      </c>
      <c r="AA3838">
        <v>24</v>
      </c>
      <c r="AB3838">
        <v>18</v>
      </c>
      <c r="AC3838">
        <v>18</v>
      </c>
      <c r="AD3838">
        <v>18</v>
      </c>
      <c r="AE3838">
        <v>6</v>
      </c>
      <c r="AF3838">
        <v>12</v>
      </c>
      <c r="AH3838">
        <v>6</v>
      </c>
      <c r="CH3838" t="str">
        <f t="shared" si="59"/>
        <v>JV1-0695-3</v>
      </c>
    </row>
    <row r="3839" spans="1:86">
      <c r="A3839" t="s">
        <v>1450</v>
      </c>
      <c r="B3839">
        <v>166</v>
      </c>
      <c r="C3839" t="s">
        <v>739</v>
      </c>
      <c r="D3839" t="s">
        <v>140</v>
      </c>
      <c r="E3839" t="s">
        <v>629</v>
      </c>
      <c r="F3839" t="s">
        <v>632</v>
      </c>
      <c r="G3839" t="s">
        <v>740</v>
      </c>
      <c r="S3839">
        <v>60</v>
      </c>
      <c r="T3839">
        <v>65</v>
      </c>
      <c r="V3839">
        <v>41</v>
      </c>
      <c r="CH3839" t="str">
        <f t="shared" si="59"/>
        <v>D-0057</v>
      </c>
    </row>
    <row r="3840" spans="1:86">
      <c r="A3840" t="s">
        <v>1537</v>
      </c>
      <c r="B3840">
        <v>2756</v>
      </c>
      <c r="C3840" t="s">
        <v>1275</v>
      </c>
      <c r="D3840" t="s">
        <v>352</v>
      </c>
      <c r="E3840" t="s">
        <v>642</v>
      </c>
      <c r="F3840" t="s">
        <v>645</v>
      </c>
      <c r="G3840" t="s">
        <v>1276</v>
      </c>
      <c r="P3840">
        <v>30</v>
      </c>
      <c r="Q3840">
        <v>60</v>
      </c>
      <c r="R3840">
        <v>147</v>
      </c>
      <c r="S3840">
        <v>242</v>
      </c>
      <c r="T3840">
        <v>335</v>
      </c>
      <c r="U3840">
        <v>297</v>
      </c>
      <c r="V3840">
        <v>413</v>
      </c>
      <c r="W3840">
        <v>333</v>
      </c>
      <c r="X3840">
        <v>219</v>
      </c>
      <c r="Y3840">
        <v>215</v>
      </c>
      <c r="Z3840">
        <v>168</v>
      </c>
      <c r="AA3840">
        <v>86</v>
      </c>
      <c r="AB3840">
        <v>96</v>
      </c>
      <c r="AC3840">
        <v>67</v>
      </c>
      <c r="AD3840">
        <v>48</v>
      </c>
      <c r="CH3840" t="str">
        <f t="shared" si="59"/>
        <v>D-0515</v>
      </c>
    </row>
    <row r="3841" spans="1:86">
      <c r="A3841" t="s">
        <v>1564</v>
      </c>
      <c r="B3841">
        <v>2019</v>
      </c>
      <c r="C3841" t="s">
        <v>1019</v>
      </c>
      <c r="D3841" t="s">
        <v>288</v>
      </c>
      <c r="E3841" t="s">
        <v>629</v>
      </c>
      <c r="F3841" t="s">
        <v>679</v>
      </c>
      <c r="G3841" t="s">
        <v>678</v>
      </c>
      <c r="L3841">
        <v>25</v>
      </c>
      <c r="M3841">
        <v>65</v>
      </c>
      <c r="N3841">
        <v>236</v>
      </c>
      <c r="O3841">
        <v>217</v>
      </c>
      <c r="P3841">
        <v>323</v>
      </c>
      <c r="Q3841">
        <v>306</v>
      </c>
      <c r="R3841">
        <v>130</v>
      </c>
      <c r="S3841">
        <v>124</v>
      </c>
      <c r="T3841">
        <v>103</v>
      </c>
      <c r="U3841">
        <v>187</v>
      </c>
      <c r="V3841">
        <v>73</v>
      </c>
      <c r="W3841">
        <v>104</v>
      </c>
      <c r="X3841">
        <v>42</v>
      </c>
      <c r="Y3841">
        <v>45</v>
      </c>
      <c r="Z3841">
        <v>6</v>
      </c>
      <c r="AA3841">
        <v>9</v>
      </c>
      <c r="AB3841">
        <v>11</v>
      </c>
      <c r="AD3841">
        <v>8</v>
      </c>
      <c r="AF3841">
        <v>5</v>
      </c>
      <c r="CH3841" t="str">
        <f t="shared" si="59"/>
        <v>D-0393</v>
      </c>
    </row>
    <row r="3842" spans="1:86">
      <c r="A3842" t="s">
        <v>1565</v>
      </c>
      <c r="B3842">
        <v>2762</v>
      </c>
      <c r="C3842" t="s">
        <v>1019</v>
      </c>
      <c r="D3842" t="s">
        <v>288</v>
      </c>
      <c r="E3842" t="s">
        <v>629</v>
      </c>
      <c r="F3842" t="s">
        <v>679</v>
      </c>
      <c r="G3842" t="s">
        <v>678</v>
      </c>
      <c r="L3842">
        <v>10</v>
      </c>
      <c r="M3842">
        <v>53</v>
      </c>
      <c r="N3842">
        <v>156</v>
      </c>
      <c r="O3842">
        <v>55</v>
      </c>
      <c r="P3842">
        <v>364</v>
      </c>
      <c r="Q3842">
        <v>190</v>
      </c>
      <c r="R3842">
        <v>335</v>
      </c>
      <c r="S3842">
        <v>360</v>
      </c>
      <c r="T3842">
        <v>183</v>
      </c>
      <c r="U3842">
        <v>209</v>
      </c>
      <c r="V3842">
        <v>169</v>
      </c>
      <c r="W3842">
        <v>93</v>
      </c>
      <c r="X3842">
        <v>147</v>
      </c>
      <c r="Y3842">
        <v>106</v>
      </c>
      <c r="Z3842">
        <v>76</v>
      </c>
      <c r="AA3842">
        <v>83</v>
      </c>
      <c r="AB3842">
        <v>76</v>
      </c>
      <c r="AD3842">
        <v>51</v>
      </c>
      <c r="AF3842">
        <v>46</v>
      </c>
      <c r="CH3842" t="str">
        <f t="shared" ref="CH3842:CH3905" si="60">TRIM(IFERROR(IFERROR(MID($D3842,FIND("(D-",$D3842)+1,6),LEFT($D3842,FIND("(",$D3842)-1)),$D3842))</f>
        <v>D-0393</v>
      </c>
    </row>
    <row r="3843" spans="1:86">
      <c r="A3843" t="s">
        <v>1566</v>
      </c>
      <c r="B3843">
        <v>102</v>
      </c>
      <c r="C3843" t="s">
        <v>1019</v>
      </c>
      <c r="D3843" t="s">
        <v>288</v>
      </c>
      <c r="E3843" t="s">
        <v>629</v>
      </c>
      <c r="F3843" t="s">
        <v>679</v>
      </c>
      <c r="G3843" t="s">
        <v>678</v>
      </c>
      <c r="S3843">
        <v>12</v>
      </c>
      <c r="T3843">
        <v>15</v>
      </c>
      <c r="U3843">
        <v>25</v>
      </c>
      <c r="V3843">
        <v>20</v>
      </c>
      <c r="W3843">
        <v>5</v>
      </c>
      <c r="X3843">
        <v>15</v>
      </c>
      <c r="Y3843">
        <v>5</v>
      </c>
      <c r="AA3843">
        <v>5</v>
      </c>
      <c r="CH3843" t="str">
        <f t="shared" si="60"/>
        <v>D-0393</v>
      </c>
    </row>
    <row r="3844" spans="1:86">
      <c r="A3844" t="s">
        <v>1567</v>
      </c>
      <c r="B3844">
        <v>2004</v>
      </c>
      <c r="C3844" t="s">
        <v>1019</v>
      </c>
      <c r="D3844" t="s">
        <v>288</v>
      </c>
      <c r="E3844" t="s">
        <v>629</v>
      </c>
      <c r="F3844" t="s">
        <v>679</v>
      </c>
      <c r="G3844" t="s">
        <v>678</v>
      </c>
      <c r="M3844">
        <v>49</v>
      </c>
      <c r="N3844">
        <v>126</v>
      </c>
      <c r="O3844">
        <v>173</v>
      </c>
      <c r="P3844">
        <v>211</v>
      </c>
      <c r="Q3844">
        <v>187</v>
      </c>
      <c r="R3844">
        <v>146</v>
      </c>
      <c r="S3844">
        <v>112</v>
      </c>
      <c r="T3844">
        <v>118</v>
      </c>
      <c r="U3844">
        <v>123</v>
      </c>
      <c r="V3844">
        <v>166</v>
      </c>
      <c r="W3844">
        <v>159</v>
      </c>
      <c r="X3844">
        <v>151</v>
      </c>
      <c r="Y3844">
        <v>113</v>
      </c>
      <c r="Z3844">
        <v>75</v>
      </c>
      <c r="AA3844">
        <v>53</v>
      </c>
      <c r="AB3844">
        <v>41</v>
      </c>
      <c r="AD3844">
        <v>1</v>
      </c>
      <c r="CH3844" t="str">
        <f t="shared" si="60"/>
        <v>D-0393</v>
      </c>
    </row>
    <row r="3845" spans="1:86">
      <c r="A3845" t="s">
        <v>1568</v>
      </c>
      <c r="B3845">
        <v>231</v>
      </c>
      <c r="C3845" t="s">
        <v>1019</v>
      </c>
      <c r="D3845" t="s">
        <v>288</v>
      </c>
      <c r="E3845" t="s">
        <v>629</v>
      </c>
      <c r="F3845" t="s">
        <v>679</v>
      </c>
      <c r="G3845" t="s">
        <v>678</v>
      </c>
      <c r="L3845">
        <v>11</v>
      </c>
      <c r="M3845">
        <v>28</v>
      </c>
      <c r="R3845">
        <v>84</v>
      </c>
      <c r="S3845">
        <v>35</v>
      </c>
      <c r="U3845">
        <v>61</v>
      </c>
      <c r="X3845">
        <v>4</v>
      </c>
      <c r="AA3845">
        <v>2</v>
      </c>
      <c r="AB3845">
        <v>2</v>
      </c>
      <c r="AD3845">
        <v>4</v>
      </c>
      <c r="CH3845" t="str">
        <f t="shared" si="60"/>
        <v>D-0393</v>
      </c>
    </row>
    <row r="3846" spans="1:86">
      <c r="A3846" t="s">
        <v>1569</v>
      </c>
      <c r="B3846">
        <v>922</v>
      </c>
      <c r="C3846" t="s">
        <v>1019</v>
      </c>
      <c r="D3846" t="s">
        <v>288</v>
      </c>
      <c r="E3846" t="s">
        <v>629</v>
      </c>
      <c r="F3846" t="s">
        <v>679</v>
      </c>
      <c r="G3846" t="s">
        <v>678</v>
      </c>
      <c r="L3846">
        <v>3</v>
      </c>
      <c r="M3846">
        <v>18</v>
      </c>
      <c r="N3846">
        <v>52</v>
      </c>
      <c r="O3846">
        <v>18</v>
      </c>
      <c r="P3846">
        <v>121</v>
      </c>
      <c r="Q3846">
        <v>63</v>
      </c>
      <c r="R3846">
        <v>112</v>
      </c>
      <c r="S3846">
        <v>121</v>
      </c>
      <c r="T3846">
        <v>63</v>
      </c>
      <c r="U3846">
        <v>70</v>
      </c>
      <c r="V3846">
        <v>56</v>
      </c>
      <c r="W3846">
        <v>31</v>
      </c>
      <c r="X3846">
        <v>49</v>
      </c>
      <c r="Y3846">
        <v>35</v>
      </c>
      <c r="Z3846">
        <v>25</v>
      </c>
      <c r="AA3846">
        <v>28</v>
      </c>
      <c r="AB3846">
        <v>25</v>
      </c>
      <c r="AD3846">
        <v>17</v>
      </c>
      <c r="AF3846">
        <v>15</v>
      </c>
      <c r="CH3846" t="str">
        <f t="shared" si="60"/>
        <v>D-0393</v>
      </c>
    </row>
    <row r="3847" spans="1:86">
      <c r="A3847" t="s">
        <v>1570</v>
      </c>
      <c r="B3847">
        <v>102</v>
      </c>
      <c r="C3847" t="s">
        <v>1019</v>
      </c>
      <c r="D3847" t="s">
        <v>288</v>
      </c>
      <c r="E3847" t="s">
        <v>629</v>
      </c>
      <c r="F3847" t="s">
        <v>679</v>
      </c>
      <c r="G3847" t="s">
        <v>678</v>
      </c>
      <c r="S3847">
        <v>12</v>
      </c>
      <c r="T3847">
        <v>15</v>
      </c>
      <c r="U3847">
        <v>25</v>
      </c>
      <c r="V3847">
        <v>20</v>
      </c>
      <c r="W3847">
        <v>5</v>
      </c>
      <c r="X3847">
        <v>15</v>
      </c>
      <c r="Y3847">
        <v>5</v>
      </c>
      <c r="AA3847">
        <v>5</v>
      </c>
      <c r="CH3847" t="str">
        <f t="shared" si="60"/>
        <v>D-0393</v>
      </c>
    </row>
    <row r="3848" spans="1:86">
      <c r="A3848" t="s">
        <v>1571</v>
      </c>
      <c r="B3848">
        <v>110</v>
      </c>
      <c r="C3848" t="s">
        <v>1019</v>
      </c>
      <c r="D3848" t="s">
        <v>288</v>
      </c>
      <c r="E3848" t="s">
        <v>629</v>
      </c>
      <c r="F3848" t="s">
        <v>679</v>
      </c>
      <c r="G3848" t="s">
        <v>678</v>
      </c>
      <c r="X3848">
        <v>110</v>
      </c>
      <c r="CH3848" t="str">
        <f t="shared" si="60"/>
        <v>D-0393</v>
      </c>
    </row>
    <row r="3849" spans="1:86">
      <c r="A3849" t="s">
        <v>1572</v>
      </c>
      <c r="B3849">
        <v>120</v>
      </c>
      <c r="C3849" t="s">
        <v>1016</v>
      </c>
      <c r="D3849" t="s">
        <v>288</v>
      </c>
      <c r="E3849" t="s">
        <v>1017</v>
      </c>
      <c r="F3849" t="s">
        <v>679</v>
      </c>
      <c r="G3849" t="s">
        <v>678</v>
      </c>
      <c r="L3849">
        <v>24</v>
      </c>
      <c r="M3849">
        <v>36</v>
      </c>
      <c r="N3849">
        <v>60</v>
      </c>
      <c r="CH3849" t="str">
        <f t="shared" si="60"/>
        <v>D-0393</v>
      </c>
    </row>
    <row r="3850" spans="1:86">
      <c r="A3850" t="s">
        <v>1573</v>
      </c>
      <c r="B3850">
        <v>102</v>
      </c>
      <c r="C3850" t="s">
        <v>1016</v>
      </c>
      <c r="D3850" t="s">
        <v>288</v>
      </c>
      <c r="E3850" t="s">
        <v>1017</v>
      </c>
      <c r="F3850" t="s">
        <v>679</v>
      </c>
      <c r="G3850" t="s">
        <v>678</v>
      </c>
      <c r="M3850">
        <v>5</v>
      </c>
      <c r="N3850">
        <v>12</v>
      </c>
      <c r="O3850">
        <v>20</v>
      </c>
      <c r="P3850">
        <v>20</v>
      </c>
      <c r="Q3850">
        <v>25</v>
      </c>
      <c r="R3850">
        <v>20</v>
      </c>
      <c r="CH3850" t="str">
        <f t="shared" si="60"/>
        <v>D-0393</v>
      </c>
    </row>
    <row r="3851" spans="1:86">
      <c r="A3851" t="s">
        <v>1574</v>
      </c>
      <c r="B3851">
        <v>102</v>
      </c>
      <c r="C3851" t="s">
        <v>1016</v>
      </c>
      <c r="D3851" t="s">
        <v>288</v>
      </c>
      <c r="E3851" t="s">
        <v>1017</v>
      </c>
      <c r="F3851" t="s">
        <v>679</v>
      </c>
      <c r="G3851" t="s">
        <v>678</v>
      </c>
      <c r="L3851">
        <v>20</v>
      </c>
      <c r="M3851">
        <v>30</v>
      </c>
      <c r="N3851">
        <v>52</v>
      </c>
      <c r="CH3851" t="str">
        <f t="shared" si="60"/>
        <v>D-0393</v>
      </c>
    </row>
    <row r="3852" spans="1:86">
      <c r="A3852" t="s">
        <v>1575</v>
      </c>
      <c r="B3852">
        <v>102</v>
      </c>
      <c r="C3852" t="s">
        <v>1016</v>
      </c>
      <c r="D3852" t="s">
        <v>288</v>
      </c>
      <c r="E3852" t="s">
        <v>1017</v>
      </c>
      <c r="F3852" t="s">
        <v>679</v>
      </c>
      <c r="G3852" t="s">
        <v>678</v>
      </c>
      <c r="L3852">
        <v>5</v>
      </c>
      <c r="M3852">
        <v>15</v>
      </c>
      <c r="N3852">
        <v>22</v>
      </c>
      <c r="O3852">
        <v>10</v>
      </c>
      <c r="P3852">
        <v>20</v>
      </c>
      <c r="Q3852">
        <v>10</v>
      </c>
      <c r="R3852">
        <v>20</v>
      </c>
      <c r="CH3852" t="str">
        <f t="shared" si="60"/>
        <v>D-0393</v>
      </c>
    </row>
    <row r="3853" spans="1:86">
      <c r="A3853" t="s">
        <v>1589</v>
      </c>
      <c r="B3853">
        <v>3175</v>
      </c>
      <c r="C3853" t="s">
        <v>750</v>
      </c>
      <c r="D3853" t="s">
        <v>282</v>
      </c>
      <c r="E3853" t="s">
        <v>639</v>
      </c>
      <c r="F3853" t="s">
        <v>699</v>
      </c>
      <c r="G3853" t="s">
        <v>751</v>
      </c>
      <c r="H3853">
        <v>430</v>
      </c>
      <c r="I3853">
        <v>330</v>
      </c>
      <c r="J3853">
        <v>340</v>
      </c>
      <c r="K3853">
        <v>310</v>
      </c>
      <c r="L3853">
        <v>275</v>
      </c>
      <c r="CD3853">
        <v>140</v>
      </c>
      <c r="CE3853">
        <v>240</v>
      </c>
      <c r="CF3853">
        <v>160</v>
      </c>
      <c r="CG3853">
        <v>230</v>
      </c>
      <c r="CH3853" t="str">
        <f t="shared" si="60"/>
        <v>D-0390</v>
      </c>
    </row>
    <row r="3854" spans="1:86">
      <c r="A3854" t="s">
        <v>1591</v>
      </c>
      <c r="B3854">
        <v>925</v>
      </c>
      <c r="C3854" t="s">
        <v>750</v>
      </c>
      <c r="D3854" t="s">
        <v>282</v>
      </c>
      <c r="E3854" t="s">
        <v>639</v>
      </c>
      <c r="F3854" t="s">
        <v>699</v>
      </c>
      <c r="G3854" t="s">
        <v>751</v>
      </c>
      <c r="H3854">
        <v>110</v>
      </c>
      <c r="I3854">
        <v>60</v>
      </c>
      <c r="J3854">
        <v>110</v>
      </c>
      <c r="K3854">
        <v>80</v>
      </c>
      <c r="L3854">
        <v>65</v>
      </c>
      <c r="CD3854">
        <v>70</v>
      </c>
      <c r="CE3854">
        <v>40</v>
      </c>
      <c r="CF3854">
        <v>60</v>
      </c>
      <c r="CG3854">
        <v>70</v>
      </c>
      <c r="CH3854" t="str">
        <f t="shared" si="60"/>
        <v>D-0390</v>
      </c>
    </row>
    <row r="3855" spans="1:86">
      <c r="A3855" t="s">
        <v>1593</v>
      </c>
      <c r="B3855">
        <v>30</v>
      </c>
      <c r="C3855" t="s">
        <v>750</v>
      </c>
      <c r="D3855" t="s">
        <v>282</v>
      </c>
      <c r="E3855" t="s">
        <v>639</v>
      </c>
      <c r="F3855" t="s">
        <v>699</v>
      </c>
      <c r="G3855" t="s">
        <v>751</v>
      </c>
      <c r="I3855">
        <v>5</v>
      </c>
      <c r="K3855">
        <v>5</v>
      </c>
      <c r="CD3855">
        <v>5</v>
      </c>
      <c r="CF3855">
        <v>5</v>
      </c>
      <c r="CH3855" t="str">
        <f t="shared" si="60"/>
        <v>D-0390</v>
      </c>
    </row>
    <row r="3856" spans="1:86">
      <c r="A3856" t="s">
        <v>1595</v>
      </c>
      <c r="B3856">
        <v>227</v>
      </c>
      <c r="C3856" t="s">
        <v>750</v>
      </c>
      <c r="D3856" t="s">
        <v>282</v>
      </c>
      <c r="E3856" t="s">
        <v>639</v>
      </c>
      <c r="F3856" t="s">
        <v>699</v>
      </c>
      <c r="G3856" t="s">
        <v>751</v>
      </c>
      <c r="H3856">
        <v>25</v>
      </c>
      <c r="I3856">
        <v>30</v>
      </c>
      <c r="K3856">
        <v>30</v>
      </c>
      <c r="L3856">
        <v>32</v>
      </c>
      <c r="CD3856">
        <v>20</v>
      </c>
      <c r="CE3856">
        <v>20</v>
      </c>
      <c r="CF3856">
        <v>20</v>
      </c>
      <c r="CH3856" t="str">
        <f t="shared" si="60"/>
        <v>D-0390</v>
      </c>
    </row>
    <row r="3857" spans="1:86">
      <c r="A3857" t="s">
        <v>1597</v>
      </c>
      <c r="B3857">
        <v>242</v>
      </c>
      <c r="C3857" t="s">
        <v>750</v>
      </c>
      <c r="D3857" t="s">
        <v>282</v>
      </c>
      <c r="E3857" t="s">
        <v>639</v>
      </c>
      <c r="F3857" t="s">
        <v>699</v>
      </c>
      <c r="G3857" t="s">
        <v>751</v>
      </c>
      <c r="H3857">
        <v>62</v>
      </c>
      <c r="CF3857">
        <v>60</v>
      </c>
      <c r="CH3857" t="str">
        <f t="shared" si="60"/>
        <v>D-0390</v>
      </c>
    </row>
    <row r="3858" spans="1:86">
      <c r="A3858" t="s">
        <v>1599</v>
      </c>
      <c r="B3858">
        <v>25</v>
      </c>
      <c r="C3858" t="s">
        <v>750</v>
      </c>
      <c r="D3858" t="s">
        <v>282</v>
      </c>
      <c r="E3858" t="s">
        <v>639</v>
      </c>
      <c r="F3858" t="s">
        <v>699</v>
      </c>
      <c r="G3858" t="s">
        <v>751</v>
      </c>
      <c r="H3858">
        <v>5</v>
      </c>
      <c r="I3858">
        <v>5</v>
      </c>
      <c r="J3858">
        <v>5</v>
      </c>
      <c r="K3858">
        <v>5</v>
      </c>
      <c r="L3858">
        <v>5</v>
      </c>
      <c r="CH3858" t="str">
        <f t="shared" si="60"/>
        <v>D-0390</v>
      </c>
    </row>
    <row r="3859" spans="1:86">
      <c r="A3859" t="s">
        <v>1601</v>
      </c>
      <c r="B3859">
        <v>80</v>
      </c>
      <c r="C3859" t="s">
        <v>750</v>
      </c>
      <c r="D3859" t="s">
        <v>282</v>
      </c>
      <c r="E3859" t="s">
        <v>639</v>
      </c>
      <c r="F3859" t="s">
        <v>699</v>
      </c>
      <c r="G3859" t="s">
        <v>751</v>
      </c>
      <c r="H3859">
        <v>20</v>
      </c>
      <c r="J3859">
        <v>20</v>
      </c>
      <c r="CE3859">
        <v>10</v>
      </c>
      <c r="CG3859">
        <v>10</v>
      </c>
      <c r="CH3859" t="str">
        <f t="shared" si="60"/>
        <v>D-0390</v>
      </c>
    </row>
    <row r="3860" spans="1:86">
      <c r="A3860" t="s">
        <v>1604</v>
      </c>
      <c r="B3860">
        <v>252</v>
      </c>
      <c r="C3860" t="s">
        <v>750</v>
      </c>
      <c r="D3860" t="s">
        <v>282</v>
      </c>
      <c r="E3860" t="s">
        <v>639</v>
      </c>
      <c r="F3860" t="s">
        <v>699</v>
      </c>
      <c r="G3860" t="s">
        <v>751</v>
      </c>
      <c r="H3860">
        <v>30</v>
      </c>
      <c r="I3860">
        <v>20</v>
      </c>
      <c r="J3860">
        <v>20</v>
      </c>
      <c r="K3860">
        <v>30</v>
      </c>
      <c r="L3860">
        <v>32</v>
      </c>
      <c r="CD3860">
        <v>10</v>
      </c>
      <c r="CE3860">
        <v>20</v>
      </c>
      <c r="CF3860">
        <v>10</v>
      </c>
      <c r="CG3860">
        <v>20</v>
      </c>
      <c r="CH3860" t="str">
        <f t="shared" si="60"/>
        <v>D-0390</v>
      </c>
    </row>
    <row r="3861" spans="1:86">
      <c r="A3861" t="s">
        <v>1607</v>
      </c>
      <c r="B3861">
        <v>40</v>
      </c>
      <c r="C3861" t="s">
        <v>750</v>
      </c>
      <c r="D3861" t="s">
        <v>282</v>
      </c>
      <c r="E3861" t="s">
        <v>639</v>
      </c>
      <c r="F3861" t="s">
        <v>699</v>
      </c>
      <c r="G3861" t="s">
        <v>751</v>
      </c>
      <c r="H3861">
        <v>5</v>
      </c>
      <c r="I3861">
        <v>5</v>
      </c>
      <c r="CE3861">
        <v>5</v>
      </c>
      <c r="CF3861">
        <v>5</v>
      </c>
      <c r="CG3861">
        <v>5</v>
      </c>
      <c r="CH3861" t="str">
        <f t="shared" si="60"/>
        <v>D-0390</v>
      </c>
    </row>
    <row r="3862" spans="1:86">
      <c r="A3862" t="s">
        <v>1611</v>
      </c>
      <c r="B3862">
        <v>50</v>
      </c>
      <c r="C3862" t="s">
        <v>750</v>
      </c>
      <c r="D3862" t="s">
        <v>282</v>
      </c>
      <c r="E3862" t="s">
        <v>639</v>
      </c>
      <c r="F3862" t="s">
        <v>699</v>
      </c>
      <c r="G3862" t="s">
        <v>751</v>
      </c>
      <c r="I3862">
        <v>20</v>
      </c>
      <c r="CD3862">
        <v>10</v>
      </c>
      <c r="CG3862">
        <v>10</v>
      </c>
      <c r="CH3862" t="str">
        <f t="shared" si="60"/>
        <v>D-0390</v>
      </c>
    </row>
    <row r="3863" spans="1:86">
      <c r="A3863" t="s">
        <v>1613</v>
      </c>
      <c r="B3863">
        <v>90</v>
      </c>
      <c r="C3863" t="s">
        <v>750</v>
      </c>
      <c r="D3863" t="s">
        <v>282</v>
      </c>
      <c r="E3863" t="s">
        <v>639</v>
      </c>
      <c r="F3863" t="s">
        <v>699</v>
      </c>
      <c r="G3863" t="s">
        <v>751</v>
      </c>
      <c r="H3863">
        <v>10</v>
      </c>
      <c r="I3863">
        <v>10</v>
      </c>
      <c r="J3863">
        <v>10</v>
      </c>
      <c r="L3863">
        <v>10</v>
      </c>
      <c r="CD3863">
        <v>10</v>
      </c>
      <c r="CE3863">
        <v>10</v>
      </c>
      <c r="CF3863">
        <v>10</v>
      </c>
      <c r="CH3863" t="str">
        <f t="shared" si="60"/>
        <v>D-0390</v>
      </c>
    </row>
    <row r="3864" spans="1:86">
      <c r="A3864" t="s">
        <v>1624</v>
      </c>
      <c r="B3864">
        <v>20</v>
      </c>
      <c r="C3864" t="s">
        <v>1012</v>
      </c>
      <c r="D3864" t="s">
        <v>284</v>
      </c>
      <c r="E3864" t="s">
        <v>698</v>
      </c>
      <c r="F3864" t="s">
        <v>699</v>
      </c>
      <c r="G3864" t="s">
        <v>751</v>
      </c>
      <c r="M3864">
        <v>10</v>
      </c>
      <c r="S3864">
        <v>10</v>
      </c>
      <c r="CH3864" t="str">
        <f t="shared" si="60"/>
        <v>D-0391</v>
      </c>
    </row>
    <row r="3865" spans="1:86">
      <c r="A3865" t="s">
        <v>1648</v>
      </c>
      <c r="B3865">
        <v>1146</v>
      </c>
      <c r="C3865" t="s">
        <v>1542</v>
      </c>
      <c r="D3865" t="s">
        <v>261</v>
      </c>
      <c r="E3865" t="s">
        <v>629</v>
      </c>
      <c r="F3865" t="s">
        <v>635</v>
      </c>
      <c r="G3865" t="s">
        <v>1516</v>
      </c>
      <c r="L3865">
        <v>12</v>
      </c>
      <c r="M3865">
        <v>12</v>
      </c>
      <c r="N3865">
        <v>12</v>
      </c>
      <c r="O3865">
        <v>12</v>
      </c>
      <c r="P3865">
        <v>12</v>
      </c>
      <c r="Q3865">
        <v>24</v>
      </c>
      <c r="R3865">
        <v>36</v>
      </c>
      <c r="S3865">
        <v>36</v>
      </c>
      <c r="T3865">
        <v>60</v>
      </c>
      <c r="U3865">
        <v>48</v>
      </c>
      <c r="V3865">
        <v>72</v>
      </c>
      <c r="W3865">
        <v>72</v>
      </c>
      <c r="X3865">
        <v>60</v>
      </c>
      <c r="Y3865">
        <v>72</v>
      </c>
      <c r="Z3865">
        <v>84</v>
      </c>
      <c r="AA3865">
        <v>60</v>
      </c>
      <c r="AB3865">
        <v>84</v>
      </c>
      <c r="AC3865">
        <v>60</v>
      </c>
      <c r="AD3865">
        <v>96</v>
      </c>
      <c r="AF3865">
        <v>96</v>
      </c>
      <c r="AH3865">
        <v>72</v>
      </c>
      <c r="AJ3865">
        <v>48</v>
      </c>
      <c r="AL3865">
        <v>6</v>
      </c>
      <c r="CH3865" t="str">
        <f t="shared" si="60"/>
        <v>D-0310</v>
      </c>
    </row>
    <row r="3866" spans="1:86">
      <c r="A3866" t="s">
        <v>1649</v>
      </c>
      <c r="B3866">
        <v>228</v>
      </c>
      <c r="C3866" t="s">
        <v>1542</v>
      </c>
      <c r="D3866" t="s">
        <v>261</v>
      </c>
      <c r="E3866" t="s">
        <v>629</v>
      </c>
      <c r="F3866" t="s">
        <v>635</v>
      </c>
      <c r="G3866" t="s">
        <v>1516</v>
      </c>
      <c r="M3866">
        <v>12</v>
      </c>
      <c r="N3866">
        <v>12</v>
      </c>
      <c r="O3866">
        <v>12</v>
      </c>
      <c r="P3866">
        <v>12</v>
      </c>
      <c r="Q3866">
        <v>12</v>
      </c>
      <c r="R3866">
        <v>12</v>
      </c>
      <c r="S3866">
        <v>12</v>
      </c>
      <c r="T3866">
        <v>12</v>
      </c>
      <c r="U3866">
        <v>12</v>
      </c>
      <c r="V3866">
        <v>12</v>
      </c>
      <c r="W3866">
        <v>12</v>
      </c>
      <c r="X3866">
        <v>12</v>
      </c>
      <c r="Y3866">
        <v>12</v>
      </c>
      <c r="Z3866">
        <v>12</v>
      </c>
      <c r="AA3866">
        <v>12</v>
      </c>
      <c r="AB3866">
        <v>12</v>
      </c>
      <c r="AC3866">
        <v>12</v>
      </c>
      <c r="AD3866">
        <v>12</v>
      </c>
      <c r="AF3866">
        <v>12</v>
      </c>
      <c r="CH3866" t="str">
        <f t="shared" si="60"/>
        <v>D-0310</v>
      </c>
    </row>
    <row r="3867" spans="1:86">
      <c r="A3867" t="s">
        <v>1658</v>
      </c>
      <c r="B3867">
        <v>228</v>
      </c>
      <c r="C3867" t="s">
        <v>1542</v>
      </c>
      <c r="D3867" t="s">
        <v>261</v>
      </c>
      <c r="E3867" t="s">
        <v>629</v>
      </c>
      <c r="F3867" t="s">
        <v>635</v>
      </c>
      <c r="G3867" t="s">
        <v>1516</v>
      </c>
      <c r="T3867">
        <v>19</v>
      </c>
      <c r="U3867">
        <v>38</v>
      </c>
      <c r="V3867">
        <v>38</v>
      </c>
      <c r="W3867">
        <v>38</v>
      </c>
      <c r="X3867">
        <v>38</v>
      </c>
      <c r="Y3867">
        <v>19</v>
      </c>
      <c r="Z3867">
        <v>19</v>
      </c>
      <c r="AA3867">
        <v>19</v>
      </c>
      <c r="CH3867" t="str">
        <f t="shared" si="60"/>
        <v>D-0310</v>
      </c>
    </row>
    <row r="3868" spans="1:86">
      <c r="A3868" t="s">
        <v>1671</v>
      </c>
      <c r="B3868">
        <v>156</v>
      </c>
      <c r="C3868" t="s">
        <v>1542</v>
      </c>
      <c r="D3868" t="s">
        <v>261</v>
      </c>
      <c r="E3868" t="s">
        <v>629</v>
      </c>
      <c r="F3868" t="s">
        <v>635</v>
      </c>
      <c r="G3868" t="s">
        <v>1516</v>
      </c>
      <c r="T3868">
        <v>26</v>
      </c>
      <c r="V3868">
        <v>39</v>
      </c>
      <c r="X3868">
        <v>39</v>
      </c>
      <c r="Z3868">
        <v>26</v>
      </c>
      <c r="AB3868">
        <v>13</v>
      </c>
      <c r="AD3868">
        <v>13</v>
      </c>
      <c r="CH3868" t="str">
        <f t="shared" si="60"/>
        <v>D-0310</v>
      </c>
    </row>
    <row r="3869" spans="1:86">
      <c r="A3869" t="s">
        <v>1728</v>
      </c>
      <c r="B3869">
        <v>1848</v>
      </c>
      <c r="C3869" t="s">
        <v>1729</v>
      </c>
      <c r="D3869" t="s">
        <v>261</v>
      </c>
      <c r="E3869" t="s">
        <v>629</v>
      </c>
      <c r="F3869" t="s">
        <v>635</v>
      </c>
      <c r="G3869" t="s">
        <v>1516</v>
      </c>
      <c r="L3869">
        <v>12</v>
      </c>
      <c r="M3869">
        <v>72</v>
      </c>
      <c r="N3869">
        <v>60</v>
      </c>
      <c r="O3869">
        <v>144</v>
      </c>
      <c r="P3869">
        <v>108</v>
      </c>
      <c r="Q3869">
        <v>240</v>
      </c>
      <c r="R3869">
        <v>240</v>
      </c>
      <c r="S3869">
        <v>96</v>
      </c>
      <c r="T3869">
        <v>168</v>
      </c>
      <c r="U3869">
        <v>120</v>
      </c>
      <c r="V3869">
        <v>96</v>
      </c>
      <c r="W3869">
        <v>96</v>
      </c>
      <c r="X3869">
        <v>96</v>
      </c>
      <c r="Y3869">
        <v>84</v>
      </c>
      <c r="Z3869">
        <v>72</v>
      </c>
      <c r="AA3869">
        <v>36</v>
      </c>
      <c r="AB3869">
        <v>48</v>
      </c>
      <c r="AC3869">
        <v>24</v>
      </c>
      <c r="AD3869">
        <v>24</v>
      </c>
      <c r="AF3869">
        <v>12</v>
      </c>
      <c r="CH3869" t="str">
        <f t="shared" si="60"/>
        <v>D-0310</v>
      </c>
    </row>
    <row r="3870" spans="1:86">
      <c r="A3870" t="s">
        <v>1730</v>
      </c>
      <c r="B3870">
        <v>192</v>
      </c>
      <c r="C3870" t="s">
        <v>1729</v>
      </c>
      <c r="D3870" t="s">
        <v>261</v>
      </c>
      <c r="E3870" t="s">
        <v>629</v>
      </c>
      <c r="F3870" t="s">
        <v>635</v>
      </c>
      <c r="G3870" t="s">
        <v>1516</v>
      </c>
      <c r="N3870">
        <v>12</v>
      </c>
      <c r="P3870">
        <v>24</v>
      </c>
      <c r="R3870">
        <v>36</v>
      </c>
      <c r="T3870">
        <v>36</v>
      </c>
      <c r="V3870">
        <v>24</v>
      </c>
      <c r="X3870">
        <v>24</v>
      </c>
      <c r="Z3870">
        <v>24</v>
      </c>
      <c r="AB3870">
        <v>12</v>
      </c>
      <c r="CH3870" t="str">
        <f t="shared" si="60"/>
        <v>D-0310</v>
      </c>
    </row>
    <row r="3871" spans="1:86">
      <c r="A3871" t="s">
        <v>1771</v>
      </c>
      <c r="B3871">
        <v>1512</v>
      </c>
      <c r="C3871" t="s">
        <v>1746</v>
      </c>
      <c r="D3871" t="s">
        <v>410</v>
      </c>
      <c r="E3871" t="s">
        <v>629</v>
      </c>
      <c r="F3871" t="s">
        <v>652</v>
      </c>
      <c r="G3871" t="s">
        <v>1742</v>
      </c>
      <c r="O3871">
        <v>12</v>
      </c>
      <c r="P3871">
        <v>12</v>
      </c>
      <c r="Q3871">
        <v>12</v>
      </c>
      <c r="R3871">
        <v>12</v>
      </c>
      <c r="S3871">
        <v>24</v>
      </c>
      <c r="T3871">
        <v>24</v>
      </c>
      <c r="U3871">
        <v>12</v>
      </c>
      <c r="V3871">
        <v>24</v>
      </c>
      <c r="W3871">
        <v>120</v>
      </c>
      <c r="X3871">
        <v>108</v>
      </c>
      <c r="Y3871">
        <v>168</v>
      </c>
      <c r="Z3871">
        <v>156</v>
      </c>
      <c r="AA3871">
        <v>180</v>
      </c>
      <c r="AB3871">
        <v>180</v>
      </c>
      <c r="AC3871">
        <v>156</v>
      </c>
      <c r="AD3871">
        <v>84</v>
      </c>
      <c r="AE3871">
        <v>120</v>
      </c>
      <c r="AG3871">
        <v>72</v>
      </c>
      <c r="AI3871">
        <v>36</v>
      </c>
      <c r="CH3871" t="str">
        <f t="shared" si="60"/>
        <v>D-0591</v>
      </c>
    </row>
    <row r="3872" spans="1:86">
      <c r="A3872" t="s">
        <v>1800</v>
      </c>
      <c r="B3872">
        <v>282</v>
      </c>
      <c r="C3872" t="s">
        <v>1746</v>
      </c>
      <c r="D3872" t="s">
        <v>410</v>
      </c>
      <c r="E3872" t="s">
        <v>629</v>
      </c>
      <c r="F3872" t="s">
        <v>652</v>
      </c>
      <c r="G3872" t="s">
        <v>1742</v>
      </c>
      <c r="M3872">
        <v>2</v>
      </c>
      <c r="N3872">
        <v>12</v>
      </c>
      <c r="O3872">
        <v>4</v>
      </c>
      <c r="P3872">
        <v>21</v>
      </c>
      <c r="Q3872">
        <v>7</v>
      </c>
      <c r="R3872">
        <v>29</v>
      </c>
      <c r="S3872">
        <v>28</v>
      </c>
      <c r="T3872">
        <v>6</v>
      </c>
      <c r="U3872">
        <v>23</v>
      </c>
      <c r="V3872">
        <v>21</v>
      </c>
      <c r="W3872">
        <v>6</v>
      </c>
      <c r="X3872">
        <v>24</v>
      </c>
      <c r="Y3872">
        <v>8</v>
      </c>
      <c r="Z3872">
        <v>29</v>
      </c>
      <c r="AA3872">
        <v>29</v>
      </c>
      <c r="AB3872">
        <v>5</v>
      </c>
      <c r="AC3872">
        <v>16</v>
      </c>
      <c r="AD3872">
        <v>8</v>
      </c>
      <c r="AE3872">
        <v>3</v>
      </c>
      <c r="AG3872">
        <v>1</v>
      </c>
      <c r="CH3872" t="str">
        <f t="shared" si="60"/>
        <v>D-0591</v>
      </c>
    </row>
    <row r="3873" spans="1:86">
      <c r="A3873" t="s">
        <v>1830</v>
      </c>
      <c r="B3873">
        <v>195</v>
      </c>
      <c r="C3873" t="s">
        <v>1746</v>
      </c>
      <c r="D3873" t="s">
        <v>410</v>
      </c>
      <c r="E3873" t="s">
        <v>629</v>
      </c>
      <c r="F3873" t="s">
        <v>652</v>
      </c>
      <c r="G3873" t="s">
        <v>1742</v>
      </c>
      <c r="M3873">
        <v>1</v>
      </c>
      <c r="O3873">
        <v>4</v>
      </c>
      <c r="Q3873">
        <v>14</v>
      </c>
      <c r="S3873">
        <v>18</v>
      </c>
      <c r="U3873">
        <v>26</v>
      </c>
      <c r="W3873">
        <v>34</v>
      </c>
      <c r="Y3873">
        <v>37</v>
      </c>
      <c r="AA3873">
        <v>32</v>
      </c>
      <c r="AC3873">
        <v>18</v>
      </c>
      <c r="AE3873">
        <v>8</v>
      </c>
      <c r="AG3873">
        <v>3</v>
      </c>
      <c r="CH3873" t="str">
        <f t="shared" si="60"/>
        <v>D-0591</v>
      </c>
    </row>
    <row r="3874" spans="1:86">
      <c r="A3874" t="s">
        <v>1840</v>
      </c>
      <c r="B3874">
        <v>26</v>
      </c>
      <c r="C3874" t="s">
        <v>1746</v>
      </c>
      <c r="D3874" t="s">
        <v>410</v>
      </c>
      <c r="E3874" t="s">
        <v>629</v>
      </c>
      <c r="F3874" t="s">
        <v>652</v>
      </c>
      <c r="G3874" t="s">
        <v>1742</v>
      </c>
      <c r="Q3874">
        <v>1</v>
      </c>
      <c r="S3874">
        <v>3</v>
      </c>
      <c r="U3874">
        <v>4</v>
      </c>
      <c r="W3874">
        <v>4</v>
      </c>
      <c r="Y3874">
        <v>5</v>
      </c>
      <c r="AA3874">
        <v>5</v>
      </c>
      <c r="AC3874">
        <v>3</v>
      </c>
      <c r="AE3874">
        <v>1</v>
      </c>
      <c r="CH3874" t="str">
        <f t="shared" si="60"/>
        <v>D-0591</v>
      </c>
    </row>
    <row r="3875" spans="1:86">
      <c r="A3875" t="s">
        <v>1863</v>
      </c>
      <c r="B3875">
        <v>180</v>
      </c>
      <c r="C3875" t="s">
        <v>1746</v>
      </c>
      <c r="D3875" t="s">
        <v>410</v>
      </c>
      <c r="E3875" t="s">
        <v>629</v>
      </c>
      <c r="F3875" t="s">
        <v>652</v>
      </c>
      <c r="G3875" t="s">
        <v>1742</v>
      </c>
      <c r="U3875">
        <v>15</v>
      </c>
      <c r="V3875">
        <v>30</v>
      </c>
      <c r="W3875">
        <v>30</v>
      </c>
      <c r="X3875">
        <v>30</v>
      </c>
      <c r="Y3875">
        <v>30</v>
      </c>
      <c r="Z3875">
        <v>15</v>
      </c>
      <c r="AA3875">
        <v>15</v>
      </c>
      <c r="AB3875">
        <v>15</v>
      </c>
      <c r="CH3875" t="str">
        <f t="shared" si="60"/>
        <v>D-0591</v>
      </c>
    </row>
    <row r="3876" spans="1:86">
      <c r="A3876" t="s">
        <v>1913</v>
      </c>
      <c r="B3876">
        <v>1728</v>
      </c>
      <c r="C3876" t="s">
        <v>1746</v>
      </c>
      <c r="D3876" t="s">
        <v>410</v>
      </c>
      <c r="E3876" t="s">
        <v>629</v>
      </c>
      <c r="F3876" t="s">
        <v>652</v>
      </c>
      <c r="G3876" t="s">
        <v>1742</v>
      </c>
      <c r="M3876">
        <v>24</v>
      </c>
      <c r="N3876">
        <v>48</v>
      </c>
      <c r="O3876">
        <v>48</v>
      </c>
      <c r="P3876">
        <v>156</v>
      </c>
      <c r="Q3876">
        <v>84</v>
      </c>
      <c r="R3876">
        <v>120</v>
      </c>
      <c r="S3876">
        <v>108</v>
      </c>
      <c r="T3876">
        <v>48</v>
      </c>
      <c r="U3876">
        <v>180</v>
      </c>
      <c r="V3876">
        <v>228</v>
      </c>
      <c r="W3876">
        <v>84</v>
      </c>
      <c r="X3876">
        <v>264</v>
      </c>
      <c r="Y3876">
        <v>108</v>
      </c>
      <c r="Z3876">
        <v>156</v>
      </c>
      <c r="AA3876">
        <v>36</v>
      </c>
      <c r="AB3876">
        <v>12</v>
      </c>
      <c r="AC3876">
        <v>12</v>
      </c>
      <c r="AD3876">
        <v>12</v>
      </c>
      <c r="CH3876" t="str">
        <f t="shared" si="60"/>
        <v>D-0591</v>
      </c>
    </row>
    <row r="3877" spans="1:86">
      <c r="A3877" t="s">
        <v>1919</v>
      </c>
      <c r="B3877">
        <v>624</v>
      </c>
      <c r="C3877" t="s">
        <v>1746</v>
      </c>
      <c r="D3877" t="s">
        <v>410</v>
      </c>
      <c r="E3877" t="s">
        <v>629</v>
      </c>
      <c r="F3877" t="s">
        <v>652</v>
      </c>
      <c r="G3877" t="s">
        <v>1742</v>
      </c>
      <c r="M3877">
        <v>12</v>
      </c>
      <c r="N3877">
        <v>12</v>
      </c>
      <c r="O3877">
        <v>48</v>
      </c>
      <c r="P3877">
        <v>24</v>
      </c>
      <c r="Q3877">
        <v>84</v>
      </c>
      <c r="R3877">
        <v>36</v>
      </c>
      <c r="T3877">
        <v>60</v>
      </c>
      <c r="U3877">
        <v>12</v>
      </c>
      <c r="V3877">
        <v>72</v>
      </c>
      <c r="W3877">
        <v>36</v>
      </c>
      <c r="X3877">
        <v>108</v>
      </c>
      <c r="Y3877">
        <v>48</v>
      </c>
      <c r="Z3877">
        <v>48</v>
      </c>
      <c r="AA3877">
        <v>12</v>
      </c>
      <c r="AB3877">
        <v>12</v>
      </c>
      <c r="CH3877" t="str">
        <f t="shared" si="60"/>
        <v>D-0591</v>
      </c>
    </row>
    <row r="3878" spans="1:86">
      <c r="A3878" t="s">
        <v>1937</v>
      </c>
      <c r="B3878">
        <v>115</v>
      </c>
      <c r="C3878" t="s">
        <v>1746</v>
      </c>
      <c r="D3878" t="s">
        <v>410</v>
      </c>
      <c r="E3878" t="s">
        <v>629</v>
      </c>
      <c r="F3878" t="s">
        <v>652</v>
      </c>
      <c r="G3878" t="s">
        <v>1742</v>
      </c>
      <c r="M3878">
        <v>1</v>
      </c>
      <c r="N3878">
        <v>4</v>
      </c>
      <c r="O3878">
        <v>3</v>
      </c>
      <c r="P3878">
        <v>6</v>
      </c>
      <c r="Q3878">
        <v>7</v>
      </c>
      <c r="R3878">
        <v>8</v>
      </c>
      <c r="S3878">
        <v>4</v>
      </c>
      <c r="T3878">
        <v>5</v>
      </c>
      <c r="U3878">
        <v>10</v>
      </c>
      <c r="V3878">
        <v>12</v>
      </c>
      <c r="W3878">
        <v>4</v>
      </c>
      <c r="X3878">
        <v>11</v>
      </c>
      <c r="Y3878">
        <v>8</v>
      </c>
      <c r="Z3878">
        <v>11</v>
      </c>
      <c r="AA3878">
        <v>10</v>
      </c>
      <c r="AB3878">
        <v>2</v>
      </c>
      <c r="AC3878">
        <v>6</v>
      </c>
      <c r="AD3878">
        <v>2</v>
      </c>
      <c r="AE3878">
        <v>1</v>
      </c>
      <c r="CH3878" t="str">
        <f t="shared" si="60"/>
        <v>D-0591</v>
      </c>
    </row>
    <row r="3879" spans="1:86">
      <c r="A3879" t="s">
        <v>1946</v>
      </c>
      <c r="B3879">
        <v>246</v>
      </c>
      <c r="C3879" t="s">
        <v>1746</v>
      </c>
      <c r="D3879" t="s">
        <v>410</v>
      </c>
      <c r="E3879" t="s">
        <v>629</v>
      </c>
      <c r="F3879" t="s">
        <v>652</v>
      </c>
      <c r="G3879" t="s">
        <v>1742</v>
      </c>
      <c r="M3879">
        <v>1</v>
      </c>
      <c r="O3879">
        <v>5</v>
      </c>
      <c r="Q3879">
        <v>9</v>
      </c>
      <c r="S3879">
        <v>10</v>
      </c>
      <c r="U3879">
        <v>16</v>
      </c>
      <c r="W3879">
        <v>34</v>
      </c>
      <c r="Y3879">
        <v>43</v>
      </c>
      <c r="AA3879">
        <v>55</v>
      </c>
      <c r="AC3879">
        <v>43</v>
      </c>
      <c r="AE3879">
        <v>26</v>
      </c>
      <c r="AG3879">
        <v>4</v>
      </c>
      <c r="CH3879" t="str">
        <f t="shared" si="60"/>
        <v>D-0591</v>
      </c>
    </row>
    <row r="3880" spans="1:86">
      <c r="A3880" t="s">
        <v>1948</v>
      </c>
      <c r="B3880">
        <v>63</v>
      </c>
      <c r="C3880" t="s">
        <v>1746</v>
      </c>
      <c r="D3880" t="s">
        <v>410</v>
      </c>
      <c r="E3880" t="s">
        <v>629</v>
      </c>
      <c r="F3880" t="s">
        <v>652</v>
      </c>
      <c r="G3880" t="s">
        <v>1742</v>
      </c>
      <c r="Q3880">
        <v>6</v>
      </c>
      <c r="S3880">
        <v>9</v>
      </c>
      <c r="U3880">
        <v>9</v>
      </c>
      <c r="W3880">
        <v>8</v>
      </c>
      <c r="Y3880">
        <v>8</v>
      </c>
      <c r="AA3880">
        <v>9</v>
      </c>
      <c r="AC3880">
        <v>8</v>
      </c>
      <c r="AE3880">
        <v>6</v>
      </c>
      <c r="CH3880" t="str">
        <f t="shared" si="60"/>
        <v>D-0591</v>
      </c>
    </row>
    <row r="3881" spans="1:86">
      <c r="A3881" t="s">
        <v>1950</v>
      </c>
      <c r="B3881">
        <v>384</v>
      </c>
      <c r="C3881" t="s">
        <v>1746</v>
      </c>
      <c r="D3881" t="s">
        <v>410</v>
      </c>
      <c r="E3881" t="s">
        <v>629</v>
      </c>
      <c r="F3881" t="s">
        <v>652</v>
      </c>
      <c r="G3881" t="s">
        <v>1742</v>
      </c>
      <c r="N3881">
        <v>24</v>
      </c>
      <c r="P3881">
        <v>60</v>
      </c>
      <c r="R3881">
        <v>60</v>
      </c>
      <c r="S3881">
        <v>60</v>
      </c>
      <c r="U3881">
        <v>60</v>
      </c>
      <c r="V3881">
        <v>48</v>
      </c>
      <c r="X3881">
        <v>48</v>
      </c>
      <c r="Z3881">
        <v>12</v>
      </c>
      <c r="AA3881">
        <v>12</v>
      </c>
      <c r="CH3881" t="str">
        <f t="shared" si="60"/>
        <v>D-0591</v>
      </c>
    </row>
    <row r="3882" spans="1:86">
      <c r="A3882" t="s">
        <v>1951</v>
      </c>
      <c r="B3882">
        <v>168</v>
      </c>
      <c r="C3882" t="s">
        <v>1746</v>
      </c>
      <c r="D3882" t="s">
        <v>410</v>
      </c>
      <c r="E3882" t="s">
        <v>629</v>
      </c>
      <c r="F3882" t="s">
        <v>652</v>
      </c>
      <c r="G3882" t="s">
        <v>1742</v>
      </c>
      <c r="P3882">
        <v>24</v>
      </c>
      <c r="R3882">
        <v>24</v>
      </c>
      <c r="S3882">
        <v>24</v>
      </c>
      <c r="U3882">
        <v>24</v>
      </c>
      <c r="V3882">
        <v>24</v>
      </c>
      <c r="X3882">
        <v>24</v>
      </c>
      <c r="Z3882">
        <v>12</v>
      </c>
      <c r="AA3882">
        <v>12</v>
      </c>
      <c r="CH3882" t="str">
        <f t="shared" si="60"/>
        <v>D-0591</v>
      </c>
    </row>
    <row r="3883" spans="1:86">
      <c r="A3883" t="s">
        <v>1956</v>
      </c>
      <c r="B3883">
        <v>144</v>
      </c>
      <c r="C3883" t="s">
        <v>1746</v>
      </c>
      <c r="D3883" t="s">
        <v>410</v>
      </c>
      <c r="E3883" t="s">
        <v>629</v>
      </c>
      <c r="F3883" t="s">
        <v>652</v>
      </c>
      <c r="G3883" t="s">
        <v>1742</v>
      </c>
      <c r="O3883">
        <v>12</v>
      </c>
      <c r="P3883">
        <v>12</v>
      </c>
      <c r="R3883">
        <v>12</v>
      </c>
      <c r="T3883">
        <v>12</v>
      </c>
      <c r="U3883">
        <v>12</v>
      </c>
      <c r="W3883">
        <v>12</v>
      </c>
      <c r="X3883">
        <v>24</v>
      </c>
      <c r="Z3883">
        <v>12</v>
      </c>
      <c r="AA3883">
        <v>12</v>
      </c>
      <c r="AC3883">
        <v>12</v>
      </c>
      <c r="AD3883">
        <v>12</v>
      </c>
      <c r="CH3883" t="str">
        <f t="shared" si="60"/>
        <v>D-0591</v>
      </c>
    </row>
    <row r="3884" spans="1:86">
      <c r="A3884" t="s">
        <v>1963</v>
      </c>
      <c r="B3884">
        <v>1656</v>
      </c>
      <c r="C3884" t="s">
        <v>1746</v>
      </c>
      <c r="D3884" t="s">
        <v>410</v>
      </c>
      <c r="E3884" t="s">
        <v>629</v>
      </c>
      <c r="F3884" t="s">
        <v>652</v>
      </c>
      <c r="G3884" t="s">
        <v>1742</v>
      </c>
      <c r="U3884">
        <v>184</v>
      </c>
      <c r="V3884">
        <v>184</v>
      </c>
      <c r="X3884">
        <v>552</v>
      </c>
      <c r="Z3884">
        <v>368</v>
      </c>
      <c r="AA3884">
        <v>184</v>
      </c>
      <c r="AC3884">
        <v>184</v>
      </c>
      <c r="CH3884" t="str">
        <f t="shared" si="60"/>
        <v>D-0591</v>
      </c>
    </row>
    <row r="3885" spans="1:86">
      <c r="A3885" t="s">
        <v>1967</v>
      </c>
      <c r="B3885">
        <v>228</v>
      </c>
      <c r="C3885" t="s">
        <v>1746</v>
      </c>
      <c r="D3885" t="s">
        <v>410</v>
      </c>
      <c r="E3885" t="s">
        <v>629</v>
      </c>
      <c r="F3885" t="s">
        <v>652</v>
      </c>
      <c r="G3885" t="s">
        <v>1742</v>
      </c>
      <c r="U3885">
        <v>36</v>
      </c>
      <c r="V3885">
        <v>36</v>
      </c>
      <c r="X3885">
        <v>72</v>
      </c>
      <c r="Z3885">
        <v>36</v>
      </c>
      <c r="AA3885">
        <v>24</v>
      </c>
      <c r="AC3885">
        <v>24</v>
      </c>
      <c r="CH3885" t="str">
        <f t="shared" si="60"/>
        <v>D-0591</v>
      </c>
    </row>
    <row r="3886" spans="1:86">
      <c r="A3886" t="s">
        <v>1979</v>
      </c>
      <c r="B3886">
        <v>828</v>
      </c>
      <c r="C3886" t="s">
        <v>1746</v>
      </c>
      <c r="D3886" t="s">
        <v>410</v>
      </c>
      <c r="E3886" t="s">
        <v>629</v>
      </c>
      <c r="F3886" t="s">
        <v>652</v>
      </c>
      <c r="G3886" t="s">
        <v>1742</v>
      </c>
      <c r="U3886">
        <v>36</v>
      </c>
      <c r="V3886">
        <v>96</v>
      </c>
      <c r="W3886">
        <v>120</v>
      </c>
      <c r="X3886">
        <v>144</v>
      </c>
      <c r="Y3886">
        <v>144</v>
      </c>
      <c r="Z3886">
        <v>108</v>
      </c>
      <c r="AA3886">
        <v>84</v>
      </c>
      <c r="AB3886">
        <v>48</v>
      </c>
      <c r="AC3886">
        <v>48</v>
      </c>
      <c r="CH3886" t="str">
        <f t="shared" si="60"/>
        <v>D-0591</v>
      </c>
    </row>
    <row r="3887" spans="1:86">
      <c r="A3887" t="s">
        <v>2141</v>
      </c>
      <c r="B3887">
        <v>1413</v>
      </c>
      <c r="C3887" t="s">
        <v>2099</v>
      </c>
      <c r="D3887" t="s">
        <v>410</v>
      </c>
      <c r="E3887" t="s">
        <v>629</v>
      </c>
      <c r="F3887" t="s">
        <v>652</v>
      </c>
      <c r="G3887" t="s">
        <v>1736</v>
      </c>
      <c r="U3887">
        <v>157</v>
      </c>
      <c r="V3887">
        <v>157</v>
      </c>
      <c r="X3887">
        <v>471</v>
      </c>
      <c r="Z3887">
        <v>314</v>
      </c>
      <c r="AA3887">
        <v>157</v>
      </c>
      <c r="AC3887">
        <v>157</v>
      </c>
      <c r="CH3887" t="str">
        <f t="shared" si="60"/>
        <v>D-0591</v>
      </c>
    </row>
    <row r="3888" spans="1:86">
      <c r="A3888" t="s">
        <v>2144</v>
      </c>
      <c r="B3888">
        <v>228</v>
      </c>
      <c r="C3888" t="s">
        <v>2099</v>
      </c>
      <c r="D3888" t="s">
        <v>410</v>
      </c>
      <c r="E3888" t="s">
        <v>629</v>
      </c>
      <c r="F3888" t="s">
        <v>652</v>
      </c>
      <c r="G3888" t="s">
        <v>1736</v>
      </c>
      <c r="U3888">
        <v>36</v>
      </c>
      <c r="V3888">
        <v>36</v>
      </c>
      <c r="X3888">
        <v>72</v>
      </c>
      <c r="Z3888">
        <v>36</v>
      </c>
      <c r="AA3888">
        <v>24</v>
      </c>
      <c r="AC3888">
        <v>24</v>
      </c>
      <c r="CH3888" t="str">
        <f t="shared" si="60"/>
        <v>D-0591</v>
      </c>
    </row>
    <row r="3889" spans="1:86">
      <c r="A3889" t="s">
        <v>2145</v>
      </c>
      <c r="B3889">
        <v>72</v>
      </c>
      <c r="C3889" t="s">
        <v>2099</v>
      </c>
      <c r="D3889" t="s">
        <v>410</v>
      </c>
      <c r="E3889" t="s">
        <v>629</v>
      </c>
      <c r="F3889" t="s">
        <v>652</v>
      </c>
      <c r="G3889" t="s">
        <v>1736</v>
      </c>
      <c r="S3889">
        <v>12</v>
      </c>
      <c r="U3889">
        <v>12</v>
      </c>
      <c r="W3889">
        <v>12</v>
      </c>
      <c r="Y3889">
        <v>12</v>
      </c>
      <c r="AA3889">
        <v>12</v>
      </c>
      <c r="AC3889">
        <v>12</v>
      </c>
      <c r="CH3889" t="str">
        <f t="shared" si="60"/>
        <v>D-0591</v>
      </c>
    </row>
    <row r="3890" spans="1:86">
      <c r="A3890" t="s">
        <v>2147</v>
      </c>
      <c r="B3890">
        <v>828</v>
      </c>
      <c r="C3890" t="s">
        <v>2099</v>
      </c>
      <c r="D3890" t="s">
        <v>410</v>
      </c>
      <c r="E3890" t="s">
        <v>629</v>
      </c>
      <c r="F3890" t="s">
        <v>652</v>
      </c>
      <c r="G3890" t="s">
        <v>1736</v>
      </c>
      <c r="U3890">
        <v>36</v>
      </c>
      <c r="V3890">
        <v>96</v>
      </c>
      <c r="W3890">
        <v>120</v>
      </c>
      <c r="X3890">
        <v>144</v>
      </c>
      <c r="Y3890">
        <v>144</v>
      </c>
      <c r="Z3890">
        <v>108</v>
      </c>
      <c r="AA3890">
        <v>84</v>
      </c>
      <c r="AB3890">
        <v>48</v>
      </c>
      <c r="AC3890">
        <v>48</v>
      </c>
      <c r="CH3890" t="str">
        <f t="shared" si="60"/>
        <v>D-0591</v>
      </c>
    </row>
    <row r="3891" spans="1:86">
      <c r="A3891" t="s">
        <v>2148</v>
      </c>
      <c r="B3891">
        <v>828</v>
      </c>
      <c r="C3891" t="s">
        <v>2099</v>
      </c>
      <c r="D3891" t="s">
        <v>410</v>
      </c>
      <c r="E3891" t="s">
        <v>629</v>
      </c>
      <c r="F3891" t="s">
        <v>652</v>
      </c>
      <c r="G3891" t="s">
        <v>1736</v>
      </c>
      <c r="U3891">
        <v>36</v>
      </c>
      <c r="V3891">
        <v>96</v>
      </c>
      <c r="W3891">
        <v>120</v>
      </c>
      <c r="X3891">
        <v>144</v>
      </c>
      <c r="Y3891">
        <v>144</v>
      </c>
      <c r="Z3891">
        <v>108</v>
      </c>
      <c r="AA3891">
        <v>84</v>
      </c>
      <c r="AB3891">
        <v>48</v>
      </c>
      <c r="AC3891">
        <v>48</v>
      </c>
      <c r="CH3891" t="str">
        <f t="shared" si="60"/>
        <v>D-0591</v>
      </c>
    </row>
    <row r="3892" spans="1:86">
      <c r="A3892" t="s">
        <v>2150</v>
      </c>
      <c r="B3892">
        <v>284</v>
      </c>
      <c r="C3892" t="s">
        <v>2099</v>
      </c>
      <c r="D3892" t="s">
        <v>410</v>
      </c>
      <c r="E3892" t="s">
        <v>629</v>
      </c>
      <c r="F3892" t="s">
        <v>652</v>
      </c>
      <c r="G3892" t="s">
        <v>1736</v>
      </c>
      <c r="U3892">
        <v>40</v>
      </c>
      <c r="W3892">
        <v>69</v>
      </c>
      <c r="X3892">
        <v>6</v>
      </c>
      <c r="Y3892">
        <v>68</v>
      </c>
      <c r="Z3892">
        <v>6</v>
      </c>
      <c r="AA3892">
        <v>51</v>
      </c>
      <c r="AC3892">
        <v>24</v>
      </c>
      <c r="AE3892">
        <v>20</v>
      </c>
      <c r="CH3892" t="str">
        <f t="shared" si="60"/>
        <v>D-0591</v>
      </c>
    </row>
    <row r="3893" spans="1:86">
      <c r="A3893" t="s">
        <v>2193</v>
      </c>
      <c r="B3893">
        <v>4</v>
      </c>
      <c r="C3893" t="s">
        <v>1644</v>
      </c>
      <c r="D3893" t="s">
        <v>261</v>
      </c>
      <c r="E3893" t="s">
        <v>629</v>
      </c>
      <c r="F3893" t="s">
        <v>1645</v>
      </c>
      <c r="G3893" t="s">
        <v>1516</v>
      </c>
      <c r="V3893">
        <v>2</v>
      </c>
      <c r="X3893">
        <v>2</v>
      </c>
      <c r="CH3893" t="str">
        <f t="shared" si="60"/>
        <v>D-0310</v>
      </c>
    </row>
    <row r="3894" spans="1:86">
      <c r="A3894" t="s">
        <v>2194</v>
      </c>
      <c r="B3894">
        <v>6</v>
      </c>
      <c r="C3894" t="s">
        <v>1644</v>
      </c>
      <c r="D3894" t="s">
        <v>261</v>
      </c>
      <c r="E3894" t="s">
        <v>629</v>
      </c>
      <c r="F3894" t="s">
        <v>1645</v>
      </c>
      <c r="G3894" t="s">
        <v>1516</v>
      </c>
      <c r="V3894">
        <v>3</v>
      </c>
      <c r="X3894">
        <v>3</v>
      </c>
      <c r="CH3894" t="str">
        <f t="shared" si="60"/>
        <v>D-0310</v>
      </c>
    </row>
    <row r="3895" spans="1:86">
      <c r="A3895" t="s">
        <v>2195</v>
      </c>
      <c r="B3895">
        <v>34</v>
      </c>
      <c r="C3895" t="s">
        <v>1646</v>
      </c>
      <c r="D3895" t="s">
        <v>261</v>
      </c>
      <c r="E3895" t="s">
        <v>629</v>
      </c>
      <c r="F3895" t="s">
        <v>1645</v>
      </c>
      <c r="G3895" t="s">
        <v>1647</v>
      </c>
      <c r="V3895">
        <v>17</v>
      </c>
      <c r="X3895">
        <v>17</v>
      </c>
      <c r="CH3895" t="str">
        <f t="shared" si="60"/>
        <v>D-0310</v>
      </c>
    </row>
    <row r="3896" spans="1:86">
      <c r="A3896" t="s">
        <v>2196</v>
      </c>
      <c r="B3896">
        <v>54</v>
      </c>
      <c r="C3896" t="s">
        <v>1542</v>
      </c>
      <c r="D3896" t="s">
        <v>261</v>
      </c>
      <c r="E3896" t="s">
        <v>629</v>
      </c>
      <c r="F3896" t="s">
        <v>635</v>
      </c>
      <c r="G3896" t="s">
        <v>1516</v>
      </c>
      <c r="V3896">
        <v>27</v>
      </c>
      <c r="X3896">
        <v>27</v>
      </c>
      <c r="CH3896" t="str">
        <f t="shared" si="60"/>
        <v>D-0310</v>
      </c>
    </row>
    <row r="3897" spans="1:86">
      <c r="A3897" t="s">
        <v>2197</v>
      </c>
      <c r="B3897">
        <v>46</v>
      </c>
      <c r="C3897" t="s">
        <v>1542</v>
      </c>
      <c r="D3897" t="s">
        <v>261</v>
      </c>
      <c r="E3897" t="s">
        <v>629</v>
      </c>
      <c r="F3897" t="s">
        <v>635</v>
      </c>
      <c r="G3897" t="s">
        <v>1516</v>
      </c>
      <c r="V3897">
        <v>23</v>
      </c>
      <c r="X3897">
        <v>23</v>
      </c>
      <c r="CH3897" t="str">
        <f t="shared" si="60"/>
        <v>D-0310</v>
      </c>
    </row>
    <row r="3898" spans="1:86">
      <c r="A3898" t="s">
        <v>2204</v>
      </c>
      <c r="B3898">
        <v>10</v>
      </c>
      <c r="C3898" t="s">
        <v>1729</v>
      </c>
      <c r="D3898" t="s">
        <v>261</v>
      </c>
      <c r="E3898" t="s">
        <v>629</v>
      </c>
      <c r="F3898" t="s">
        <v>635</v>
      </c>
      <c r="G3898" t="s">
        <v>1516</v>
      </c>
      <c r="V3898">
        <v>5</v>
      </c>
      <c r="X3898">
        <v>5</v>
      </c>
      <c r="CH3898" t="str">
        <f t="shared" si="60"/>
        <v>D-0310</v>
      </c>
    </row>
    <row r="3899" spans="1:86">
      <c r="A3899" t="s">
        <v>2206</v>
      </c>
      <c r="B3899">
        <v>16</v>
      </c>
      <c r="C3899" t="s">
        <v>1553</v>
      </c>
      <c r="D3899" t="s">
        <v>261</v>
      </c>
      <c r="E3899" t="s">
        <v>629</v>
      </c>
      <c r="F3899" t="s">
        <v>635</v>
      </c>
      <c r="G3899" t="s">
        <v>1516</v>
      </c>
      <c r="V3899">
        <v>8</v>
      </c>
      <c r="X3899">
        <v>8</v>
      </c>
      <c r="CH3899" t="str">
        <f t="shared" si="60"/>
        <v>D-0310</v>
      </c>
    </row>
    <row r="3900" spans="1:86">
      <c r="A3900" t="s">
        <v>2210</v>
      </c>
      <c r="B3900">
        <v>24</v>
      </c>
      <c r="C3900" t="s">
        <v>2072</v>
      </c>
      <c r="D3900" t="s">
        <v>261</v>
      </c>
      <c r="E3900" t="s">
        <v>629</v>
      </c>
      <c r="F3900" t="s">
        <v>635</v>
      </c>
      <c r="G3900" t="s">
        <v>2073</v>
      </c>
      <c r="V3900">
        <v>12</v>
      </c>
      <c r="X3900">
        <v>12</v>
      </c>
      <c r="CH3900" t="str">
        <f t="shared" si="60"/>
        <v>D-0310</v>
      </c>
    </row>
    <row r="3901" spans="1:86">
      <c r="A3901" t="s">
        <v>2211</v>
      </c>
      <c r="B3901">
        <v>6</v>
      </c>
      <c r="C3901" t="s">
        <v>1735</v>
      </c>
      <c r="D3901" t="s">
        <v>261</v>
      </c>
      <c r="E3901" t="s">
        <v>629</v>
      </c>
      <c r="F3901" t="s">
        <v>652</v>
      </c>
      <c r="G3901" t="s">
        <v>1736</v>
      </c>
      <c r="V3901">
        <v>3</v>
      </c>
      <c r="X3901">
        <v>3</v>
      </c>
      <c r="CH3901" t="str">
        <f t="shared" si="60"/>
        <v>D-0310</v>
      </c>
    </row>
    <row r="3902" spans="1:86">
      <c r="A3902" t="s">
        <v>2214</v>
      </c>
      <c r="B3902">
        <v>10</v>
      </c>
      <c r="C3902" t="s">
        <v>1743</v>
      </c>
      <c r="D3902" t="s">
        <v>261</v>
      </c>
      <c r="E3902" t="s">
        <v>629</v>
      </c>
      <c r="F3902" t="s">
        <v>652</v>
      </c>
      <c r="G3902" t="s">
        <v>1556</v>
      </c>
      <c r="V3902">
        <v>5</v>
      </c>
      <c r="X3902">
        <v>5</v>
      </c>
      <c r="CH3902" t="str">
        <f t="shared" si="60"/>
        <v>D-0310</v>
      </c>
    </row>
    <row r="3903" spans="1:86">
      <c r="A3903" t="s">
        <v>2215</v>
      </c>
      <c r="B3903">
        <v>14</v>
      </c>
      <c r="C3903" t="s">
        <v>1743</v>
      </c>
      <c r="D3903" t="s">
        <v>261</v>
      </c>
      <c r="E3903" t="s">
        <v>629</v>
      </c>
      <c r="F3903" t="s">
        <v>652</v>
      </c>
      <c r="G3903" t="s">
        <v>1556</v>
      </c>
      <c r="V3903">
        <v>7</v>
      </c>
      <c r="X3903">
        <v>7</v>
      </c>
      <c r="CH3903" t="str">
        <f t="shared" si="60"/>
        <v>D-0310</v>
      </c>
    </row>
    <row r="3904" spans="1:86">
      <c r="A3904" t="s">
        <v>2216</v>
      </c>
      <c r="B3904">
        <v>20</v>
      </c>
      <c r="C3904" t="s">
        <v>1743</v>
      </c>
      <c r="D3904" t="s">
        <v>261</v>
      </c>
      <c r="E3904" t="s">
        <v>629</v>
      </c>
      <c r="F3904" t="s">
        <v>652</v>
      </c>
      <c r="G3904" t="s">
        <v>1556</v>
      </c>
      <c r="V3904">
        <v>10</v>
      </c>
      <c r="X3904">
        <v>10</v>
      </c>
      <c r="CH3904" t="str">
        <f t="shared" si="60"/>
        <v>D-0310</v>
      </c>
    </row>
    <row r="3905" spans="1:86">
      <c r="A3905" t="s">
        <v>2243</v>
      </c>
      <c r="B3905">
        <v>10</v>
      </c>
      <c r="C3905" t="s">
        <v>1555</v>
      </c>
      <c r="D3905" t="s">
        <v>261</v>
      </c>
      <c r="E3905" t="s">
        <v>629</v>
      </c>
      <c r="F3905" t="s">
        <v>652</v>
      </c>
      <c r="G3905" t="s">
        <v>1556</v>
      </c>
      <c r="V3905">
        <v>5</v>
      </c>
      <c r="X3905">
        <v>5</v>
      </c>
      <c r="CH3905" t="str">
        <f t="shared" si="60"/>
        <v>D-0310</v>
      </c>
    </row>
    <row r="3906" spans="1:86">
      <c r="A3906" t="s">
        <v>2269</v>
      </c>
      <c r="B3906">
        <v>2</v>
      </c>
      <c r="C3906" t="s">
        <v>2259</v>
      </c>
      <c r="D3906" t="s">
        <v>265</v>
      </c>
      <c r="E3906" t="s">
        <v>629</v>
      </c>
      <c r="F3906" t="s">
        <v>652</v>
      </c>
      <c r="G3906" t="s">
        <v>1516</v>
      </c>
      <c r="T3906">
        <v>1</v>
      </c>
      <c r="V3906">
        <v>1</v>
      </c>
      <c r="CH3906" t="str">
        <f t="shared" ref="CH3906:CH3969" si="61">TRIM(IFERROR(IFERROR(MID($D3906,FIND("(D-",$D3906)+1,6),LEFT($D3906,FIND("(",$D3906)-1)),$D3906))</f>
        <v>D-0333</v>
      </c>
    </row>
    <row r="3907" spans="1:86">
      <c r="A3907" t="s">
        <v>2279</v>
      </c>
      <c r="B3907">
        <v>9</v>
      </c>
      <c r="C3907" t="s">
        <v>2259</v>
      </c>
      <c r="D3907" t="s">
        <v>265</v>
      </c>
      <c r="E3907" t="s">
        <v>629</v>
      </c>
      <c r="F3907" t="s">
        <v>652</v>
      </c>
      <c r="G3907" t="s">
        <v>1516</v>
      </c>
      <c r="R3907">
        <v>4</v>
      </c>
      <c r="T3907">
        <v>5</v>
      </c>
      <c r="CH3907" t="str">
        <f t="shared" si="61"/>
        <v>D-0333</v>
      </c>
    </row>
    <row r="3908" spans="1:86">
      <c r="A3908" t="s">
        <v>2280</v>
      </c>
      <c r="B3908">
        <v>4</v>
      </c>
      <c r="C3908" t="s">
        <v>1644</v>
      </c>
      <c r="D3908" t="s">
        <v>261</v>
      </c>
      <c r="E3908" t="s">
        <v>629</v>
      </c>
      <c r="F3908" t="s">
        <v>1645</v>
      </c>
      <c r="G3908" t="s">
        <v>1516</v>
      </c>
      <c r="V3908">
        <v>2</v>
      </c>
      <c r="X3908">
        <v>2</v>
      </c>
      <c r="CH3908" t="str">
        <f t="shared" si="61"/>
        <v>D-0310</v>
      </c>
    </row>
    <row r="3909" spans="1:86">
      <c r="A3909" t="s">
        <v>2281</v>
      </c>
      <c r="B3909">
        <v>2</v>
      </c>
      <c r="C3909" t="s">
        <v>1644</v>
      </c>
      <c r="D3909" t="s">
        <v>261</v>
      </c>
      <c r="E3909" t="s">
        <v>629</v>
      </c>
      <c r="F3909" t="s">
        <v>1645</v>
      </c>
      <c r="G3909" t="s">
        <v>1516</v>
      </c>
      <c r="V3909">
        <v>1</v>
      </c>
      <c r="X3909">
        <v>1</v>
      </c>
      <c r="CH3909" t="str">
        <f t="shared" si="61"/>
        <v>D-0310</v>
      </c>
    </row>
    <row r="3910" spans="1:86">
      <c r="A3910" t="s">
        <v>5592</v>
      </c>
      <c r="B3910">
        <v>7</v>
      </c>
      <c r="C3910" t="s">
        <v>5152</v>
      </c>
      <c r="D3910" t="s">
        <v>5153</v>
      </c>
      <c r="E3910" t="s">
        <v>642</v>
      </c>
      <c r="F3910" t="s">
        <v>5146</v>
      </c>
      <c r="G3910" t="s">
        <v>2702</v>
      </c>
      <c r="R3910">
        <v>1</v>
      </c>
      <c r="T3910">
        <v>1</v>
      </c>
      <c r="V3910">
        <v>1</v>
      </c>
      <c r="X3910">
        <v>1</v>
      </c>
      <c r="Z3910">
        <v>1</v>
      </c>
      <c r="AB3910">
        <v>1</v>
      </c>
      <c r="AD3910">
        <v>1</v>
      </c>
      <c r="CH3910" t="str">
        <f t="shared" si="61"/>
        <v>D-0514</v>
      </c>
    </row>
    <row r="3911" spans="1:86">
      <c r="A3911" t="s">
        <v>5593</v>
      </c>
      <c r="B3911">
        <v>189</v>
      </c>
      <c r="C3911" t="s">
        <v>5152</v>
      </c>
      <c r="D3911" t="s">
        <v>5153</v>
      </c>
      <c r="E3911" t="s">
        <v>642</v>
      </c>
      <c r="F3911" t="s">
        <v>5146</v>
      </c>
      <c r="G3911" t="s">
        <v>2702</v>
      </c>
      <c r="P3911">
        <v>6</v>
      </c>
      <c r="Q3911">
        <v>12</v>
      </c>
      <c r="R3911">
        <v>21</v>
      </c>
      <c r="S3911">
        <v>18</v>
      </c>
      <c r="T3911">
        <v>37</v>
      </c>
      <c r="U3911">
        <v>31</v>
      </c>
      <c r="V3911">
        <v>28</v>
      </c>
      <c r="W3911">
        <v>18</v>
      </c>
      <c r="X3911">
        <v>12</v>
      </c>
      <c r="Y3911">
        <v>3</v>
      </c>
      <c r="Z3911">
        <v>3</v>
      </c>
      <c r="CH3911" t="str">
        <f t="shared" si="61"/>
        <v>D-0514</v>
      </c>
    </row>
    <row r="3912" spans="1:86">
      <c r="A3912" t="s">
        <v>2379</v>
      </c>
      <c r="B3912">
        <v>613</v>
      </c>
      <c r="C3912" t="s">
        <v>1517</v>
      </c>
      <c r="D3912" t="s">
        <v>195</v>
      </c>
      <c r="E3912" t="s">
        <v>642</v>
      </c>
      <c r="F3912" t="s">
        <v>630</v>
      </c>
      <c r="G3912" t="s">
        <v>1518</v>
      </c>
      <c r="P3912">
        <v>31</v>
      </c>
      <c r="Q3912">
        <v>31</v>
      </c>
      <c r="R3912">
        <v>36</v>
      </c>
      <c r="S3912">
        <v>43</v>
      </c>
      <c r="T3912">
        <v>51</v>
      </c>
      <c r="U3912">
        <v>60</v>
      </c>
      <c r="V3912">
        <v>61</v>
      </c>
      <c r="W3912">
        <v>58</v>
      </c>
      <c r="X3912">
        <v>60</v>
      </c>
      <c r="Y3912">
        <v>51</v>
      </c>
      <c r="Z3912">
        <v>45</v>
      </c>
      <c r="AA3912">
        <v>36</v>
      </c>
      <c r="AB3912">
        <v>35</v>
      </c>
      <c r="AC3912">
        <v>8</v>
      </c>
      <c r="AD3912">
        <v>7</v>
      </c>
      <c r="CH3912" t="str">
        <f t="shared" si="61"/>
        <v>D-0189</v>
      </c>
    </row>
    <row r="3913" spans="1:86">
      <c r="A3913" t="s">
        <v>2386</v>
      </c>
      <c r="B3913">
        <v>76</v>
      </c>
      <c r="C3913" t="s">
        <v>2387</v>
      </c>
      <c r="D3913" t="s">
        <v>352</v>
      </c>
      <c r="E3913" t="s">
        <v>642</v>
      </c>
      <c r="F3913" t="s">
        <v>645</v>
      </c>
      <c r="G3913" t="s">
        <v>2388</v>
      </c>
      <c r="P3913">
        <v>4</v>
      </c>
      <c r="Q3913">
        <v>4</v>
      </c>
      <c r="R3913">
        <v>4</v>
      </c>
      <c r="S3913">
        <v>6</v>
      </c>
      <c r="T3913">
        <v>6</v>
      </c>
      <c r="U3913">
        <v>6</v>
      </c>
      <c r="V3913">
        <v>6</v>
      </c>
      <c r="W3913">
        <v>6</v>
      </c>
      <c r="X3913">
        <v>6</v>
      </c>
      <c r="Y3913">
        <v>6</v>
      </c>
      <c r="Z3913">
        <v>6</v>
      </c>
      <c r="AA3913">
        <v>4</v>
      </c>
      <c r="AB3913">
        <v>4</v>
      </c>
      <c r="AC3913">
        <v>4</v>
      </c>
      <c r="AD3913">
        <v>4</v>
      </c>
      <c r="CH3913" t="str">
        <f t="shared" si="61"/>
        <v>D-0515</v>
      </c>
    </row>
    <row r="3914" spans="1:86">
      <c r="A3914" t="s">
        <v>2390</v>
      </c>
      <c r="B3914">
        <v>10</v>
      </c>
      <c r="C3914" t="s">
        <v>1678</v>
      </c>
      <c r="D3914" t="s">
        <v>261</v>
      </c>
      <c r="E3914" t="s">
        <v>629</v>
      </c>
      <c r="F3914" t="s">
        <v>1645</v>
      </c>
      <c r="G3914" t="s">
        <v>1647</v>
      </c>
      <c r="V3914">
        <v>5</v>
      </c>
      <c r="X3914">
        <v>5</v>
      </c>
      <c r="CH3914" t="str">
        <f t="shared" si="61"/>
        <v>D-0310</v>
      </c>
    </row>
    <row r="3915" spans="1:86">
      <c r="A3915" t="s">
        <v>2409</v>
      </c>
      <c r="B3915">
        <v>7203</v>
      </c>
      <c r="C3915" t="s">
        <v>2410</v>
      </c>
      <c r="D3915" t="s">
        <v>237</v>
      </c>
      <c r="E3915" t="s">
        <v>629</v>
      </c>
      <c r="F3915" t="s">
        <v>665</v>
      </c>
      <c r="G3915" t="s">
        <v>2411</v>
      </c>
      <c r="W3915">
        <v>600</v>
      </c>
      <c r="X3915">
        <v>603</v>
      </c>
      <c r="Y3915">
        <v>1200</v>
      </c>
      <c r="Z3915">
        <v>1200</v>
      </c>
      <c r="AA3915">
        <v>1800</v>
      </c>
      <c r="AB3915">
        <v>1200</v>
      </c>
      <c r="AD3915">
        <v>600</v>
      </c>
      <c r="CH3915" t="str">
        <f t="shared" si="61"/>
        <v>D-0267</v>
      </c>
    </row>
    <row r="3916" spans="1:86">
      <c r="A3916" t="s">
        <v>2414</v>
      </c>
      <c r="B3916">
        <v>1893</v>
      </c>
      <c r="C3916" t="s">
        <v>2415</v>
      </c>
      <c r="D3916" t="s">
        <v>237</v>
      </c>
      <c r="E3916" t="s">
        <v>629</v>
      </c>
      <c r="F3916" t="s">
        <v>665</v>
      </c>
      <c r="G3916" t="s">
        <v>2416</v>
      </c>
      <c r="S3916">
        <v>76</v>
      </c>
      <c r="T3916">
        <v>112</v>
      </c>
      <c r="U3916">
        <v>157</v>
      </c>
      <c r="V3916">
        <v>254</v>
      </c>
      <c r="W3916">
        <v>275</v>
      </c>
      <c r="X3916">
        <v>280</v>
      </c>
      <c r="Y3916">
        <v>303</v>
      </c>
      <c r="Z3916">
        <v>256</v>
      </c>
      <c r="AA3916">
        <v>105</v>
      </c>
      <c r="AB3916">
        <v>75</v>
      </c>
      <c r="CH3916" t="str">
        <f t="shared" si="61"/>
        <v>D-0267</v>
      </c>
    </row>
    <row r="3917" spans="1:86">
      <c r="A3917" t="s">
        <v>2417</v>
      </c>
      <c r="B3917">
        <v>325</v>
      </c>
      <c r="C3917" t="s">
        <v>2415</v>
      </c>
      <c r="D3917" t="s">
        <v>237</v>
      </c>
      <c r="E3917" t="s">
        <v>629</v>
      </c>
      <c r="F3917" t="s">
        <v>665</v>
      </c>
      <c r="G3917" t="s">
        <v>2416</v>
      </c>
      <c r="R3917">
        <v>2</v>
      </c>
      <c r="S3917">
        <v>2</v>
      </c>
      <c r="T3917">
        <v>8</v>
      </c>
      <c r="U3917">
        <v>9</v>
      </c>
      <c r="V3917">
        <v>34</v>
      </c>
      <c r="W3917">
        <v>44</v>
      </c>
      <c r="X3917">
        <v>44</v>
      </c>
      <c r="Y3917">
        <v>44</v>
      </c>
      <c r="Z3917">
        <v>43</v>
      </c>
      <c r="AA3917">
        <v>46</v>
      </c>
      <c r="AB3917">
        <v>47</v>
      </c>
      <c r="AD3917">
        <v>2</v>
      </c>
      <c r="CH3917" t="str">
        <f t="shared" si="61"/>
        <v>D-0267</v>
      </c>
    </row>
    <row r="3918" spans="1:86">
      <c r="A3918" t="s">
        <v>2425</v>
      </c>
      <c r="B3918">
        <v>3383</v>
      </c>
      <c r="C3918" t="s">
        <v>2426</v>
      </c>
      <c r="D3918" t="s">
        <v>238</v>
      </c>
      <c r="E3918" t="s">
        <v>629</v>
      </c>
      <c r="F3918" t="s">
        <v>632</v>
      </c>
      <c r="G3918" t="s">
        <v>2427</v>
      </c>
      <c r="V3918">
        <v>241</v>
      </c>
      <c r="W3918">
        <v>274</v>
      </c>
      <c r="X3918">
        <v>337</v>
      </c>
      <c r="Y3918">
        <v>369</v>
      </c>
      <c r="Z3918">
        <v>377</v>
      </c>
      <c r="AA3918">
        <v>411</v>
      </c>
      <c r="AB3918">
        <v>361</v>
      </c>
      <c r="AC3918">
        <v>265</v>
      </c>
      <c r="AD3918">
        <v>302</v>
      </c>
      <c r="AF3918">
        <v>249</v>
      </c>
      <c r="AH3918">
        <v>197</v>
      </c>
      <c r="CH3918" t="str">
        <f t="shared" si="61"/>
        <v>D-0267</v>
      </c>
    </row>
    <row r="3919" spans="1:86">
      <c r="A3919" t="s">
        <v>2434</v>
      </c>
      <c r="B3919">
        <v>6966</v>
      </c>
      <c r="C3919" t="s">
        <v>2432</v>
      </c>
      <c r="D3919" t="s">
        <v>238</v>
      </c>
      <c r="E3919" t="s">
        <v>642</v>
      </c>
      <c r="F3919" t="s">
        <v>632</v>
      </c>
      <c r="G3919" t="s">
        <v>2433</v>
      </c>
      <c r="P3919">
        <v>92</v>
      </c>
      <c r="Q3919">
        <v>121</v>
      </c>
      <c r="R3919">
        <v>364</v>
      </c>
      <c r="S3919">
        <v>489</v>
      </c>
      <c r="T3919">
        <v>804</v>
      </c>
      <c r="U3919">
        <v>874</v>
      </c>
      <c r="V3919">
        <v>1048</v>
      </c>
      <c r="W3919">
        <v>917</v>
      </c>
      <c r="X3919">
        <v>787</v>
      </c>
      <c r="Y3919">
        <v>527</v>
      </c>
      <c r="Z3919">
        <v>460</v>
      </c>
      <c r="AA3919">
        <v>141</v>
      </c>
      <c r="AB3919">
        <v>184</v>
      </c>
      <c r="AC3919">
        <v>79</v>
      </c>
      <c r="AD3919">
        <v>79</v>
      </c>
      <c r="CH3919" t="str">
        <f t="shared" si="61"/>
        <v>D-0267</v>
      </c>
    </row>
    <row r="3920" spans="1:86">
      <c r="A3920" t="s">
        <v>2435</v>
      </c>
      <c r="B3920">
        <v>6966</v>
      </c>
      <c r="C3920" t="s">
        <v>2432</v>
      </c>
      <c r="D3920" t="s">
        <v>238</v>
      </c>
      <c r="E3920" t="s">
        <v>642</v>
      </c>
      <c r="F3920" t="s">
        <v>632</v>
      </c>
      <c r="G3920" t="s">
        <v>2433</v>
      </c>
      <c r="P3920">
        <v>92</v>
      </c>
      <c r="Q3920">
        <v>121</v>
      </c>
      <c r="R3920">
        <v>364</v>
      </c>
      <c r="S3920">
        <v>489</v>
      </c>
      <c r="T3920">
        <v>804</v>
      </c>
      <c r="U3920">
        <v>874</v>
      </c>
      <c r="V3920">
        <v>1048</v>
      </c>
      <c r="W3920">
        <v>917</v>
      </c>
      <c r="X3920">
        <v>787</v>
      </c>
      <c r="Y3920">
        <v>527</v>
      </c>
      <c r="Z3920">
        <v>460</v>
      </c>
      <c r="AA3920">
        <v>141</v>
      </c>
      <c r="AB3920">
        <v>184</v>
      </c>
      <c r="AC3920">
        <v>79</v>
      </c>
      <c r="AD3920">
        <v>79</v>
      </c>
      <c r="CH3920" t="str">
        <f t="shared" si="61"/>
        <v>D-0267</v>
      </c>
    </row>
    <row r="3921" spans="1:86">
      <c r="A3921" t="s">
        <v>2436</v>
      </c>
      <c r="B3921">
        <v>3077</v>
      </c>
      <c r="C3921" t="s">
        <v>2432</v>
      </c>
      <c r="D3921" t="s">
        <v>238</v>
      </c>
      <c r="E3921" t="s">
        <v>642</v>
      </c>
      <c r="F3921" t="s">
        <v>632</v>
      </c>
      <c r="G3921" t="s">
        <v>2433</v>
      </c>
      <c r="P3921">
        <v>42</v>
      </c>
      <c r="Q3921">
        <v>54</v>
      </c>
      <c r="R3921">
        <v>162</v>
      </c>
      <c r="S3921">
        <v>217</v>
      </c>
      <c r="T3921">
        <v>355</v>
      </c>
      <c r="U3921">
        <v>385</v>
      </c>
      <c r="V3921">
        <v>462</v>
      </c>
      <c r="W3921">
        <v>403</v>
      </c>
      <c r="X3921">
        <v>347</v>
      </c>
      <c r="Y3921">
        <v>232</v>
      </c>
      <c r="Z3921">
        <v>202</v>
      </c>
      <c r="AA3921">
        <v>64</v>
      </c>
      <c r="AB3921">
        <v>82</v>
      </c>
      <c r="AC3921">
        <v>35</v>
      </c>
      <c r="AD3921">
        <v>35</v>
      </c>
      <c r="CH3921" t="str">
        <f t="shared" si="61"/>
        <v>D-0267</v>
      </c>
    </row>
    <row r="3922" spans="1:86">
      <c r="A3922" t="s">
        <v>2455</v>
      </c>
      <c r="B3922">
        <v>6822</v>
      </c>
      <c r="C3922" t="s">
        <v>2456</v>
      </c>
      <c r="D3922" t="s">
        <v>237</v>
      </c>
      <c r="E3922" t="s">
        <v>629</v>
      </c>
      <c r="F3922" t="s">
        <v>665</v>
      </c>
      <c r="G3922" t="s">
        <v>2457</v>
      </c>
      <c r="S3922">
        <v>164</v>
      </c>
      <c r="T3922">
        <v>628</v>
      </c>
      <c r="U3922">
        <v>582</v>
      </c>
      <c r="V3922">
        <v>1239</v>
      </c>
      <c r="W3922">
        <v>1238</v>
      </c>
      <c r="X3922">
        <v>968</v>
      </c>
      <c r="Y3922">
        <v>1037</v>
      </c>
      <c r="Z3922">
        <v>567</v>
      </c>
      <c r="AA3922">
        <v>233</v>
      </c>
      <c r="AB3922">
        <v>166</v>
      </c>
      <c r="CH3922" t="str">
        <f t="shared" si="61"/>
        <v>D-0267</v>
      </c>
    </row>
    <row r="3923" spans="1:86">
      <c r="A3923" t="s">
        <v>2458</v>
      </c>
      <c r="B3923">
        <v>6822</v>
      </c>
      <c r="C3923" t="s">
        <v>2456</v>
      </c>
      <c r="D3923" t="s">
        <v>237</v>
      </c>
      <c r="E3923" t="s">
        <v>629</v>
      </c>
      <c r="F3923" t="s">
        <v>665</v>
      </c>
      <c r="G3923" t="s">
        <v>2457</v>
      </c>
      <c r="S3923">
        <v>164</v>
      </c>
      <c r="T3923">
        <v>628</v>
      </c>
      <c r="U3923">
        <v>582</v>
      </c>
      <c r="V3923">
        <v>1239</v>
      </c>
      <c r="W3923">
        <v>1238</v>
      </c>
      <c r="X3923">
        <v>968</v>
      </c>
      <c r="Y3923">
        <v>1037</v>
      </c>
      <c r="Z3923">
        <v>567</v>
      </c>
      <c r="AA3923">
        <v>233</v>
      </c>
      <c r="AB3923">
        <v>166</v>
      </c>
      <c r="CH3923" t="str">
        <f t="shared" si="61"/>
        <v>D-0267</v>
      </c>
    </row>
    <row r="3924" spans="1:86">
      <c r="A3924" t="s">
        <v>2459</v>
      </c>
      <c r="B3924">
        <v>6438</v>
      </c>
      <c r="C3924" t="s">
        <v>2456</v>
      </c>
      <c r="D3924" t="s">
        <v>237</v>
      </c>
      <c r="E3924" t="s">
        <v>629</v>
      </c>
      <c r="F3924" t="s">
        <v>665</v>
      </c>
      <c r="G3924" t="s">
        <v>2457</v>
      </c>
      <c r="S3924">
        <v>157</v>
      </c>
      <c r="T3924">
        <v>592</v>
      </c>
      <c r="U3924">
        <v>549</v>
      </c>
      <c r="V3924">
        <v>1169</v>
      </c>
      <c r="W3924">
        <v>1166</v>
      </c>
      <c r="X3924">
        <v>913</v>
      </c>
      <c r="Y3924">
        <v>976</v>
      </c>
      <c r="Z3924">
        <v>535</v>
      </c>
      <c r="AA3924">
        <v>222</v>
      </c>
      <c r="AB3924">
        <v>159</v>
      </c>
      <c r="CH3924" t="str">
        <f t="shared" si="61"/>
        <v>D-0267</v>
      </c>
    </row>
    <row r="3925" spans="1:86">
      <c r="A3925" t="s">
        <v>2470</v>
      </c>
      <c r="B3925">
        <v>579</v>
      </c>
      <c r="C3925" t="s">
        <v>2471</v>
      </c>
      <c r="D3925" t="s">
        <v>238</v>
      </c>
      <c r="E3925" t="s">
        <v>642</v>
      </c>
      <c r="F3925" t="s">
        <v>645</v>
      </c>
      <c r="G3925" t="s">
        <v>648</v>
      </c>
      <c r="R3925">
        <v>54</v>
      </c>
      <c r="S3925">
        <v>84</v>
      </c>
      <c r="T3925">
        <v>51</v>
      </c>
      <c r="U3925">
        <v>60</v>
      </c>
      <c r="V3925">
        <v>66</v>
      </c>
      <c r="W3925">
        <v>66</v>
      </c>
      <c r="X3925">
        <v>84</v>
      </c>
      <c r="Y3925">
        <v>72</v>
      </c>
      <c r="Z3925">
        <v>42</v>
      </c>
      <c r="CH3925" t="str">
        <f t="shared" si="61"/>
        <v>D-0267</v>
      </c>
    </row>
    <row r="3926" spans="1:86">
      <c r="A3926" t="s">
        <v>2472</v>
      </c>
      <c r="B3926">
        <v>1143</v>
      </c>
      <c r="C3926" t="s">
        <v>2471</v>
      </c>
      <c r="D3926" t="s">
        <v>238</v>
      </c>
      <c r="E3926" t="s">
        <v>642</v>
      </c>
      <c r="F3926" t="s">
        <v>645</v>
      </c>
      <c r="G3926" t="s">
        <v>648</v>
      </c>
      <c r="P3926">
        <v>6</v>
      </c>
      <c r="Q3926">
        <v>18</v>
      </c>
      <c r="R3926">
        <v>108</v>
      </c>
      <c r="S3926">
        <v>180</v>
      </c>
      <c r="T3926">
        <v>63</v>
      </c>
      <c r="U3926">
        <v>132</v>
      </c>
      <c r="V3926">
        <v>78</v>
      </c>
      <c r="W3926">
        <v>120</v>
      </c>
      <c r="X3926">
        <v>192</v>
      </c>
      <c r="Y3926">
        <v>144</v>
      </c>
      <c r="Z3926">
        <v>90</v>
      </c>
      <c r="AB3926">
        <v>12</v>
      </c>
      <c r="CH3926" t="str">
        <f t="shared" si="61"/>
        <v>D-0267</v>
      </c>
    </row>
    <row r="3927" spans="1:86">
      <c r="A3927" t="s">
        <v>2475</v>
      </c>
      <c r="B3927">
        <v>453</v>
      </c>
      <c r="C3927" t="s">
        <v>2471</v>
      </c>
      <c r="D3927" t="s">
        <v>238</v>
      </c>
      <c r="E3927" t="s">
        <v>642</v>
      </c>
      <c r="F3927" t="s">
        <v>645</v>
      </c>
      <c r="G3927" t="s">
        <v>648</v>
      </c>
      <c r="P3927">
        <v>6</v>
      </c>
      <c r="Q3927">
        <v>12</v>
      </c>
      <c r="R3927">
        <v>12</v>
      </c>
      <c r="S3927">
        <v>24</v>
      </c>
      <c r="T3927">
        <v>51</v>
      </c>
      <c r="U3927">
        <v>60</v>
      </c>
      <c r="V3927">
        <v>72</v>
      </c>
      <c r="W3927">
        <v>60</v>
      </c>
      <c r="X3927">
        <v>60</v>
      </c>
      <c r="Y3927">
        <v>36</v>
      </c>
      <c r="Z3927">
        <v>36</v>
      </c>
      <c r="AB3927">
        <v>12</v>
      </c>
      <c r="AD3927">
        <v>12</v>
      </c>
      <c r="CH3927" t="str">
        <f t="shared" si="61"/>
        <v>D-0267</v>
      </c>
    </row>
    <row r="3928" spans="1:86">
      <c r="A3928" t="s">
        <v>2497</v>
      </c>
      <c r="B3928">
        <v>3259</v>
      </c>
      <c r="C3928" t="s">
        <v>1535</v>
      </c>
      <c r="D3928" t="s">
        <v>195</v>
      </c>
      <c r="E3928" t="s">
        <v>629</v>
      </c>
      <c r="F3928" t="s">
        <v>630</v>
      </c>
      <c r="G3928" t="s">
        <v>1536</v>
      </c>
      <c r="R3928">
        <v>32</v>
      </c>
      <c r="S3928">
        <v>63</v>
      </c>
      <c r="T3928">
        <v>94</v>
      </c>
      <c r="U3928">
        <v>123</v>
      </c>
      <c r="V3928">
        <v>245</v>
      </c>
      <c r="W3928">
        <v>311</v>
      </c>
      <c r="X3928">
        <v>250</v>
      </c>
      <c r="Y3928">
        <v>248</v>
      </c>
      <c r="Z3928">
        <v>263</v>
      </c>
      <c r="AA3928">
        <v>218</v>
      </c>
      <c r="AB3928">
        <v>261</v>
      </c>
      <c r="AC3928">
        <v>290</v>
      </c>
      <c r="AD3928">
        <v>337</v>
      </c>
      <c r="AE3928">
        <v>200</v>
      </c>
      <c r="AF3928">
        <v>172</v>
      </c>
      <c r="AH3928">
        <v>112</v>
      </c>
      <c r="AJ3928">
        <v>40</v>
      </c>
      <c r="CH3928" t="str">
        <f t="shared" si="61"/>
        <v>D-0189</v>
      </c>
    </row>
    <row r="3929" spans="1:86">
      <c r="A3929" t="s">
        <v>2498</v>
      </c>
      <c r="B3929">
        <v>3695</v>
      </c>
      <c r="C3929" t="s">
        <v>1377</v>
      </c>
      <c r="D3929" t="s">
        <v>195</v>
      </c>
      <c r="E3929" t="s">
        <v>629</v>
      </c>
      <c r="F3929" t="s">
        <v>630</v>
      </c>
      <c r="G3929" t="s">
        <v>2499</v>
      </c>
      <c r="N3929">
        <v>2</v>
      </c>
      <c r="P3929">
        <v>2</v>
      </c>
      <c r="R3929">
        <v>5</v>
      </c>
      <c r="S3929">
        <v>39</v>
      </c>
      <c r="T3929">
        <v>121</v>
      </c>
      <c r="U3929">
        <v>155</v>
      </c>
      <c r="V3929">
        <v>343</v>
      </c>
      <c r="W3929">
        <v>414</v>
      </c>
      <c r="X3929">
        <v>567</v>
      </c>
      <c r="Y3929">
        <v>564</v>
      </c>
      <c r="Z3929">
        <v>537</v>
      </c>
      <c r="AA3929">
        <v>251</v>
      </c>
      <c r="AB3929">
        <v>340</v>
      </c>
      <c r="AC3929">
        <v>99</v>
      </c>
      <c r="AD3929">
        <v>201</v>
      </c>
      <c r="AE3929">
        <v>16</v>
      </c>
      <c r="AF3929">
        <v>21</v>
      </c>
      <c r="AH3929">
        <v>12</v>
      </c>
      <c r="AJ3929">
        <v>6</v>
      </c>
      <c r="CH3929" t="str">
        <f t="shared" si="61"/>
        <v>D-0189</v>
      </c>
    </row>
    <row r="3930" spans="1:86">
      <c r="A3930" t="s">
        <v>2504</v>
      </c>
      <c r="B3930">
        <v>3098</v>
      </c>
      <c r="C3930" t="s">
        <v>1517</v>
      </c>
      <c r="D3930" t="s">
        <v>195</v>
      </c>
      <c r="E3930" t="s">
        <v>642</v>
      </c>
      <c r="F3930" t="s">
        <v>630</v>
      </c>
      <c r="G3930" t="s">
        <v>1518</v>
      </c>
      <c r="P3930">
        <v>16</v>
      </c>
      <c r="Q3930">
        <v>43</v>
      </c>
      <c r="R3930">
        <v>130</v>
      </c>
      <c r="S3930">
        <v>257</v>
      </c>
      <c r="T3930">
        <v>332</v>
      </c>
      <c r="U3930">
        <v>390</v>
      </c>
      <c r="V3930">
        <v>505</v>
      </c>
      <c r="W3930">
        <v>482</v>
      </c>
      <c r="X3930">
        <v>283</v>
      </c>
      <c r="Y3930">
        <v>313</v>
      </c>
      <c r="Z3930">
        <v>170</v>
      </c>
      <c r="AA3930">
        <v>81</v>
      </c>
      <c r="AB3930">
        <v>46</v>
      </c>
      <c r="AC3930">
        <v>28</v>
      </c>
      <c r="AD3930">
        <v>22</v>
      </c>
      <c r="CH3930" t="str">
        <f t="shared" si="61"/>
        <v>D-0189</v>
      </c>
    </row>
    <row r="3931" spans="1:86">
      <c r="A3931" t="s">
        <v>2506</v>
      </c>
      <c r="B3931">
        <v>7094</v>
      </c>
      <c r="C3931" t="s">
        <v>1176</v>
      </c>
      <c r="D3931" t="s">
        <v>249</v>
      </c>
      <c r="E3931" t="s">
        <v>629</v>
      </c>
      <c r="F3931" t="s">
        <v>657</v>
      </c>
      <c r="G3931" t="s">
        <v>1177</v>
      </c>
      <c r="S3931">
        <v>6</v>
      </c>
      <c r="T3931">
        <v>128</v>
      </c>
      <c r="U3931">
        <v>120</v>
      </c>
      <c r="V3931">
        <v>592</v>
      </c>
      <c r="W3931">
        <v>1002</v>
      </c>
      <c r="X3931">
        <v>443</v>
      </c>
      <c r="Y3931">
        <v>1050</v>
      </c>
      <c r="Z3931">
        <v>1309</v>
      </c>
      <c r="AA3931">
        <v>553</v>
      </c>
      <c r="AB3931">
        <v>1183</v>
      </c>
      <c r="AC3931">
        <v>35</v>
      </c>
      <c r="AD3931">
        <v>638</v>
      </c>
      <c r="AF3931">
        <v>35</v>
      </c>
      <c r="CH3931" t="str">
        <f t="shared" si="61"/>
        <v>D-0271</v>
      </c>
    </row>
    <row r="3932" spans="1:86">
      <c r="A3932" t="s">
        <v>2510</v>
      </c>
      <c r="B3932">
        <v>1467</v>
      </c>
      <c r="C3932" t="s">
        <v>1275</v>
      </c>
      <c r="D3932" t="s">
        <v>352</v>
      </c>
      <c r="E3932" t="s">
        <v>642</v>
      </c>
      <c r="F3932" t="s">
        <v>645</v>
      </c>
      <c r="G3932" t="s">
        <v>1276</v>
      </c>
      <c r="P3932">
        <v>115</v>
      </c>
      <c r="Q3932">
        <v>188</v>
      </c>
      <c r="R3932">
        <v>245</v>
      </c>
      <c r="S3932">
        <v>333</v>
      </c>
      <c r="T3932">
        <v>230</v>
      </c>
      <c r="U3932">
        <v>162</v>
      </c>
      <c r="V3932">
        <v>57</v>
      </c>
      <c r="X3932">
        <v>55</v>
      </c>
      <c r="Z3932">
        <v>37</v>
      </c>
      <c r="AB3932">
        <v>23</v>
      </c>
      <c r="AD3932">
        <v>22</v>
      </c>
      <c r="CH3932" t="str">
        <f t="shared" si="61"/>
        <v>D-0515</v>
      </c>
    </row>
    <row r="3933" spans="1:86">
      <c r="A3933" t="s">
        <v>2518</v>
      </c>
      <c r="B3933">
        <v>5224</v>
      </c>
      <c r="C3933" t="s">
        <v>2519</v>
      </c>
      <c r="D3933" t="s">
        <v>444</v>
      </c>
      <c r="E3933" t="s">
        <v>629</v>
      </c>
      <c r="F3933" t="s">
        <v>636</v>
      </c>
      <c r="G3933" t="s">
        <v>2520</v>
      </c>
      <c r="R3933">
        <v>46</v>
      </c>
      <c r="S3933">
        <v>52</v>
      </c>
      <c r="T3933">
        <v>129</v>
      </c>
      <c r="U3933">
        <v>137</v>
      </c>
      <c r="V3933">
        <v>287</v>
      </c>
      <c r="W3933">
        <v>369</v>
      </c>
      <c r="X3933">
        <v>496</v>
      </c>
      <c r="Y3933">
        <v>550</v>
      </c>
      <c r="Z3933">
        <v>612</v>
      </c>
      <c r="AA3933">
        <v>640</v>
      </c>
      <c r="AB3933">
        <v>714</v>
      </c>
      <c r="AC3933">
        <v>250</v>
      </c>
      <c r="AD3933">
        <v>461</v>
      </c>
      <c r="AE3933">
        <v>92</v>
      </c>
      <c r="AF3933">
        <v>181</v>
      </c>
      <c r="AH3933">
        <v>142</v>
      </c>
      <c r="AJ3933">
        <v>66</v>
      </c>
      <c r="CH3933" t="str">
        <f t="shared" si="61"/>
        <v>D-0686</v>
      </c>
    </row>
    <row r="3934" spans="1:86">
      <c r="A3934" t="s">
        <v>2524</v>
      </c>
      <c r="B3934">
        <v>24</v>
      </c>
      <c r="C3934" t="s">
        <v>1024</v>
      </c>
      <c r="D3934" t="s">
        <v>291</v>
      </c>
      <c r="E3934" t="s">
        <v>642</v>
      </c>
      <c r="F3934" t="s">
        <v>661</v>
      </c>
      <c r="G3934" t="s">
        <v>1025</v>
      </c>
      <c r="AB3934">
        <v>24</v>
      </c>
      <c r="CH3934" t="str">
        <f t="shared" si="61"/>
        <v>D-0419</v>
      </c>
    </row>
    <row r="3935" spans="1:86">
      <c r="A3935" t="s">
        <v>2525</v>
      </c>
      <c r="B3935">
        <v>165</v>
      </c>
      <c r="C3935" t="s">
        <v>1024</v>
      </c>
      <c r="D3935" t="s">
        <v>291</v>
      </c>
      <c r="E3935" t="s">
        <v>642</v>
      </c>
      <c r="F3935" t="s">
        <v>661</v>
      </c>
      <c r="G3935" t="s">
        <v>1025</v>
      </c>
      <c r="Z3935">
        <v>165</v>
      </c>
      <c r="CH3935" t="str">
        <f t="shared" si="61"/>
        <v>D-0419</v>
      </c>
    </row>
    <row r="3936" spans="1:86">
      <c r="A3936" t="s">
        <v>2526</v>
      </c>
      <c r="B3936">
        <v>137</v>
      </c>
      <c r="C3936" t="s">
        <v>1024</v>
      </c>
      <c r="D3936" t="s">
        <v>291</v>
      </c>
      <c r="E3936" t="s">
        <v>642</v>
      </c>
      <c r="F3936" t="s">
        <v>661</v>
      </c>
      <c r="G3936" t="s">
        <v>1025</v>
      </c>
      <c r="Y3936">
        <v>137</v>
      </c>
      <c r="CH3936" t="str">
        <f t="shared" si="61"/>
        <v>D-0419</v>
      </c>
    </row>
    <row r="3937" spans="1:86">
      <c r="A3937" t="s">
        <v>2527</v>
      </c>
      <c r="B3937">
        <v>281</v>
      </c>
      <c r="C3937" t="s">
        <v>1024</v>
      </c>
      <c r="D3937" t="s">
        <v>291</v>
      </c>
      <c r="E3937" t="s">
        <v>642</v>
      </c>
      <c r="F3937" t="s">
        <v>661</v>
      </c>
      <c r="G3937" t="s">
        <v>1025</v>
      </c>
      <c r="X3937">
        <v>281</v>
      </c>
      <c r="CH3937" t="str">
        <f t="shared" si="61"/>
        <v>D-0419</v>
      </c>
    </row>
    <row r="3938" spans="1:86">
      <c r="A3938" t="s">
        <v>2528</v>
      </c>
      <c r="B3938">
        <v>280</v>
      </c>
      <c r="C3938" t="s">
        <v>1024</v>
      </c>
      <c r="D3938" t="s">
        <v>291</v>
      </c>
      <c r="E3938" t="s">
        <v>642</v>
      </c>
      <c r="F3938" t="s">
        <v>661</v>
      </c>
      <c r="G3938" t="s">
        <v>1025</v>
      </c>
      <c r="W3938">
        <v>280</v>
      </c>
      <c r="CH3938" t="str">
        <f t="shared" si="61"/>
        <v>D-0419</v>
      </c>
    </row>
    <row r="3939" spans="1:86">
      <c r="A3939" t="s">
        <v>2529</v>
      </c>
      <c r="B3939">
        <v>390</v>
      </c>
      <c r="C3939" t="s">
        <v>1024</v>
      </c>
      <c r="D3939" t="s">
        <v>291</v>
      </c>
      <c r="E3939" t="s">
        <v>642</v>
      </c>
      <c r="F3939" t="s">
        <v>661</v>
      </c>
      <c r="G3939" t="s">
        <v>1025</v>
      </c>
      <c r="V3939">
        <v>390</v>
      </c>
      <c r="CH3939" t="str">
        <f t="shared" si="61"/>
        <v>D-0419</v>
      </c>
    </row>
    <row r="3940" spans="1:86">
      <c r="A3940" t="s">
        <v>2530</v>
      </c>
      <c r="B3940">
        <v>295</v>
      </c>
      <c r="C3940" t="s">
        <v>1024</v>
      </c>
      <c r="D3940" t="s">
        <v>291</v>
      </c>
      <c r="E3940" t="s">
        <v>642</v>
      </c>
      <c r="F3940" t="s">
        <v>661</v>
      </c>
      <c r="G3940" t="s">
        <v>1025</v>
      </c>
      <c r="U3940">
        <v>295</v>
      </c>
      <c r="CH3940" t="str">
        <f t="shared" si="61"/>
        <v>D-0419</v>
      </c>
    </row>
    <row r="3941" spans="1:86">
      <c r="A3941" t="s">
        <v>2531</v>
      </c>
      <c r="B3941">
        <v>367</v>
      </c>
      <c r="C3941" t="s">
        <v>1024</v>
      </c>
      <c r="D3941" t="s">
        <v>291</v>
      </c>
      <c r="E3941" t="s">
        <v>642</v>
      </c>
      <c r="F3941" t="s">
        <v>661</v>
      </c>
      <c r="G3941" t="s">
        <v>1025</v>
      </c>
      <c r="T3941">
        <v>367</v>
      </c>
      <c r="CH3941" t="str">
        <f t="shared" si="61"/>
        <v>D-0419</v>
      </c>
    </row>
    <row r="3942" spans="1:86">
      <c r="A3942" t="s">
        <v>2532</v>
      </c>
      <c r="B3942">
        <v>233</v>
      </c>
      <c r="C3942" t="s">
        <v>1024</v>
      </c>
      <c r="D3942" t="s">
        <v>291</v>
      </c>
      <c r="E3942" t="s">
        <v>642</v>
      </c>
      <c r="F3942" t="s">
        <v>661</v>
      </c>
      <c r="G3942" t="s">
        <v>1025</v>
      </c>
      <c r="S3942">
        <v>233</v>
      </c>
      <c r="CH3942" t="str">
        <f t="shared" si="61"/>
        <v>D-0419</v>
      </c>
    </row>
    <row r="3943" spans="1:86">
      <c r="A3943" t="s">
        <v>2533</v>
      </c>
      <c r="B3943">
        <v>201</v>
      </c>
      <c r="C3943" t="s">
        <v>1024</v>
      </c>
      <c r="D3943" t="s">
        <v>291</v>
      </c>
      <c r="E3943" t="s">
        <v>642</v>
      </c>
      <c r="F3943" t="s">
        <v>661</v>
      </c>
      <c r="G3943" t="s">
        <v>1025</v>
      </c>
      <c r="R3943">
        <v>201</v>
      </c>
      <c r="CH3943" t="str">
        <f t="shared" si="61"/>
        <v>D-0419</v>
      </c>
    </row>
    <row r="3944" spans="1:86">
      <c r="A3944" t="s">
        <v>2534</v>
      </c>
      <c r="B3944">
        <v>91</v>
      </c>
      <c r="C3944" t="s">
        <v>1024</v>
      </c>
      <c r="D3944" t="s">
        <v>291</v>
      </c>
      <c r="E3944" t="s">
        <v>642</v>
      </c>
      <c r="F3944" t="s">
        <v>661</v>
      </c>
      <c r="G3944" t="s">
        <v>1025</v>
      </c>
      <c r="Q3944">
        <v>91</v>
      </c>
      <c r="CH3944" t="str">
        <f t="shared" si="61"/>
        <v>D-0419</v>
      </c>
    </row>
    <row r="3945" spans="1:86">
      <c r="A3945" t="s">
        <v>2535</v>
      </c>
      <c r="B3945">
        <v>40</v>
      </c>
      <c r="C3945" t="s">
        <v>1024</v>
      </c>
      <c r="D3945" t="s">
        <v>291</v>
      </c>
      <c r="E3945" t="s">
        <v>642</v>
      </c>
      <c r="F3945" t="s">
        <v>661</v>
      </c>
      <c r="G3945" t="s">
        <v>1025</v>
      </c>
      <c r="P3945">
        <v>40</v>
      </c>
      <c r="CH3945" t="str">
        <f t="shared" si="61"/>
        <v>D-0419</v>
      </c>
    </row>
    <row r="3946" spans="1:86">
      <c r="A3946" t="s">
        <v>2536</v>
      </c>
      <c r="B3946">
        <v>207</v>
      </c>
      <c r="C3946" t="s">
        <v>1026</v>
      </c>
      <c r="D3946" t="s">
        <v>291</v>
      </c>
      <c r="E3946" t="s">
        <v>642</v>
      </c>
      <c r="F3946" t="s">
        <v>661</v>
      </c>
      <c r="G3946" t="s">
        <v>1027</v>
      </c>
      <c r="Z3946">
        <v>207</v>
      </c>
      <c r="CH3946" t="str">
        <f t="shared" si="61"/>
        <v>D-0419</v>
      </c>
    </row>
    <row r="3947" spans="1:86">
      <c r="A3947" t="s">
        <v>2537</v>
      </c>
      <c r="B3947">
        <v>196</v>
      </c>
      <c r="C3947" t="s">
        <v>1026</v>
      </c>
      <c r="D3947" t="s">
        <v>291</v>
      </c>
      <c r="E3947" t="s">
        <v>642</v>
      </c>
      <c r="F3947" t="s">
        <v>661</v>
      </c>
      <c r="G3947" t="s">
        <v>1027</v>
      </c>
      <c r="Y3947">
        <v>196</v>
      </c>
      <c r="CH3947" t="str">
        <f t="shared" si="61"/>
        <v>D-0419</v>
      </c>
    </row>
    <row r="3948" spans="1:86">
      <c r="A3948" t="s">
        <v>2538</v>
      </c>
      <c r="B3948">
        <v>458</v>
      </c>
      <c r="C3948" t="s">
        <v>1026</v>
      </c>
      <c r="D3948" t="s">
        <v>291</v>
      </c>
      <c r="E3948" t="s">
        <v>642</v>
      </c>
      <c r="F3948" t="s">
        <v>661</v>
      </c>
      <c r="G3948" t="s">
        <v>1027</v>
      </c>
      <c r="X3948">
        <v>458</v>
      </c>
      <c r="CH3948" t="str">
        <f t="shared" si="61"/>
        <v>D-0419</v>
      </c>
    </row>
    <row r="3949" spans="1:86">
      <c r="A3949" t="s">
        <v>2547</v>
      </c>
      <c r="B3949">
        <v>91</v>
      </c>
      <c r="C3949" t="s">
        <v>1123</v>
      </c>
      <c r="D3949" t="s">
        <v>291</v>
      </c>
      <c r="E3949" t="s">
        <v>642</v>
      </c>
      <c r="F3949" t="s">
        <v>661</v>
      </c>
      <c r="G3949" t="s">
        <v>950</v>
      </c>
      <c r="Z3949">
        <v>91</v>
      </c>
      <c r="CH3949" t="str">
        <f t="shared" si="61"/>
        <v>D-0419</v>
      </c>
    </row>
    <row r="3950" spans="1:86">
      <c r="A3950" t="s">
        <v>2549</v>
      </c>
      <c r="B3950">
        <v>158</v>
      </c>
      <c r="C3950" t="s">
        <v>1123</v>
      </c>
      <c r="D3950" t="s">
        <v>291</v>
      </c>
      <c r="E3950" t="s">
        <v>642</v>
      </c>
      <c r="F3950" t="s">
        <v>661</v>
      </c>
      <c r="G3950" t="s">
        <v>950</v>
      </c>
      <c r="X3950">
        <v>158</v>
      </c>
      <c r="CH3950" t="str">
        <f t="shared" si="61"/>
        <v>D-0419</v>
      </c>
    </row>
    <row r="3951" spans="1:86">
      <c r="A3951" t="s">
        <v>2558</v>
      </c>
      <c r="B3951">
        <v>680</v>
      </c>
      <c r="C3951" t="s">
        <v>2559</v>
      </c>
      <c r="D3951" t="s">
        <v>213</v>
      </c>
      <c r="E3951" t="s">
        <v>629</v>
      </c>
      <c r="F3951" t="s">
        <v>643</v>
      </c>
      <c r="G3951" t="s">
        <v>1207</v>
      </c>
      <c r="T3951">
        <v>32</v>
      </c>
      <c r="U3951">
        <v>48</v>
      </c>
      <c r="V3951">
        <v>102</v>
      </c>
      <c r="W3951">
        <v>102</v>
      </c>
      <c r="X3951">
        <v>132</v>
      </c>
      <c r="Y3951">
        <v>90</v>
      </c>
      <c r="Z3951">
        <v>84</v>
      </c>
      <c r="AA3951">
        <v>36</v>
      </c>
      <c r="AB3951">
        <v>24</v>
      </c>
      <c r="AC3951">
        <v>12</v>
      </c>
      <c r="AD3951">
        <v>18</v>
      </c>
      <c r="CH3951" t="str">
        <f t="shared" si="61"/>
        <v>D-0257</v>
      </c>
    </row>
    <row r="3952" spans="1:86">
      <c r="A3952" t="s">
        <v>2560</v>
      </c>
      <c r="B3952">
        <v>132</v>
      </c>
      <c r="C3952" t="s">
        <v>2559</v>
      </c>
      <c r="D3952" t="s">
        <v>213</v>
      </c>
      <c r="E3952" t="s">
        <v>629</v>
      </c>
      <c r="F3952" t="s">
        <v>643</v>
      </c>
      <c r="G3952" t="s">
        <v>1207</v>
      </c>
      <c r="W3952">
        <v>18</v>
      </c>
      <c r="X3952">
        <v>36</v>
      </c>
      <c r="Y3952">
        <v>36</v>
      </c>
      <c r="Z3952">
        <v>36</v>
      </c>
      <c r="AB3952">
        <v>6</v>
      </c>
      <c r="CH3952" t="str">
        <f t="shared" si="61"/>
        <v>D-0257</v>
      </c>
    </row>
    <row r="3953" spans="1:86">
      <c r="A3953" t="s">
        <v>2561</v>
      </c>
      <c r="B3953">
        <v>860</v>
      </c>
      <c r="C3953" t="s">
        <v>2559</v>
      </c>
      <c r="D3953" t="s">
        <v>213</v>
      </c>
      <c r="E3953" t="s">
        <v>629</v>
      </c>
      <c r="F3953" t="s">
        <v>643</v>
      </c>
      <c r="G3953" t="s">
        <v>1207</v>
      </c>
      <c r="R3953">
        <v>12</v>
      </c>
      <c r="S3953">
        <v>12</v>
      </c>
      <c r="T3953">
        <v>44</v>
      </c>
      <c r="U3953">
        <v>42</v>
      </c>
      <c r="V3953">
        <v>138</v>
      </c>
      <c r="W3953">
        <v>108</v>
      </c>
      <c r="X3953">
        <v>204</v>
      </c>
      <c r="Y3953">
        <v>120</v>
      </c>
      <c r="Z3953">
        <v>84</v>
      </c>
      <c r="AA3953">
        <v>42</v>
      </c>
      <c r="AB3953">
        <v>54</v>
      </c>
      <c r="CH3953" t="str">
        <f t="shared" si="61"/>
        <v>D-0257</v>
      </c>
    </row>
    <row r="3954" spans="1:86">
      <c r="A3954" t="s">
        <v>2562</v>
      </c>
      <c r="B3954">
        <v>1826</v>
      </c>
      <c r="C3954" t="s">
        <v>2559</v>
      </c>
      <c r="D3954" t="s">
        <v>213</v>
      </c>
      <c r="E3954" t="s">
        <v>629</v>
      </c>
      <c r="F3954" t="s">
        <v>643</v>
      </c>
      <c r="G3954" t="s">
        <v>1207</v>
      </c>
      <c r="R3954">
        <v>12</v>
      </c>
      <c r="T3954">
        <v>116</v>
      </c>
      <c r="V3954">
        <v>294</v>
      </c>
      <c r="X3954">
        <v>498</v>
      </c>
      <c r="Z3954">
        <v>450</v>
      </c>
      <c r="AB3954">
        <v>294</v>
      </c>
      <c r="AD3954">
        <v>138</v>
      </c>
      <c r="AF3954">
        <v>24</v>
      </c>
      <c r="CH3954" t="str">
        <f t="shared" si="61"/>
        <v>D-0257</v>
      </c>
    </row>
    <row r="3955" spans="1:86">
      <c r="A3955" t="s">
        <v>2564</v>
      </c>
      <c r="B3955">
        <v>656</v>
      </c>
      <c r="C3955" t="s">
        <v>2559</v>
      </c>
      <c r="D3955" t="s">
        <v>213</v>
      </c>
      <c r="E3955" t="s">
        <v>629</v>
      </c>
      <c r="F3955" t="s">
        <v>643</v>
      </c>
      <c r="G3955" t="s">
        <v>1207</v>
      </c>
      <c r="T3955">
        <v>20</v>
      </c>
      <c r="U3955">
        <v>66</v>
      </c>
      <c r="V3955">
        <v>90</v>
      </c>
      <c r="W3955">
        <v>96</v>
      </c>
      <c r="X3955">
        <v>132</v>
      </c>
      <c r="Y3955">
        <v>102</v>
      </c>
      <c r="Z3955">
        <v>78</v>
      </c>
      <c r="AA3955">
        <v>24</v>
      </c>
      <c r="AB3955">
        <v>30</v>
      </c>
      <c r="AC3955">
        <v>6</v>
      </c>
      <c r="AD3955">
        <v>12</v>
      </c>
      <c r="CH3955" t="str">
        <f t="shared" si="61"/>
        <v>D-0257</v>
      </c>
    </row>
    <row r="3956" spans="1:86">
      <c r="A3956" t="s">
        <v>2565</v>
      </c>
      <c r="B3956">
        <v>386</v>
      </c>
      <c r="C3956" t="s">
        <v>2559</v>
      </c>
      <c r="D3956" t="s">
        <v>213</v>
      </c>
      <c r="E3956" t="s">
        <v>629</v>
      </c>
      <c r="F3956" t="s">
        <v>643</v>
      </c>
      <c r="G3956" t="s">
        <v>1207</v>
      </c>
      <c r="S3956">
        <v>12</v>
      </c>
      <c r="T3956">
        <v>20</v>
      </c>
      <c r="U3956">
        <v>18</v>
      </c>
      <c r="V3956">
        <v>27</v>
      </c>
      <c r="W3956">
        <v>48</v>
      </c>
      <c r="X3956">
        <v>60</v>
      </c>
      <c r="Y3956">
        <v>57</v>
      </c>
      <c r="Z3956">
        <v>48</v>
      </c>
      <c r="AA3956">
        <v>42</v>
      </c>
      <c r="AB3956">
        <v>30</v>
      </c>
      <c r="AC3956">
        <v>12</v>
      </c>
      <c r="AD3956">
        <v>12</v>
      </c>
      <c r="CH3956" t="str">
        <f t="shared" si="61"/>
        <v>D-0257</v>
      </c>
    </row>
    <row r="3957" spans="1:86">
      <c r="A3957" t="s">
        <v>2566</v>
      </c>
      <c r="B3957">
        <v>364</v>
      </c>
      <c r="C3957" t="s">
        <v>2559</v>
      </c>
      <c r="D3957" t="s">
        <v>213</v>
      </c>
      <c r="E3957" t="s">
        <v>629</v>
      </c>
      <c r="F3957" t="s">
        <v>643</v>
      </c>
      <c r="G3957" t="s">
        <v>1207</v>
      </c>
      <c r="R3957">
        <v>12</v>
      </c>
      <c r="T3957">
        <v>26</v>
      </c>
      <c r="U3957">
        <v>40</v>
      </c>
      <c r="W3957">
        <v>66</v>
      </c>
      <c r="Y3957">
        <v>75</v>
      </c>
      <c r="Z3957">
        <v>74</v>
      </c>
      <c r="AB3957">
        <v>47</v>
      </c>
      <c r="AD3957">
        <v>24</v>
      </c>
      <c r="CH3957" t="str">
        <f t="shared" si="61"/>
        <v>D-0257</v>
      </c>
    </row>
    <row r="3958" spans="1:86">
      <c r="A3958" t="s">
        <v>2567</v>
      </c>
      <c r="B3958">
        <v>4931</v>
      </c>
      <c r="C3958" t="s">
        <v>2559</v>
      </c>
      <c r="D3958" t="s">
        <v>213</v>
      </c>
      <c r="E3958" t="s">
        <v>629</v>
      </c>
      <c r="F3958" t="s">
        <v>643</v>
      </c>
      <c r="G3958" t="s">
        <v>1207</v>
      </c>
      <c r="R3958">
        <v>64</v>
      </c>
      <c r="S3958">
        <v>96</v>
      </c>
      <c r="T3958">
        <v>203</v>
      </c>
      <c r="U3958">
        <v>251</v>
      </c>
      <c r="V3958">
        <v>856</v>
      </c>
      <c r="W3958">
        <v>755</v>
      </c>
      <c r="X3958">
        <v>755</v>
      </c>
      <c r="Y3958">
        <v>755</v>
      </c>
      <c r="Z3958">
        <v>620</v>
      </c>
      <c r="AA3958">
        <v>306</v>
      </c>
      <c r="AB3958">
        <v>136</v>
      </c>
      <c r="AD3958">
        <v>78</v>
      </c>
      <c r="AF3958">
        <v>56</v>
      </c>
      <c r="CH3958" t="str">
        <f t="shared" si="61"/>
        <v>D-0257</v>
      </c>
    </row>
    <row r="3959" spans="1:86">
      <c r="A3959" t="s">
        <v>2568</v>
      </c>
      <c r="B3959">
        <v>6688</v>
      </c>
      <c r="C3959" t="s">
        <v>2287</v>
      </c>
      <c r="D3959" t="s">
        <v>213</v>
      </c>
      <c r="E3959" t="s">
        <v>642</v>
      </c>
      <c r="F3959" t="s">
        <v>643</v>
      </c>
      <c r="G3959" t="s">
        <v>2285</v>
      </c>
      <c r="P3959">
        <v>297</v>
      </c>
      <c r="Q3959">
        <v>684</v>
      </c>
      <c r="R3959">
        <v>1016</v>
      </c>
      <c r="S3959">
        <v>1528</v>
      </c>
      <c r="T3959">
        <v>1359</v>
      </c>
      <c r="U3959">
        <v>812</v>
      </c>
      <c r="V3959">
        <v>737</v>
      </c>
      <c r="W3959">
        <v>194</v>
      </c>
      <c r="X3959">
        <v>61</v>
      </c>
      <c r="CH3959" t="str">
        <f t="shared" si="61"/>
        <v>D-0257</v>
      </c>
    </row>
    <row r="3960" spans="1:86">
      <c r="A3960" t="s">
        <v>2569</v>
      </c>
      <c r="B3960">
        <v>6930</v>
      </c>
      <c r="C3960" t="s">
        <v>2287</v>
      </c>
      <c r="D3960" t="s">
        <v>213</v>
      </c>
      <c r="E3960" t="s">
        <v>642</v>
      </c>
      <c r="F3960" t="s">
        <v>643</v>
      </c>
      <c r="G3960" t="s">
        <v>2285</v>
      </c>
      <c r="P3960">
        <v>127</v>
      </c>
      <c r="Q3960">
        <v>135</v>
      </c>
      <c r="R3960">
        <v>441</v>
      </c>
      <c r="S3960">
        <v>495</v>
      </c>
      <c r="T3960">
        <v>869</v>
      </c>
      <c r="U3960">
        <v>862</v>
      </c>
      <c r="V3960">
        <v>1057</v>
      </c>
      <c r="W3960">
        <v>819</v>
      </c>
      <c r="X3960">
        <v>770</v>
      </c>
      <c r="Y3960">
        <v>440</v>
      </c>
      <c r="Z3960">
        <v>446</v>
      </c>
      <c r="AA3960">
        <v>117</v>
      </c>
      <c r="AB3960">
        <v>192</v>
      </c>
      <c r="AC3960">
        <v>77</v>
      </c>
      <c r="AD3960">
        <v>83</v>
      </c>
      <c r="CH3960" t="str">
        <f t="shared" si="61"/>
        <v>D-0257</v>
      </c>
    </row>
    <row r="3961" spans="1:86">
      <c r="A3961" t="s">
        <v>2579</v>
      </c>
      <c r="B3961">
        <v>16</v>
      </c>
      <c r="C3961" t="s">
        <v>2576</v>
      </c>
      <c r="D3961" t="s">
        <v>213</v>
      </c>
      <c r="E3961" t="s">
        <v>642</v>
      </c>
      <c r="F3961" t="s">
        <v>643</v>
      </c>
      <c r="G3961" t="s">
        <v>2577</v>
      </c>
      <c r="S3961">
        <v>2</v>
      </c>
      <c r="T3961">
        <v>3</v>
      </c>
      <c r="U3961">
        <v>4</v>
      </c>
      <c r="V3961">
        <v>3</v>
      </c>
      <c r="W3961">
        <v>2</v>
      </c>
      <c r="X3961">
        <v>2</v>
      </c>
      <c r="CH3961" t="str">
        <f t="shared" si="61"/>
        <v>D-0257</v>
      </c>
    </row>
    <row r="3962" spans="1:86">
      <c r="A3962" t="s">
        <v>5594</v>
      </c>
      <c r="B3962">
        <v>748</v>
      </c>
      <c r="C3962" t="s">
        <v>2583</v>
      </c>
      <c r="D3962" t="s">
        <v>200</v>
      </c>
      <c r="E3962" t="s">
        <v>629</v>
      </c>
      <c r="F3962" t="s">
        <v>632</v>
      </c>
      <c r="G3962" t="s">
        <v>2693</v>
      </c>
      <c r="Y3962">
        <v>114</v>
      </c>
      <c r="Z3962">
        <v>70</v>
      </c>
      <c r="AA3962">
        <v>150</v>
      </c>
      <c r="AB3962">
        <v>144</v>
      </c>
      <c r="AD3962">
        <v>144</v>
      </c>
      <c r="AF3962">
        <v>126</v>
      </c>
      <c r="CH3962" t="str">
        <f t="shared" si="61"/>
        <v>D-0212</v>
      </c>
    </row>
    <row r="3963" spans="1:86">
      <c r="A3963" t="s">
        <v>2595</v>
      </c>
      <c r="B3963">
        <v>3491</v>
      </c>
      <c r="C3963" t="s">
        <v>2596</v>
      </c>
      <c r="D3963" t="s">
        <v>313</v>
      </c>
      <c r="E3963" t="s">
        <v>629</v>
      </c>
      <c r="F3963" t="s">
        <v>636</v>
      </c>
      <c r="G3963" t="s">
        <v>2597</v>
      </c>
      <c r="U3963">
        <v>180</v>
      </c>
      <c r="W3963">
        <v>480</v>
      </c>
      <c r="Y3963">
        <v>995</v>
      </c>
      <c r="AA3963">
        <v>924</v>
      </c>
      <c r="AC3963">
        <v>612</v>
      </c>
      <c r="AE3963">
        <v>252</v>
      </c>
      <c r="AF3963">
        <v>48</v>
      </c>
      <c r="CH3963" t="str">
        <f t="shared" si="61"/>
        <v>D-0468</v>
      </c>
    </row>
    <row r="3964" spans="1:86">
      <c r="A3964" t="s">
        <v>2611</v>
      </c>
      <c r="B3964">
        <v>2010</v>
      </c>
      <c r="C3964" t="s">
        <v>687</v>
      </c>
      <c r="D3964" t="s">
        <v>457</v>
      </c>
      <c r="E3964" t="s">
        <v>629</v>
      </c>
      <c r="F3964" t="s">
        <v>672</v>
      </c>
      <c r="G3964" t="s">
        <v>688</v>
      </c>
      <c r="N3964">
        <v>48</v>
      </c>
      <c r="O3964">
        <v>90</v>
      </c>
      <c r="P3964">
        <v>96</v>
      </c>
      <c r="Q3964">
        <v>222</v>
      </c>
      <c r="R3964">
        <v>174</v>
      </c>
      <c r="S3964">
        <v>240</v>
      </c>
      <c r="T3964">
        <v>162</v>
      </c>
      <c r="U3964">
        <v>162</v>
      </c>
      <c r="V3964">
        <v>132</v>
      </c>
      <c r="W3964">
        <v>138</v>
      </c>
      <c r="X3964">
        <v>90</v>
      </c>
      <c r="Y3964">
        <v>144</v>
      </c>
      <c r="Z3964">
        <v>96</v>
      </c>
      <c r="AA3964">
        <v>54</v>
      </c>
      <c r="AB3964">
        <v>60</v>
      </c>
      <c r="AC3964">
        <v>36</v>
      </c>
      <c r="AD3964">
        <v>36</v>
      </c>
      <c r="AF3964">
        <v>18</v>
      </c>
      <c r="AH3964">
        <v>6</v>
      </c>
      <c r="AJ3964">
        <v>6</v>
      </c>
      <c r="CH3964" t="str">
        <f t="shared" si="61"/>
        <v>JV1-0695-3</v>
      </c>
    </row>
    <row r="3965" spans="1:86">
      <c r="A3965" t="s">
        <v>2613</v>
      </c>
      <c r="B3965">
        <v>449</v>
      </c>
      <c r="C3965" t="s">
        <v>687</v>
      </c>
      <c r="D3965" t="s">
        <v>457</v>
      </c>
      <c r="E3965" t="s">
        <v>629</v>
      </c>
      <c r="F3965" t="s">
        <v>672</v>
      </c>
      <c r="G3965" t="s">
        <v>688</v>
      </c>
      <c r="N3965">
        <v>24</v>
      </c>
      <c r="O3965">
        <v>36</v>
      </c>
      <c r="P3965">
        <v>36</v>
      </c>
      <c r="Q3965">
        <v>60</v>
      </c>
      <c r="R3965">
        <v>60</v>
      </c>
      <c r="S3965">
        <v>66</v>
      </c>
      <c r="T3965">
        <v>42</v>
      </c>
      <c r="U3965">
        <v>36</v>
      </c>
      <c r="V3965">
        <v>24</v>
      </c>
      <c r="W3965">
        <v>18</v>
      </c>
      <c r="X3965">
        <v>17</v>
      </c>
      <c r="Y3965">
        <v>18</v>
      </c>
      <c r="Z3965">
        <v>6</v>
      </c>
      <c r="AA3965">
        <v>6</v>
      </c>
      <c r="CH3965" t="str">
        <f t="shared" si="61"/>
        <v>JV1-0695-3</v>
      </c>
    </row>
    <row r="3966" spans="1:86">
      <c r="A3966" t="s">
        <v>2616</v>
      </c>
      <c r="B3966">
        <v>371</v>
      </c>
      <c r="C3966" t="s">
        <v>687</v>
      </c>
      <c r="D3966" t="s">
        <v>457</v>
      </c>
      <c r="E3966" t="s">
        <v>629</v>
      </c>
      <c r="F3966" t="s">
        <v>672</v>
      </c>
      <c r="G3966" t="s">
        <v>688</v>
      </c>
      <c r="N3966">
        <v>36</v>
      </c>
      <c r="O3966">
        <v>42</v>
      </c>
      <c r="P3966">
        <v>42</v>
      </c>
      <c r="Q3966">
        <v>60</v>
      </c>
      <c r="R3966">
        <v>48</v>
      </c>
      <c r="S3966">
        <v>59</v>
      </c>
      <c r="T3966">
        <v>42</v>
      </c>
      <c r="U3966">
        <v>24</v>
      </c>
      <c r="V3966">
        <v>18</v>
      </c>
      <c r="CH3966" t="str">
        <f t="shared" si="61"/>
        <v>JV1-0695-3</v>
      </c>
    </row>
    <row r="3967" spans="1:86">
      <c r="A3967" t="s">
        <v>2617</v>
      </c>
      <c r="B3967">
        <v>1614</v>
      </c>
      <c r="C3967" t="s">
        <v>687</v>
      </c>
      <c r="D3967" t="s">
        <v>457</v>
      </c>
      <c r="E3967" t="s">
        <v>629</v>
      </c>
      <c r="F3967" t="s">
        <v>672</v>
      </c>
      <c r="G3967" t="s">
        <v>688</v>
      </c>
      <c r="N3967">
        <v>78</v>
      </c>
      <c r="O3967">
        <v>120</v>
      </c>
      <c r="P3967">
        <v>138</v>
      </c>
      <c r="Q3967">
        <v>216</v>
      </c>
      <c r="R3967">
        <v>216</v>
      </c>
      <c r="S3967">
        <v>234</v>
      </c>
      <c r="T3967">
        <v>162</v>
      </c>
      <c r="U3967">
        <v>138</v>
      </c>
      <c r="V3967">
        <v>78</v>
      </c>
      <c r="W3967">
        <v>66</v>
      </c>
      <c r="X3967">
        <v>54</v>
      </c>
      <c r="Y3967">
        <v>66</v>
      </c>
      <c r="Z3967">
        <v>30</v>
      </c>
      <c r="AA3967">
        <v>18</v>
      </c>
      <c r="CH3967" t="str">
        <f t="shared" si="61"/>
        <v>JV1-0695-3</v>
      </c>
    </row>
    <row r="3968" spans="1:86">
      <c r="A3968" t="s">
        <v>2624</v>
      </c>
      <c r="B3968">
        <v>509</v>
      </c>
      <c r="C3968" t="s">
        <v>2625</v>
      </c>
      <c r="D3968" t="s">
        <v>457</v>
      </c>
      <c r="E3968" t="s">
        <v>629</v>
      </c>
      <c r="F3968" t="s">
        <v>672</v>
      </c>
      <c r="G3968" t="s">
        <v>682</v>
      </c>
      <c r="N3968">
        <v>18</v>
      </c>
      <c r="O3968">
        <v>54</v>
      </c>
      <c r="Q3968">
        <v>120</v>
      </c>
      <c r="S3968">
        <v>173</v>
      </c>
      <c r="U3968">
        <v>96</v>
      </c>
      <c r="W3968">
        <v>48</v>
      </c>
      <c r="CH3968" t="str">
        <f t="shared" si="61"/>
        <v>JV1-0695-3</v>
      </c>
    </row>
    <row r="3969" spans="1:86">
      <c r="A3969" t="s">
        <v>2626</v>
      </c>
      <c r="B3969">
        <v>509</v>
      </c>
      <c r="C3969" t="s">
        <v>2625</v>
      </c>
      <c r="D3969" t="s">
        <v>457</v>
      </c>
      <c r="E3969" t="s">
        <v>629</v>
      </c>
      <c r="F3969" t="s">
        <v>672</v>
      </c>
      <c r="G3969" t="s">
        <v>682</v>
      </c>
      <c r="N3969">
        <v>18</v>
      </c>
      <c r="O3969">
        <v>54</v>
      </c>
      <c r="Q3969">
        <v>120</v>
      </c>
      <c r="S3969">
        <v>173</v>
      </c>
      <c r="U3969">
        <v>96</v>
      </c>
      <c r="W3969">
        <v>48</v>
      </c>
      <c r="CH3969" t="str">
        <f t="shared" si="61"/>
        <v>JV1-0695-3</v>
      </c>
    </row>
    <row r="3970" spans="1:86">
      <c r="A3970" t="s">
        <v>2629</v>
      </c>
      <c r="B3970">
        <v>1206</v>
      </c>
      <c r="C3970" t="s">
        <v>681</v>
      </c>
      <c r="D3970" t="s">
        <v>457</v>
      </c>
      <c r="E3970" t="s">
        <v>629</v>
      </c>
      <c r="F3970" t="s">
        <v>672</v>
      </c>
      <c r="G3970" t="s">
        <v>682</v>
      </c>
      <c r="O3970">
        <v>132</v>
      </c>
      <c r="P3970">
        <v>72</v>
      </c>
      <c r="Q3970">
        <v>216</v>
      </c>
      <c r="R3970">
        <v>120</v>
      </c>
      <c r="S3970">
        <v>306</v>
      </c>
      <c r="T3970">
        <v>48</v>
      </c>
      <c r="U3970">
        <v>192</v>
      </c>
      <c r="V3970">
        <v>36</v>
      </c>
      <c r="W3970">
        <v>84</v>
      </c>
      <c r="CH3970" t="str">
        <f t="shared" ref="CH3970:CH4033" si="62">TRIM(IFERROR(IFERROR(MID($D3970,FIND("(D-",$D3970)+1,6),LEFT($D3970,FIND("(",$D3970)-1)),$D3970))</f>
        <v>JV1-0695-3</v>
      </c>
    </row>
    <row r="3971" spans="1:86">
      <c r="A3971" t="s">
        <v>2634</v>
      </c>
      <c r="B3971">
        <v>197</v>
      </c>
      <c r="C3971" t="s">
        <v>681</v>
      </c>
      <c r="D3971" t="s">
        <v>457</v>
      </c>
      <c r="E3971" t="s">
        <v>629</v>
      </c>
      <c r="F3971" t="s">
        <v>672</v>
      </c>
      <c r="G3971" t="s">
        <v>682</v>
      </c>
      <c r="O3971">
        <v>12</v>
      </c>
      <c r="P3971">
        <v>6</v>
      </c>
      <c r="Q3971">
        <v>30</v>
      </c>
      <c r="R3971">
        <v>12</v>
      </c>
      <c r="S3971">
        <v>59</v>
      </c>
      <c r="T3971">
        <v>12</v>
      </c>
      <c r="U3971">
        <v>36</v>
      </c>
      <c r="V3971">
        <v>12</v>
      </c>
      <c r="W3971">
        <v>18</v>
      </c>
      <c r="CH3971" t="str">
        <f t="shared" si="62"/>
        <v>JV1-0695-3</v>
      </c>
    </row>
    <row r="3972" spans="1:86">
      <c r="A3972" t="s">
        <v>2640</v>
      </c>
      <c r="B3972">
        <v>3114</v>
      </c>
      <c r="C3972" t="s">
        <v>701</v>
      </c>
      <c r="D3972" t="s">
        <v>457</v>
      </c>
      <c r="E3972" t="s">
        <v>629</v>
      </c>
      <c r="F3972" t="s">
        <v>672</v>
      </c>
      <c r="G3972" t="s">
        <v>688</v>
      </c>
      <c r="N3972">
        <v>78</v>
      </c>
      <c r="O3972">
        <v>138</v>
      </c>
      <c r="P3972">
        <v>228</v>
      </c>
      <c r="Q3972">
        <v>312</v>
      </c>
      <c r="R3972">
        <v>294</v>
      </c>
      <c r="S3972">
        <v>396</v>
      </c>
      <c r="T3972">
        <v>228</v>
      </c>
      <c r="U3972">
        <v>198</v>
      </c>
      <c r="V3972">
        <v>156</v>
      </c>
      <c r="W3972">
        <v>150</v>
      </c>
      <c r="X3972">
        <v>144</v>
      </c>
      <c r="Y3972">
        <v>84</v>
      </c>
      <c r="Z3972">
        <v>126</v>
      </c>
      <c r="AA3972">
        <v>108</v>
      </c>
      <c r="AB3972">
        <v>102</v>
      </c>
      <c r="AC3972">
        <v>60</v>
      </c>
      <c r="AD3972">
        <v>72</v>
      </c>
      <c r="AE3972">
        <v>18</v>
      </c>
      <c r="AF3972">
        <v>114</v>
      </c>
      <c r="AG3972">
        <v>6</v>
      </c>
      <c r="AH3972">
        <v>42</v>
      </c>
      <c r="AJ3972">
        <v>36</v>
      </c>
      <c r="AL3972">
        <v>24</v>
      </c>
      <c r="CH3972" t="str">
        <f t="shared" si="62"/>
        <v>JV1-0695-3</v>
      </c>
    </row>
    <row r="3973" spans="1:86">
      <c r="A3973" t="s">
        <v>2641</v>
      </c>
      <c r="B3973">
        <v>3186</v>
      </c>
      <c r="C3973" t="s">
        <v>701</v>
      </c>
      <c r="D3973" t="s">
        <v>457</v>
      </c>
      <c r="E3973" t="s">
        <v>629</v>
      </c>
      <c r="F3973" t="s">
        <v>672</v>
      </c>
      <c r="G3973" t="s">
        <v>688</v>
      </c>
      <c r="N3973">
        <v>84</v>
      </c>
      <c r="O3973">
        <v>138</v>
      </c>
      <c r="P3973">
        <v>234</v>
      </c>
      <c r="Q3973">
        <v>312</v>
      </c>
      <c r="R3973">
        <v>294</v>
      </c>
      <c r="S3973">
        <v>396</v>
      </c>
      <c r="T3973">
        <v>228</v>
      </c>
      <c r="U3973">
        <v>198</v>
      </c>
      <c r="V3973">
        <v>162</v>
      </c>
      <c r="W3973">
        <v>156</v>
      </c>
      <c r="X3973">
        <v>144</v>
      </c>
      <c r="Y3973">
        <v>84</v>
      </c>
      <c r="Z3973">
        <v>132</v>
      </c>
      <c r="AA3973">
        <v>114</v>
      </c>
      <c r="AB3973">
        <v>108</v>
      </c>
      <c r="AC3973">
        <v>66</v>
      </c>
      <c r="AD3973">
        <v>78</v>
      </c>
      <c r="AE3973">
        <v>24</v>
      </c>
      <c r="AF3973">
        <v>120</v>
      </c>
      <c r="AG3973">
        <v>6</v>
      </c>
      <c r="AH3973">
        <v>48</v>
      </c>
      <c r="AJ3973">
        <v>36</v>
      </c>
      <c r="AL3973">
        <v>24</v>
      </c>
      <c r="CH3973" t="str">
        <f t="shared" si="62"/>
        <v>JV1-0695-3</v>
      </c>
    </row>
    <row r="3974" spans="1:86">
      <c r="A3974" t="s">
        <v>2642</v>
      </c>
      <c r="B3974">
        <v>2226</v>
      </c>
      <c r="C3974" t="s">
        <v>712</v>
      </c>
      <c r="D3974" t="s">
        <v>457</v>
      </c>
      <c r="E3974" t="s">
        <v>629</v>
      </c>
      <c r="F3974" t="s">
        <v>672</v>
      </c>
      <c r="G3974" t="s">
        <v>713</v>
      </c>
      <c r="N3974">
        <v>36</v>
      </c>
      <c r="O3974">
        <v>96</v>
      </c>
      <c r="P3974">
        <v>138</v>
      </c>
      <c r="Q3974">
        <v>192</v>
      </c>
      <c r="R3974">
        <v>204</v>
      </c>
      <c r="S3974">
        <v>294</v>
      </c>
      <c r="T3974">
        <v>192</v>
      </c>
      <c r="U3974">
        <v>138</v>
      </c>
      <c r="V3974">
        <v>132</v>
      </c>
      <c r="W3974">
        <v>138</v>
      </c>
      <c r="X3974">
        <v>108</v>
      </c>
      <c r="Y3974">
        <v>108</v>
      </c>
      <c r="Z3974">
        <v>90</v>
      </c>
      <c r="AA3974">
        <v>96</v>
      </c>
      <c r="AB3974">
        <v>72</v>
      </c>
      <c r="AC3974">
        <v>30</v>
      </c>
      <c r="AD3974">
        <v>72</v>
      </c>
      <c r="AF3974">
        <v>48</v>
      </c>
      <c r="AH3974">
        <v>30</v>
      </c>
      <c r="AJ3974">
        <v>6</v>
      </c>
      <c r="AN3974">
        <v>6</v>
      </c>
      <c r="CH3974" t="str">
        <f t="shared" si="62"/>
        <v>JV1-0695-3</v>
      </c>
    </row>
    <row r="3975" spans="1:86">
      <c r="A3975" t="s">
        <v>2678</v>
      </c>
      <c r="B3975">
        <v>804</v>
      </c>
      <c r="C3975" t="s">
        <v>1163</v>
      </c>
      <c r="D3975" t="s">
        <v>457</v>
      </c>
      <c r="E3975" t="s">
        <v>629</v>
      </c>
      <c r="F3975" t="s">
        <v>672</v>
      </c>
      <c r="G3975" t="s">
        <v>688</v>
      </c>
      <c r="O3975">
        <v>90</v>
      </c>
      <c r="P3975">
        <v>96</v>
      </c>
      <c r="Q3975">
        <v>126</v>
      </c>
      <c r="R3975">
        <v>114</v>
      </c>
      <c r="S3975">
        <v>144</v>
      </c>
      <c r="T3975">
        <v>114</v>
      </c>
      <c r="U3975">
        <v>60</v>
      </c>
      <c r="W3975">
        <v>60</v>
      </c>
      <c r="CH3975" t="str">
        <f t="shared" si="62"/>
        <v>JV1-0695-3</v>
      </c>
    </row>
    <row r="3976" spans="1:86">
      <c r="A3976" t="s">
        <v>2720</v>
      </c>
      <c r="B3976">
        <v>251</v>
      </c>
      <c r="C3976" t="s">
        <v>2721</v>
      </c>
      <c r="D3976" t="s">
        <v>237</v>
      </c>
      <c r="E3976" t="s">
        <v>642</v>
      </c>
      <c r="F3976" t="s">
        <v>645</v>
      </c>
      <c r="G3976" t="s">
        <v>2722</v>
      </c>
      <c r="Q3976">
        <v>11</v>
      </c>
      <c r="S3976">
        <v>36</v>
      </c>
      <c r="U3976">
        <v>72</v>
      </c>
      <c r="W3976">
        <v>78</v>
      </c>
      <c r="Y3976">
        <v>48</v>
      </c>
      <c r="AA3976">
        <v>6</v>
      </c>
      <c r="CH3976" t="str">
        <f t="shared" si="62"/>
        <v>D-0267</v>
      </c>
    </row>
    <row r="3977" spans="1:86">
      <c r="A3977" t="s">
        <v>2808</v>
      </c>
      <c r="B3977">
        <v>3135</v>
      </c>
      <c r="C3977" t="s">
        <v>727</v>
      </c>
      <c r="D3977" t="s">
        <v>505</v>
      </c>
      <c r="E3977" t="s">
        <v>629</v>
      </c>
      <c r="F3977" t="s">
        <v>657</v>
      </c>
      <c r="G3977" t="s">
        <v>728</v>
      </c>
      <c r="T3977">
        <v>43</v>
      </c>
      <c r="U3977">
        <v>50</v>
      </c>
      <c r="V3977">
        <v>235</v>
      </c>
      <c r="W3977">
        <v>185</v>
      </c>
      <c r="X3977">
        <v>436</v>
      </c>
      <c r="Y3977">
        <v>345</v>
      </c>
      <c r="Z3977">
        <v>564</v>
      </c>
      <c r="AA3977">
        <v>249</v>
      </c>
      <c r="AB3977">
        <v>457</v>
      </c>
      <c r="AC3977">
        <v>125</v>
      </c>
      <c r="AD3977">
        <v>278</v>
      </c>
      <c r="AE3977">
        <v>22</v>
      </c>
      <c r="AF3977">
        <v>107</v>
      </c>
      <c r="AH3977">
        <v>29</v>
      </c>
      <c r="AJ3977">
        <v>10</v>
      </c>
      <c r="CH3977" t="str">
        <f t="shared" si="62"/>
        <v>QMR-2</v>
      </c>
    </row>
    <row r="3978" spans="1:86">
      <c r="A3978" t="s">
        <v>3738</v>
      </c>
      <c r="B3978">
        <v>2010</v>
      </c>
      <c r="C3978" t="s">
        <v>3739</v>
      </c>
      <c r="D3978" t="s">
        <v>251</v>
      </c>
      <c r="E3978" t="s">
        <v>629</v>
      </c>
      <c r="F3978" t="s">
        <v>657</v>
      </c>
      <c r="G3978" t="s">
        <v>3740</v>
      </c>
      <c r="O3978">
        <v>4</v>
      </c>
      <c r="P3978">
        <v>12</v>
      </c>
      <c r="Q3978">
        <v>24</v>
      </c>
      <c r="R3978">
        <v>44</v>
      </c>
      <c r="S3978">
        <v>60</v>
      </c>
      <c r="T3978">
        <v>96</v>
      </c>
      <c r="U3978">
        <v>68</v>
      </c>
      <c r="V3978">
        <v>165</v>
      </c>
      <c r="W3978">
        <v>190</v>
      </c>
      <c r="X3978">
        <v>224</v>
      </c>
      <c r="Y3978">
        <v>230</v>
      </c>
      <c r="Z3978">
        <v>215</v>
      </c>
      <c r="AA3978">
        <v>142</v>
      </c>
      <c r="AB3978">
        <v>182</v>
      </c>
      <c r="AC3978">
        <v>83</v>
      </c>
      <c r="AD3978">
        <v>134</v>
      </c>
      <c r="AE3978">
        <v>41</v>
      </c>
      <c r="AF3978">
        <v>52</v>
      </c>
      <c r="AH3978">
        <v>29</v>
      </c>
      <c r="AJ3978">
        <v>15</v>
      </c>
      <c r="CH3978" t="str">
        <f t="shared" si="62"/>
        <v>D-0272</v>
      </c>
    </row>
    <row r="3979" spans="1:86">
      <c r="A3979" t="s">
        <v>2812</v>
      </c>
      <c r="B3979">
        <v>5813</v>
      </c>
      <c r="C3979" t="s">
        <v>997</v>
      </c>
      <c r="D3979" t="s">
        <v>319</v>
      </c>
      <c r="E3979" t="s">
        <v>629</v>
      </c>
      <c r="F3979" t="s">
        <v>695</v>
      </c>
      <c r="G3979" t="s">
        <v>2593</v>
      </c>
      <c r="R3979">
        <v>80</v>
      </c>
      <c r="S3979">
        <v>24</v>
      </c>
      <c r="T3979">
        <v>392</v>
      </c>
      <c r="U3979">
        <v>356</v>
      </c>
      <c r="V3979">
        <v>534</v>
      </c>
      <c r="W3979">
        <v>697</v>
      </c>
      <c r="X3979">
        <v>716</v>
      </c>
      <c r="Y3979">
        <v>883</v>
      </c>
      <c r="Z3979">
        <v>899</v>
      </c>
      <c r="AA3979">
        <v>252</v>
      </c>
      <c r="AB3979">
        <v>536</v>
      </c>
      <c r="AC3979">
        <v>90</v>
      </c>
      <c r="AD3979">
        <v>250</v>
      </c>
      <c r="AE3979">
        <v>30</v>
      </c>
      <c r="AF3979">
        <v>56</v>
      </c>
      <c r="AH3979">
        <v>12</v>
      </c>
      <c r="AJ3979">
        <v>6</v>
      </c>
      <c r="CH3979" t="str">
        <f t="shared" si="62"/>
        <v>D-0470</v>
      </c>
    </row>
    <row r="3980" spans="1:86">
      <c r="A3980" t="s">
        <v>2835</v>
      </c>
      <c r="B3980">
        <v>1487</v>
      </c>
      <c r="C3980" t="s">
        <v>1168</v>
      </c>
      <c r="D3980" t="s">
        <v>457</v>
      </c>
      <c r="E3980" t="s">
        <v>629</v>
      </c>
      <c r="F3980" t="s">
        <v>672</v>
      </c>
      <c r="G3980" t="s">
        <v>673</v>
      </c>
      <c r="N3980">
        <v>72</v>
      </c>
      <c r="O3980">
        <v>120</v>
      </c>
      <c r="P3980">
        <v>96</v>
      </c>
      <c r="Q3980">
        <v>234</v>
      </c>
      <c r="R3980">
        <v>138</v>
      </c>
      <c r="S3980">
        <v>222</v>
      </c>
      <c r="T3980">
        <v>162</v>
      </c>
      <c r="U3980">
        <v>114</v>
      </c>
      <c r="V3980">
        <v>89</v>
      </c>
      <c r="W3980">
        <v>42</v>
      </c>
      <c r="X3980">
        <v>24</v>
      </c>
      <c r="Y3980">
        <v>48</v>
      </c>
      <c r="Z3980">
        <v>42</v>
      </c>
      <c r="AA3980">
        <v>24</v>
      </c>
      <c r="AB3980">
        <v>24</v>
      </c>
      <c r="AC3980">
        <v>6</v>
      </c>
      <c r="AD3980">
        <v>18</v>
      </c>
      <c r="AF3980">
        <v>6</v>
      </c>
      <c r="AH3980">
        <v>6</v>
      </c>
      <c r="CH3980" t="str">
        <f t="shared" si="62"/>
        <v>JV1-0695-3</v>
      </c>
    </row>
    <row r="3981" spans="1:86">
      <c r="A3981" t="s">
        <v>2836</v>
      </c>
      <c r="B3981">
        <v>3485</v>
      </c>
      <c r="C3981" t="s">
        <v>1166</v>
      </c>
      <c r="D3981" t="s">
        <v>457</v>
      </c>
      <c r="E3981" t="s">
        <v>629</v>
      </c>
      <c r="F3981" t="s">
        <v>672</v>
      </c>
      <c r="G3981" t="s">
        <v>673</v>
      </c>
      <c r="N3981">
        <v>162</v>
      </c>
      <c r="O3981">
        <v>336</v>
      </c>
      <c r="P3981">
        <v>306</v>
      </c>
      <c r="Q3981">
        <v>552</v>
      </c>
      <c r="R3981">
        <v>462</v>
      </c>
      <c r="S3981">
        <v>540</v>
      </c>
      <c r="T3981">
        <v>360</v>
      </c>
      <c r="U3981">
        <v>270</v>
      </c>
      <c r="V3981">
        <v>203</v>
      </c>
      <c r="W3981">
        <v>72</v>
      </c>
      <c r="X3981">
        <v>30</v>
      </c>
      <c r="Y3981">
        <v>60</v>
      </c>
      <c r="Z3981">
        <v>42</v>
      </c>
      <c r="AA3981">
        <v>24</v>
      </c>
      <c r="AB3981">
        <v>30</v>
      </c>
      <c r="AC3981">
        <v>12</v>
      </c>
      <c r="AD3981">
        <v>12</v>
      </c>
      <c r="AF3981">
        <v>6</v>
      </c>
      <c r="AH3981">
        <v>6</v>
      </c>
      <c r="CH3981" t="str">
        <f t="shared" si="62"/>
        <v>JV1-0695-3</v>
      </c>
    </row>
    <row r="3982" spans="1:86">
      <c r="A3982" t="s">
        <v>2837</v>
      </c>
      <c r="B3982">
        <v>2207</v>
      </c>
      <c r="C3982" t="s">
        <v>1165</v>
      </c>
      <c r="D3982" t="s">
        <v>457</v>
      </c>
      <c r="E3982" t="s">
        <v>629</v>
      </c>
      <c r="F3982" t="s">
        <v>672</v>
      </c>
      <c r="G3982" t="s">
        <v>673</v>
      </c>
      <c r="N3982">
        <v>114</v>
      </c>
      <c r="O3982">
        <v>204</v>
      </c>
      <c r="P3982">
        <v>150</v>
      </c>
      <c r="Q3982">
        <v>276</v>
      </c>
      <c r="R3982">
        <v>198</v>
      </c>
      <c r="S3982">
        <v>294</v>
      </c>
      <c r="T3982">
        <v>186</v>
      </c>
      <c r="U3982">
        <v>120</v>
      </c>
      <c r="V3982">
        <v>143</v>
      </c>
      <c r="W3982">
        <v>138</v>
      </c>
      <c r="X3982">
        <v>48</v>
      </c>
      <c r="Y3982">
        <v>132</v>
      </c>
      <c r="Z3982">
        <v>84</v>
      </c>
      <c r="AA3982">
        <v>24</v>
      </c>
      <c r="AB3982">
        <v>42</v>
      </c>
      <c r="AC3982">
        <v>12</v>
      </c>
      <c r="AD3982">
        <v>30</v>
      </c>
      <c r="AF3982">
        <v>6</v>
      </c>
      <c r="AH3982">
        <v>6</v>
      </c>
      <c r="CH3982" t="str">
        <f t="shared" si="62"/>
        <v>JV1-0695-3</v>
      </c>
    </row>
    <row r="3983" spans="1:86">
      <c r="A3983" t="s">
        <v>2838</v>
      </c>
      <c r="B3983">
        <v>251</v>
      </c>
      <c r="C3983" t="s">
        <v>718</v>
      </c>
      <c r="D3983" t="s">
        <v>457</v>
      </c>
      <c r="E3983" t="s">
        <v>629</v>
      </c>
      <c r="F3983" t="s">
        <v>672</v>
      </c>
      <c r="G3983" t="s">
        <v>673</v>
      </c>
      <c r="S3983">
        <v>6</v>
      </c>
      <c r="T3983">
        <v>6</v>
      </c>
      <c r="U3983">
        <v>18</v>
      </c>
      <c r="V3983">
        <v>23</v>
      </c>
      <c r="W3983">
        <v>24</v>
      </c>
      <c r="X3983">
        <v>30</v>
      </c>
      <c r="Y3983">
        <v>36</v>
      </c>
      <c r="Z3983">
        <v>36</v>
      </c>
      <c r="AA3983">
        <v>18</v>
      </c>
      <c r="AB3983">
        <v>18</v>
      </c>
      <c r="AC3983">
        <v>18</v>
      </c>
      <c r="AD3983">
        <v>6</v>
      </c>
      <c r="AF3983">
        <v>6</v>
      </c>
      <c r="AH3983">
        <v>6</v>
      </c>
      <c r="CH3983" t="str">
        <f t="shared" si="62"/>
        <v>JV1-0695-3</v>
      </c>
    </row>
    <row r="3984" spans="1:86">
      <c r="A3984" t="s">
        <v>2839</v>
      </c>
      <c r="B3984">
        <v>3083</v>
      </c>
      <c r="C3984" t="s">
        <v>1166</v>
      </c>
      <c r="D3984" t="s">
        <v>457</v>
      </c>
      <c r="E3984" t="s">
        <v>629</v>
      </c>
      <c r="F3984" t="s">
        <v>672</v>
      </c>
      <c r="G3984" t="s">
        <v>673</v>
      </c>
      <c r="N3984">
        <v>138</v>
      </c>
      <c r="O3984">
        <v>270</v>
      </c>
      <c r="P3984">
        <v>252</v>
      </c>
      <c r="Q3984">
        <v>528</v>
      </c>
      <c r="R3984">
        <v>384</v>
      </c>
      <c r="S3984">
        <v>498</v>
      </c>
      <c r="T3984">
        <v>366</v>
      </c>
      <c r="U3984">
        <v>276</v>
      </c>
      <c r="V3984">
        <v>227</v>
      </c>
      <c r="W3984">
        <v>48</v>
      </c>
      <c r="X3984">
        <v>12</v>
      </c>
      <c r="Y3984">
        <v>18</v>
      </c>
      <c r="Z3984">
        <v>18</v>
      </c>
      <c r="AA3984">
        <v>12</v>
      </c>
      <c r="AB3984">
        <v>12</v>
      </c>
      <c r="AC3984">
        <v>6</v>
      </c>
      <c r="AD3984">
        <v>6</v>
      </c>
      <c r="AF3984">
        <v>6</v>
      </c>
      <c r="AH3984">
        <v>6</v>
      </c>
      <c r="CH3984" t="str">
        <f t="shared" si="62"/>
        <v>JV1-0695-3</v>
      </c>
    </row>
    <row r="3985" spans="1:86">
      <c r="A3985" t="s">
        <v>2840</v>
      </c>
      <c r="B3985">
        <v>167</v>
      </c>
      <c r="C3985" t="s">
        <v>1168</v>
      </c>
      <c r="D3985" t="s">
        <v>457</v>
      </c>
      <c r="E3985" t="s">
        <v>629</v>
      </c>
      <c r="F3985" t="s">
        <v>672</v>
      </c>
      <c r="G3985" t="s">
        <v>673</v>
      </c>
      <c r="R3985">
        <v>6</v>
      </c>
      <c r="S3985">
        <v>6</v>
      </c>
      <c r="T3985">
        <v>12</v>
      </c>
      <c r="U3985">
        <v>12</v>
      </c>
      <c r="V3985">
        <v>23</v>
      </c>
      <c r="W3985">
        <v>24</v>
      </c>
      <c r="X3985">
        <v>24</v>
      </c>
      <c r="Y3985">
        <v>18</v>
      </c>
      <c r="Z3985">
        <v>18</v>
      </c>
      <c r="AA3985">
        <v>12</v>
      </c>
      <c r="AB3985">
        <v>6</v>
      </c>
      <c r="AC3985">
        <v>6</v>
      </c>
      <c r="CH3985" t="str">
        <f t="shared" si="62"/>
        <v>JV1-0695-3</v>
      </c>
    </row>
    <row r="3986" spans="1:86">
      <c r="A3986" t="s">
        <v>2841</v>
      </c>
      <c r="B3986">
        <v>485</v>
      </c>
      <c r="C3986" t="s">
        <v>1166</v>
      </c>
      <c r="D3986" t="s">
        <v>457</v>
      </c>
      <c r="E3986" t="s">
        <v>629</v>
      </c>
      <c r="F3986" t="s">
        <v>672</v>
      </c>
      <c r="G3986" t="s">
        <v>673</v>
      </c>
      <c r="N3986">
        <v>6</v>
      </c>
      <c r="O3986">
        <v>6</v>
      </c>
      <c r="P3986">
        <v>24</v>
      </c>
      <c r="Q3986">
        <v>30</v>
      </c>
      <c r="R3986">
        <v>30</v>
      </c>
      <c r="S3986">
        <v>42</v>
      </c>
      <c r="T3986">
        <v>48</v>
      </c>
      <c r="U3986">
        <v>30</v>
      </c>
      <c r="V3986">
        <v>35</v>
      </c>
      <c r="W3986">
        <v>30</v>
      </c>
      <c r="X3986">
        <v>30</v>
      </c>
      <c r="Y3986">
        <v>30</v>
      </c>
      <c r="Z3986">
        <v>42</v>
      </c>
      <c r="AA3986">
        <v>24</v>
      </c>
      <c r="AB3986">
        <v>24</v>
      </c>
      <c r="AC3986">
        <v>24</v>
      </c>
      <c r="AD3986">
        <v>18</v>
      </c>
      <c r="AE3986">
        <v>6</v>
      </c>
      <c r="AF3986">
        <v>6</v>
      </c>
      <c r="CH3986" t="str">
        <f t="shared" si="62"/>
        <v>JV1-0695-3</v>
      </c>
    </row>
    <row r="3987" spans="1:86">
      <c r="A3987" t="s">
        <v>2842</v>
      </c>
      <c r="B3987">
        <v>275</v>
      </c>
      <c r="C3987" t="s">
        <v>1166</v>
      </c>
      <c r="D3987" t="s">
        <v>457</v>
      </c>
      <c r="E3987" t="s">
        <v>629</v>
      </c>
      <c r="F3987" t="s">
        <v>672</v>
      </c>
      <c r="G3987" t="s">
        <v>673</v>
      </c>
      <c r="N3987">
        <v>6</v>
      </c>
      <c r="O3987">
        <v>12</v>
      </c>
      <c r="P3987">
        <v>12</v>
      </c>
      <c r="Q3987">
        <v>18</v>
      </c>
      <c r="R3987">
        <v>24</v>
      </c>
      <c r="S3987">
        <v>36</v>
      </c>
      <c r="T3987">
        <v>24</v>
      </c>
      <c r="U3987">
        <v>24</v>
      </c>
      <c r="V3987">
        <v>23</v>
      </c>
      <c r="W3987">
        <v>12</v>
      </c>
      <c r="X3987">
        <v>12</v>
      </c>
      <c r="Y3987">
        <v>12</v>
      </c>
      <c r="Z3987">
        <v>18</v>
      </c>
      <c r="AA3987">
        <v>12</v>
      </c>
      <c r="AB3987">
        <v>12</v>
      </c>
      <c r="AC3987">
        <v>6</v>
      </c>
      <c r="AD3987">
        <v>6</v>
      </c>
      <c r="AF3987">
        <v>6</v>
      </c>
      <c r="CH3987" t="str">
        <f t="shared" si="62"/>
        <v>JV1-0695-3</v>
      </c>
    </row>
    <row r="3988" spans="1:86">
      <c r="A3988" t="s">
        <v>2847</v>
      </c>
      <c r="B3988">
        <v>1307</v>
      </c>
      <c r="C3988" t="s">
        <v>1168</v>
      </c>
      <c r="D3988" t="s">
        <v>457</v>
      </c>
      <c r="E3988" t="s">
        <v>629</v>
      </c>
      <c r="F3988" t="s">
        <v>672</v>
      </c>
      <c r="G3988" t="s">
        <v>673</v>
      </c>
      <c r="N3988">
        <v>42</v>
      </c>
      <c r="O3988">
        <v>72</v>
      </c>
      <c r="P3988">
        <v>78</v>
      </c>
      <c r="Q3988">
        <v>144</v>
      </c>
      <c r="R3988">
        <v>120</v>
      </c>
      <c r="S3988">
        <v>156</v>
      </c>
      <c r="T3988">
        <v>126</v>
      </c>
      <c r="U3988">
        <v>96</v>
      </c>
      <c r="V3988">
        <v>101</v>
      </c>
      <c r="W3988">
        <v>66</v>
      </c>
      <c r="X3988">
        <v>72</v>
      </c>
      <c r="Y3988">
        <v>30</v>
      </c>
      <c r="Z3988">
        <v>66</v>
      </c>
      <c r="AA3988">
        <v>24</v>
      </c>
      <c r="AB3988">
        <v>48</v>
      </c>
      <c r="AC3988">
        <v>12</v>
      </c>
      <c r="AD3988">
        <v>30</v>
      </c>
      <c r="AF3988">
        <v>18</v>
      </c>
      <c r="AH3988">
        <v>6</v>
      </c>
      <c r="CH3988" t="str">
        <f t="shared" si="62"/>
        <v>JV1-0695-3</v>
      </c>
    </row>
    <row r="3989" spans="1:86">
      <c r="A3989" t="s">
        <v>2848</v>
      </c>
      <c r="B3989">
        <v>1307</v>
      </c>
      <c r="C3989" t="s">
        <v>1166</v>
      </c>
      <c r="D3989" t="s">
        <v>457</v>
      </c>
      <c r="E3989" t="s">
        <v>629</v>
      </c>
      <c r="F3989" t="s">
        <v>672</v>
      </c>
      <c r="G3989" t="s">
        <v>673</v>
      </c>
      <c r="N3989">
        <v>42</v>
      </c>
      <c r="O3989">
        <v>72</v>
      </c>
      <c r="P3989">
        <v>78</v>
      </c>
      <c r="Q3989">
        <v>144</v>
      </c>
      <c r="R3989">
        <v>120</v>
      </c>
      <c r="S3989">
        <v>156</v>
      </c>
      <c r="T3989">
        <v>126</v>
      </c>
      <c r="U3989">
        <v>96</v>
      </c>
      <c r="V3989">
        <v>101</v>
      </c>
      <c r="W3989">
        <v>66</v>
      </c>
      <c r="X3989">
        <v>72</v>
      </c>
      <c r="Y3989">
        <v>30</v>
      </c>
      <c r="Z3989">
        <v>66</v>
      </c>
      <c r="AA3989">
        <v>24</v>
      </c>
      <c r="AB3989">
        <v>48</v>
      </c>
      <c r="AC3989">
        <v>12</v>
      </c>
      <c r="AD3989">
        <v>30</v>
      </c>
      <c r="AF3989">
        <v>18</v>
      </c>
      <c r="AH3989">
        <v>6</v>
      </c>
      <c r="CH3989" t="str">
        <f t="shared" si="62"/>
        <v>JV1-0695-3</v>
      </c>
    </row>
    <row r="3990" spans="1:86">
      <c r="A3990" t="s">
        <v>2849</v>
      </c>
      <c r="B3990">
        <v>1307</v>
      </c>
      <c r="C3990" t="s">
        <v>1166</v>
      </c>
      <c r="D3990" t="s">
        <v>457</v>
      </c>
      <c r="E3990" t="s">
        <v>629</v>
      </c>
      <c r="F3990" t="s">
        <v>672</v>
      </c>
      <c r="G3990" t="s">
        <v>673</v>
      </c>
      <c r="N3990">
        <v>42</v>
      </c>
      <c r="O3990">
        <v>72</v>
      </c>
      <c r="P3990">
        <v>78</v>
      </c>
      <c r="Q3990">
        <v>144</v>
      </c>
      <c r="R3990">
        <v>120</v>
      </c>
      <c r="S3990">
        <v>156</v>
      </c>
      <c r="T3990">
        <v>126</v>
      </c>
      <c r="U3990">
        <v>96</v>
      </c>
      <c r="V3990">
        <v>101</v>
      </c>
      <c r="W3990">
        <v>66</v>
      </c>
      <c r="X3990">
        <v>72</v>
      </c>
      <c r="Y3990">
        <v>30</v>
      </c>
      <c r="Z3990">
        <v>66</v>
      </c>
      <c r="AA3990">
        <v>24</v>
      </c>
      <c r="AB3990">
        <v>48</v>
      </c>
      <c r="AC3990">
        <v>12</v>
      </c>
      <c r="AD3990">
        <v>30</v>
      </c>
      <c r="AF3990">
        <v>18</v>
      </c>
      <c r="AH3990">
        <v>6</v>
      </c>
      <c r="CH3990" t="str">
        <f t="shared" si="62"/>
        <v>JV1-0695-3</v>
      </c>
    </row>
    <row r="3991" spans="1:86">
      <c r="A3991" t="s">
        <v>2853</v>
      </c>
      <c r="B3991">
        <v>605</v>
      </c>
      <c r="C3991" t="s">
        <v>1166</v>
      </c>
      <c r="D3991" t="s">
        <v>457</v>
      </c>
      <c r="E3991" t="s">
        <v>629</v>
      </c>
      <c r="F3991" t="s">
        <v>672</v>
      </c>
      <c r="G3991" t="s">
        <v>673</v>
      </c>
      <c r="N3991">
        <v>18</v>
      </c>
      <c r="O3991">
        <v>30</v>
      </c>
      <c r="P3991">
        <v>36</v>
      </c>
      <c r="Q3991">
        <v>60</v>
      </c>
      <c r="R3991">
        <v>60</v>
      </c>
      <c r="S3991">
        <v>66</v>
      </c>
      <c r="T3991">
        <v>54</v>
      </c>
      <c r="U3991">
        <v>42</v>
      </c>
      <c r="V3991">
        <v>41</v>
      </c>
      <c r="W3991">
        <v>24</v>
      </c>
      <c r="X3991">
        <v>48</v>
      </c>
      <c r="Y3991">
        <v>18</v>
      </c>
      <c r="Z3991">
        <v>42</v>
      </c>
      <c r="AA3991">
        <v>18</v>
      </c>
      <c r="AB3991">
        <v>24</v>
      </c>
      <c r="AC3991">
        <v>12</v>
      </c>
      <c r="AD3991">
        <v>12</v>
      </c>
      <c r="CH3991" t="str">
        <f t="shared" si="62"/>
        <v>JV1-0695-3</v>
      </c>
    </row>
    <row r="3992" spans="1:86">
      <c r="A3992" t="s">
        <v>2854</v>
      </c>
      <c r="B3992">
        <v>545</v>
      </c>
      <c r="C3992" t="s">
        <v>1168</v>
      </c>
      <c r="D3992" t="s">
        <v>457</v>
      </c>
      <c r="E3992" t="s">
        <v>629</v>
      </c>
      <c r="F3992" t="s">
        <v>672</v>
      </c>
      <c r="G3992" t="s">
        <v>673</v>
      </c>
      <c r="N3992">
        <v>18</v>
      </c>
      <c r="O3992">
        <v>24</v>
      </c>
      <c r="P3992">
        <v>24</v>
      </c>
      <c r="Q3992">
        <v>42</v>
      </c>
      <c r="R3992">
        <v>42</v>
      </c>
      <c r="S3992">
        <v>48</v>
      </c>
      <c r="T3992">
        <v>36</v>
      </c>
      <c r="U3992">
        <v>30</v>
      </c>
      <c r="V3992">
        <v>29</v>
      </c>
      <c r="W3992">
        <v>24</v>
      </c>
      <c r="X3992">
        <v>30</v>
      </c>
      <c r="Y3992">
        <v>24</v>
      </c>
      <c r="Z3992">
        <v>36</v>
      </c>
      <c r="AA3992">
        <v>24</v>
      </c>
      <c r="AB3992">
        <v>36</v>
      </c>
      <c r="AC3992">
        <v>18</v>
      </c>
      <c r="AD3992">
        <v>24</v>
      </c>
      <c r="AF3992">
        <v>12</v>
      </c>
      <c r="AH3992">
        <v>12</v>
      </c>
      <c r="AJ3992">
        <v>12</v>
      </c>
      <c r="CH3992" t="str">
        <f t="shared" si="62"/>
        <v>JV1-0695-3</v>
      </c>
    </row>
    <row r="3993" spans="1:86">
      <c r="A3993" t="s">
        <v>2855</v>
      </c>
      <c r="B3993">
        <v>257</v>
      </c>
      <c r="C3993" t="s">
        <v>1165</v>
      </c>
      <c r="D3993" t="s">
        <v>457</v>
      </c>
      <c r="E3993" t="s">
        <v>629</v>
      </c>
      <c r="F3993" t="s">
        <v>672</v>
      </c>
      <c r="G3993" t="s">
        <v>673</v>
      </c>
      <c r="N3993">
        <v>24</v>
      </c>
      <c r="O3993">
        <v>24</v>
      </c>
      <c r="P3993">
        <v>24</v>
      </c>
      <c r="Q3993">
        <v>30</v>
      </c>
      <c r="R3993">
        <v>30</v>
      </c>
      <c r="S3993">
        <v>24</v>
      </c>
      <c r="T3993">
        <v>24</v>
      </c>
      <c r="U3993">
        <v>24</v>
      </c>
      <c r="V3993">
        <v>17</v>
      </c>
      <c r="W3993">
        <v>12</v>
      </c>
      <c r="X3993">
        <v>12</v>
      </c>
      <c r="Z3993">
        <v>12</v>
      </c>
      <c r="CH3993" t="str">
        <f t="shared" si="62"/>
        <v>JV1-0695-3</v>
      </c>
    </row>
    <row r="3994" spans="1:86">
      <c r="A3994" t="s">
        <v>2886</v>
      </c>
      <c r="B3994">
        <v>40</v>
      </c>
      <c r="C3994" t="s">
        <v>1382</v>
      </c>
      <c r="D3994" t="s">
        <v>540</v>
      </c>
      <c r="E3994" t="s">
        <v>676</v>
      </c>
      <c r="F3994" t="s">
        <v>1383</v>
      </c>
      <c r="Q3994">
        <v>2</v>
      </c>
      <c r="R3994">
        <v>4</v>
      </c>
      <c r="S3994">
        <v>2</v>
      </c>
      <c r="T3994">
        <v>4</v>
      </c>
      <c r="U3994">
        <v>4</v>
      </c>
      <c r="V3994">
        <v>3</v>
      </c>
      <c r="W3994">
        <v>3</v>
      </c>
      <c r="X3994">
        <v>6</v>
      </c>
      <c r="AD3994">
        <v>1</v>
      </c>
      <c r="AF3994">
        <v>10</v>
      </c>
      <c r="AJ3994">
        <v>1</v>
      </c>
      <c r="CH3994" t="str">
        <f t="shared" si="62"/>
        <v>D-0345</v>
      </c>
    </row>
    <row r="3995" spans="1:86">
      <c r="A3995" t="s">
        <v>2887</v>
      </c>
      <c r="B3995">
        <v>7</v>
      </c>
      <c r="C3995" t="s">
        <v>1382</v>
      </c>
      <c r="D3995" t="s">
        <v>540</v>
      </c>
      <c r="E3995" t="s">
        <v>676</v>
      </c>
      <c r="F3995" t="s">
        <v>1383</v>
      </c>
      <c r="Z3995">
        <v>2</v>
      </c>
      <c r="AA3995">
        <v>3</v>
      </c>
      <c r="AC3995">
        <v>2</v>
      </c>
      <c r="CH3995" t="str">
        <f t="shared" si="62"/>
        <v>D-0345</v>
      </c>
    </row>
    <row r="3996" spans="1:86">
      <c r="A3996" t="s">
        <v>2918</v>
      </c>
      <c r="B3996">
        <v>2309</v>
      </c>
      <c r="C3996" t="s">
        <v>1168</v>
      </c>
      <c r="D3996" t="s">
        <v>457</v>
      </c>
      <c r="E3996" t="s">
        <v>629</v>
      </c>
      <c r="F3996" t="s">
        <v>672</v>
      </c>
      <c r="G3996" t="s">
        <v>673</v>
      </c>
      <c r="P3996">
        <v>384</v>
      </c>
      <c r="Q3996">
        <v>384</v>
      </c>
      <c r="R3996">
        <v>384</v>
      </c>
      <c r="S3996">
        <v>384</v>
      </c>
      <c r="T3996">
        <v>384</v>
      </c>
      <c r="U3996">
        <v>389</v>
      </c>
      <c r="CH3996" t="str">
        <f t="shared" si="62"/>
        <v>JV1-0695-3</v>
      </c>
    </row>
    <row r="3997" spans="1:86">
      <c r="A3997" t="s">
        <v>5595</v>
      </c>
      <c r="B3997">
        <v>120</v>
      </c>
      <c r="C3997" t="s">
        <v>5144</v>
      </c>
      <c r="D3997" t="s">
        <v>5145</v>
      </c>
      <c r="E3997" t="s">
        <v>642</v>
      </c>
      <c r="F3997" t="s">
        <v>5146</v>
      </c>
      <c r="G3997" t="s">
        <v>2593</v>
      </c>
      <c r="P3997">
        <v>5</v>
      </c>
      <c r="Q3997">
        <v>8</v>
      </c>
      <c r="R3997">
        <v>15</v>
      </c>
      <c r="S3997">
        <v>16</v>
      </c>
      <c r="T3997">
        <v>17</v>
      </c>
      <c r="U3997">
        <v>15</v>
      </c>
      <c r="V3997">
        <v>15</v>
      </c>
      <c r="W3997">
        <v>12</v>
      </c>
      <c r="X3997">
        <v>3</v>
      </c>
      <c r="Y3997">
        <v>3</v>
      </c>
      <c r="Z3997">
        <v>3</v>
      </c>
      <c r="AA3997">
        <v>3</v>
      </c>
      <c r="AB3997">
        <v>3</v>
      </c>
      <c r="AD3997">
        <v>2</v>
      </c>
      <c r="CH3997" t="str">
        <f t="shared" si="62"/>
        <v>D-0514</v>
      </c>
    </row>
    <row r="3998" spans="1:86">
      <c r="A3998" t="s">
        <v>3128</v>
      </c>
      <c r="B3998">
        <v>138</v>
      </c>
      <c r="C3998" t="s">
        <v>1123</v>
      </c>
      <c r="D3998" t="s">
        <v>291</v>
      </c>
      <c r="E3998" t="s">
        <v>642</v>
      </c>
      <c r="F3998" t="s">
        <v>661</v>
      </c>
      <c r="G3998" t="s">
        <v>3124</v>
      </c>
      <c r="X3998">
        <v>138</v>
      </c>
      <c r="CH3998" t="str">
        <f t="shared" si="62"/>
        <v>D-0419</v>
      </c>
    </row>
    <row r="3999" spans="1:86">
      <c r="A3999" t="s">
        <v>3133</v>
      </c>
      <c r="B3999">
        <v>300</v>
      </c>
      <c r="C3999" t="s">
        <v>1123</v>
      </c>
      <c r="D3999" t="s">
        <v>291</v>
      </c>
      <c r="E3999" t="s">
        <v>642</v>
      </c>
      <c r="F3999" t="s">
        <v>661</v>
      </c>
      <c r="G3999" t="s">
        <v>3124</v>
      </c>
      <c r="S3999">
        <v>300</v>
      </c>
      <c r="CH3999" t="str">
        <f t="shared" si="62"/>
        <v>D-0419</v>
      </c>
    </row>
    <row r="4000" spans="1:86">
      <c r="A4000" t="s">
        <v>3134</v>
      </c>
      <c r="B4000">
        <v>183</v>
      </c>
      <c r="C4000" t="s">
        <v>1123</v>
      </c>
      <c r="D4000" t="s">
        <v>291</v>
      </c>
      <c r="E4000" t="s">
        <v>642</v>
      </c>
      <c r="F4000" t="s">
        <v>661</v>
      </c>
      <c r="G4000" t="s">
        <v>3124</v>
      </c>
      <c r="R4000">
        <v>183</v>
      </c>
      <c r="CH4000" t="str">
        <f t="shared" si="62"/>
        <v>D-0419</v>
      </c>
    </row>
    <row r="4001" spans="1:86">
      <c r="A4001" t="s">
        <v>3135</v>
      </c>
      <c r="B4001">
        <v>56</v>
      </c>
      <c r="C4001" t="s">
        <v>1123</v>
      </c>
      <c r="D4001" t="s">
        <v>291</v>
      </c>
      <c r="E4001" t="s">
        <v>642</v>
      </c>
      <c r="F4001" t="s">
        <v>661</v>
      </c>
      <c r="G4001" t="s">
        <v>3124</v>
      </c>
      <c r="Q4001">
        <v>56</v>
      </c>
      <c r="CH4001" t="str">
        <f t="shared" si="62"/>
        <v>D-0419</v>
      </c>
    </row>
    <row r="4002" spans="1:86">
      <c r="A4002" t="s">
        <v>3215</v>
      </c>
      <c r="B4002">
        <v>2562</v>
      </c>
      <c r="C4002" t="s">
        <v>1175</v>
      </c>
      <c r="D4002" t="s">
        <v>458</v>
      </c>
      <c r="E4002" t="s">
        <v>629</v>
      </c>
      <c r="F4002" t="s">
        <v>672</v>
      </c>
      <c r="G4002" t="s">
        <v>732</v>
      </c>
      <c r="N4002">
        <v>90</v>
      </c>
      <c r="O4002">
        <v>138</v>
      </c>
      <c r="P4002">
        <v>144</v>
      </c>
      <c r="Q4002">
        <v>228</v>
      </c>
      <c r="R4002">
        <v>198</v>
      </c>
      <c r="S4002">
        <v>222</v>
      </c>
      <c r="T4002">
        <v>150</v>
      </c>
      <c r="U4002">
        <v>144</v>
      </c>
      <c r="V4002">
        <v>168</v>
      </c>
      <c r="W4002">
        <v>180</v>
      </c>
      <c r="X4002">
        <v>168</v>
      </c>
      <c r="Y4002">
        <v>210</v>
      </c>
      <c r="Z4002">
        <v>168</v>
      </c>
      <c r="AA4002">
        <v>108</v>
      </c>
      <c r="AB4002">
        <v>114</v>
      </c>
      <c r="AC4002">
        <v>60</v>
      </c>
      <c r="AD4002">
        <v>42</v>
      </c>
      <c r="AF4002">
        <v>30</v>
      </c>
      <c r="CH4002" t="str">
        <f t="shared" si="62"/>
        <v>JV1-0695-3</v>
      </c>
    </row>
    <row r="4003" spans="1:86">
      <c r="A4003" t="s">
        <v>3216</v>
      </c>
      <c r="B4003">
        <v>2586</v>
      </c>
      <c r="C4003" t="s">
        <v>1175</v>
      </c>
      <c r="D4003" t="s">
        <v>458</v>
      </c>
      <c r="E4003" t="s">
        <v>629</v>
      </c>
      <c r="F4003" t="s">
        <v>672</v>
      </c>
      <c r="G4003" t="s">
        <v>732</v>
      </c>
      <c r="N4003">
        <v>90</v>
      </c>
      <c r="O4003">
        <v>138</v>
      </c>
      <c r="P4003">
        <v>150</v>
      </c>
      <c r="Q4003">
        <v>228</v>
      </c>
      <c r="R4003">
        <v>198</v>
      </c>
      <c r="S4003">
        <v>216</v>
      </c>
      <c r="T4003">
        <v>150</v>
      </c>
      <c r="U4003">
        <v>144</v>
      </c>
      <c r="V4003">
        <v>174</v>
      </c>
      <c r="W4003">
        <v>180</v>
      </c>
      <c r="X4003">
        <v>168</v>
      </c>
      <c r="Y4003">
        <v>210</v>
      </c>
      <c r="Z4003">
        <v>174</v>
      </c>
      <c r="AA4003">
        <v>108</v>
      </c>
      <c r="AB4003">
        <v>108</v>
      </c>
      <c r="AC4003">
        <v>66</v>
      </c>
      <c r="AD4003">
        <v>48</v>
      </c>
      <c r="AF4003">
        <v>30</v>
      </c>
      <c r="AH4003">
        <v>6</v>
      </c>
      <c r="CH4003" t="str">
        <f t="shared" si="62"/>
        <v>JV1-0695-3</v>
      </c>
    </row>
    <row r="4004" spans="1:86">
      <c r="A4004" t="s">
        <v>3224</v>
      </c>
      <c r="B4004">
        <v>1806</v>
      </c>
      <c r="C4004" t="s">
        <v>1175</v>
      </c>
      <c r="D4004" t="s">
        <v>458</v>
      </c>
      <c r="E4004" t="s">
        <v>629</v>
      </c>
      <c r="F4004" t="s">
        <v>672</v>
      </c>
      <c r="G4004" t="s">
        <v>732</v>
      </c>
      <c r="N4004">
        <v>54</v>
      </c>
      <c r="O4004">
        <v>240</v>
      </c>
      <c r="Q4004">
        <v>624</v>
      </c>
      <c r="S4004">
        <v>594</v>
      </c>
      <c r="U4004">
        <v>198</v>
      </c>
      <c r="W4004">
        <v>96</v>
      </c>
      <c r="CH4004" t="str">
        <f t="shared" si="62"/>
        <v>JV1-0695-3</v>
      </c>
    </row>
    <row r="4005" spans="1:86">
      <c r="A4005" t="s">
        <v>3227</v>
      </c>
      <c r="B4005">
        <v>516</v>
      </c>
      <c r="C4005" t="s">
        <v>3228</v>
      </c>
      <c r="D4005" t="s">
        <v>1147</v>
      </c>
      <c r="E4005" t="s">
        <v>3229</v>
      </c>
      <c r="F4005" t="s">
        <v>703</v>
      </c>
      <c r="G4005" t="s">
        <v>704</v>
      </c>
      <c r="AS4005">
        <v>49</v>
      </c>
      <c r="AT4005">
        <v>50</v>
      </c>
      <c r="AU4005">
        <v>52</v>
      </c>
      <c r="AV4005">
        <v>52</v>
      </c>
      <c r="AW4005">
        <v>55</v>
      </c>
      <c r="AX4005">
        <v>65</v>
      </c>
      <c r="AY4005">
        <v>65</v>
      </c>
      <c r="AZ4005">
        <v>65</v>
      </c>
      <c r="BA4005">
        <v>63</v>
      </c>
      <c r="CH4005" t="str">
        <f t="shared" si="62"/>
        <v>D-0725</v>
      </c>
    </row>
    <row r="4006" spans="1:86">
      <c r="A4006" t="s">
        <v>3283</v>
      </c>
      <c r="B4006">
        <v>336</v>
      </c>
      <c r="C4006" t="s">
        <v>1202</v>
      </c>
      <c r="D4006" t="s">
        <v>291</v>
      </c>
      <c r="E4006" t="s">
        <v>629</v>
      </c>
      <c r="F4006" t="s">
        <v>661</v>
      </c>
      <c r="G4006" t="s">
        <v>2557</v>
      </c>
      <c r="R4006">
        <v>6</v>
      </c>
      <c r="S4006">
        <v>18</v>
      </c>
      <c r="U4006">
        <v>18</v>
      </c>
      <c r="W4006">
        <v>60</v>
      </c>
      <c r="Y4006">
        <v>78</v>
      </c>
      <c r="AA4006">
        <v>66</v>
      </c>
      <c r="AC4006">
        <v>48</v>
      </c>
      <c r="AE4006">
        <v>12</v>
      </c>
      <c r="AH4006">
        <v>30</v>
      </c>
      <c r="CH4006" t="str">
        <f t="shared" si="62"/>
        <v>D-0419</v>
      </c>
    </row>
    <row r="4007" spans="1:86">
      <c r="A4007" t="s">
        <v>3374</v>
      </c>
      <c r="B4007">
        <v>5345</v>
      </c>
      <c r="C4007" t="s">
        <v>727</v>
      </c>
      <c r="D4007" t="s">
        <v>505</v>
      </c>
      <c r="E4007" t="s">
        <v>629</v>
      </c>
      <c r="F4007" t="s">
        <v>657</v>
      </c>
      <c r="G4007" t="s">
        <v>728</v>
      </c>
      <c r="T4007">
        <v>241</v>
      </c>
      <c r="U4007">
        <v>190</v>
      </c>
      <c r="V4007">
        <v>361</v>
      </c>
      <c r="W4007">
        <v>360</v>
      </c>
      <c r="X4007">
        <v>602</v>
      </c>
      <c r="Y4007">
        <v>540</v>
      </c>
      <c r="Z4007">
        <v>720</v>
      </c>
      <c r="AA4007">
        <v>600</v>
      </c>
      <c r="AB4007">
        <v>480</v>
      </c>
      <c r="AC4007">
        <v>300</v>
      </c>
      <c r="AD4007">
        <v>300</v>
      </c>
      <c r="AF4007">
        <v>480</v>
      </c>
      <c r="AH4007">
        <v>171</v>
      </c>
      <c r="CH4007" t="str">
        <f t="shared" si="62"/>
        <v>QMR-2</v>
      </c>
    </row>
    <row r="4008" spans="1:86">
      <c r="A4008" t="s">
        <v>3379</v>
      </c>
      <c r="B4008">
        <v>1088</v>
      </c>
      <c r="C4008" t="s">
        <v>939</v>
      </c>
      <c r="D4008" t="s">
        <v>249</v>
      </c>
      <c r="E4008" t="s">
        <v>642</v>
      </c>
      <c r="F4008" t="s">
        <v>709</v>
      </c>
      <c r="G4008" t="s">
        <v>728</v>
      </c>
      <c r="P4008">
        <v>7</v>
      </c>
      <c r="S4008">
        <v>103</v>
      </c>
      <c r="T4008">
        <v>117</v>
      </c>
      <c r="U4008">
        <v>101</v>
      </c>
      <c r="V4008">
        <v>138</v>
      </c>
      <c r="W4008">
        <v>145</v>
      </c>
      <c r="X4008">
        <v>66</v>
      </c>
      <c r="Y4008">
        <v>86</v>
      </c>
      <c r="Z4008">
        <v>55</v>
      </c>
      <c r="AA4008">
        <v>49</v>
      </c>
      <c r="AB4008">
        <v>68</v>
      </c>
      <c r="AC4008">
        <v>38</v>
      </c>
      <c r="AD4008">
        <v>39</v>
      </c>
      <c r="AE4008">
        <v>25</v>
      </c>
      <c r="AF4008">
        <v>19</v>
      </c>
      <c r="AH4008">
        <v>13</v>
      </c>
      <c r="AI4008">
        <v>11</v>
      </c>
      <c r="AK4008">
        <v>8</v>
      </c>
      <c r="CH4008" t="str">
        <f t="shared" si="62"/>
        <v>D-0271</v>
      </c>
    </row>
    <row r="4009" spans="1:86">
      <c r="A4009" t="s">
        <v>3387</v>
      </c>
      <c r="B4009">
        <v>3697</v>
      </c>
      <c r="C4009" t="s">
        <v>3388</v>
      </c>
      <c r="D4009" t="s">
        <v>308</v>
      </c>
      <c r="E4009" t="s">
        <v>629</v>
      </c>
      <c r="F4009" t="s">
        <v>633</v>
      </c>
      <c r="G4009" t="s">
        <v>3389</v>
      </c>
      <c r="R4009">
        <v>3</v>
      </c>
      <c r="S4009">
        <v>16</v>
      </c>
      <c r="T4009">
        <v>205</v>
      </c>
      <c r="U4009">
        <v>207</v>
      </c>
      <c r="V4009">
        <v>233</v>
      </c>
      <c r="W4009">
        <v>378</v>
      </c>
      <c r="X4009">
        <v>396</v>
      </c>
      <c r="Y4009">
        <v>399</v>
      </c>
      <c r="Z4009">
        <v>424</v>
      </c>
      <c r="AA4009">
        <v>406</v>
      </c>
      <c r="AB4009">
        <v>393</v>
      </c>
      <c r="AC4009">
        <v>205</v>
      </c>
      <c r="AD4009">
        <v>233</v>
      </c>
      <c r="AE4009">
        <v>11</v>
      </c>
      <c r="AF4009">
        <v>188</v>
      </c>
      <c r="CH4009" t="str">
        <f t="shared" si="62"/>
        <v>D-0454</v>
      </c>
    </row>
    <row r="4010" spans="1:86">
      <c r="A4010" t="s">
        <v>3749</v>
      </c>
      <c r="B4010">
        <v>1862</v>
      </c>
      <c r="C4010" t="s">
        <v>3750</v>
      </c>
      <c r="D4010" t="s">
        <v>214</v>
      </c>
      <c r="E4010" t="s">
        <v>629</v>
      </c>
      <c r="F4010" t="s">
        <v>721</v>
      </c>
      <c r="G4010" t="s">
        <v>3751</v>
      </c>
      <c r="R4010">
        <v>12</v>
      </c>
      <c r="S4010">
        <v>24</v>
      </c>
      <c r="T4010">
        <v>66</v>
      </c>
      <c r="U4010">
        <v>72</v>
      </c>
      <c r="V4010">
        <v>138</v>
      </c>
      <c r="W4010">
        <v>222</v>
      </c>
      <c r="X4010">
        <v>242</v>
      </c>
      <c r="Y4010">
        <v>306</v>
      </c>
      <c r="Z4010">
        <v>216</v>
      </c>
      <c r="AA4010">
        <v>234</v>
      </c>
      <c r="AB4010">
        <v>138</v>
      </c>
      <c r="AC4010">
        <v>78</v>
      </c>
      <c r="AD4010">
        <v>54</v>
      </c>
      <c r="AE4010">
        <v>6</v>
      </c>
      <c r="AF4010">
        <v>18</v>
      </c>
      <c r="AH4010">
        <v>30</v>
      </c>
      <c r="AJ4010">
        <v>6</v>
      </c>
      <c r="CH4010" t="str">
        <f t="shared" si="62"/>
        <v>D-0258</v>
      </c>
    </row>
    <row r="4011" spans="1:86">
      <c r="A4011" t="s">
        <v>3752</v>
      </c>
      <c r="B4011">
        <v>2078</v>
      </c>
      <c r="C4011" t="s">
        <v>3750</v>
      </c>
      <c r="D4011" t="s">
        <v>214</v>
      </c>
      <c r="E4011" t="s">
        <v>629</v>
      </c>
      <c r="F4011" t="s">
        <v>721</v>
      </c>
      <c r="G4011" t="s">
        <v>3751</v>
      </c>
      <c r="R4011">
        <v>12</v>
      </c>
      <c r="S4011">
        <v>6</v>
      </c>
      <c r="T4011">
        <v>90</v>
      </c>
      <c r="U4011">
        <v>24</v>
      </c>
      <c r="V4011">
        <v>276</v>
      </c>
      <c r="W4011">
        <v>72</v>
      </c>
      <c r="X4011">
        <v>560</v>
      </c>
      <c r="Y4011">
        <v>186</v>
      </c>
      <c r="Z4011">
        <v>474</v>
      </c>
      <c r="AA4011">
        <v>66</v>
      </c>
      <c r="AB4011">
        <v>222</v>
      </c>
      <c r="AC4011">
        <v>6</v>
      </c>
      <c r="AD4011">
        <v>66</v>
      </c>
      <c r="AF4011">
        <v>18</v>
      </c>
      <c r="CH4011" t="str">
        <f t="shared" si="62"/>
        <v>D-0258</v>
      </c>
    </row>
    <row r="4012" spans="1:86">
      <c r="A4012" t="s">
        <v>3456</v>
      </c>
      <c r="B4012">
        <v>254</v>
      </c>
      <c r="C4012" t="s">
        <v>951</v>
      </c>
      <c r="D4012" t="s">
        <v>233</v>
      </c>
      <c r="E4012" t="s">
        <v>642</v>
      </c>
      <c r="F4012" t="s">
        <v>657</v>
      </c>
      <c r="G4012" t="s">
        <v>952</v>
      </c>
      <c r="AD4012">
        <v>254</v>
      </c>
      <c r="CH4012" t="str">
        <f t="shared" si="62"/>
        <v>D-0265</v>
      </c>
    </row>
    <row r="4013" spans="1:86">
      <c r="A4013" t="s">
        <v>3458</v>
      </c>
      <c r="B4013">
        <v>723</v>
      </c>
      <c r="C4013" t="s">
        <v>951</v>
      </c>
      <c r="D4013" t="s">
        <v>233</v>
      </c>
      <c r="E4013" t="s">
        <v>642</v>
      </c>
      <c r="F4013" t="s">
        <v>657</v>
      </c>
      <c r="G4013" t="s">
        <v>952</v>
      </c>
      <c r="AB4013">
        <v>723</v>
      </c>
      <c r="CH4013" t="str">
        <f t="shared" si="62"/>
        <v>D-0265</v>
      </c>
    </row>
    <row r="4014" spans="1:86">
      <c r="A4014" t="s">
        <v>3459</v>
      </c>
      <c r="B4014">
        <v>463</v>
      </c>
      <c r="C4014" t="s">
        <v>951</v>
      </c>
      <c r="D4014" t="s">
        <v>233</v>
      </c>
      <c r="E4014" t="s">
        <v>642</v>
      </c>
      <c r="F4014" t="s">
        <v>657</v>
      </c>
      <c r="G4014" t="s">
        <v>952</v>
      </c>
      <c r="AA4014">
        <v>463</v>
      </c>
      <c r="CH4014" t="str">
        <f t="shared" si="62"/>
        <v>D-0265</v>
      </c>
    </row>
    <row r="4015" spans="1:86">
      <c r="A4015" t="s">
        <v>3460</v>
      </c>
      <c r="B4015">
        <v>698</v>
      </c>
      <c r="C4015" t="s">
        <v>951</v>
      </c>
      <c r="D4015" t="s">
        <v>233</v>
      </c>
      <c r="E4015" t="s">
        <v>642</v>
      </c>
      <c r="F4015" t="s">
        <v>657</v>
      </c>
      <c r="G4015" t="s">
        <v>952</v>
      </c>
      <c r="Z4015">
        <v>698</v>
      </c>
      <c r="CH4015" t="str">
        <f t="shared" si="62"/>
        <v>D-0265</v>
      </c>
    </row>
    <row r="4016" spans="1:86">
      <c r="A4016" t="s">
        <v>3461</v>
      </c>
      <c r="B4016">
        <v>1005</v>
      </c>
      <c r="C4016" t="s">
        <v>951</v>
      </c>
      <c r="D4016" t="s">
        <v>233</v>
      </c>
      <c r="E4016" t="s">
        <v>642</v>
      </c>
      <c r="F4016" t="s">
        <v>657</v>
      </c>
      <c r="G4016" t="s">
        <v>952</v>
      </c>
      <c r="Y4016">
        <v>1005</v>
      </c>
      <c r="CH4016" t="str">
        <f t="shared" si="62"/>
        <v>D-0265</v>
      </c>
    </row>
    <row r="4017" spans="1:86">
      <c r="A4017" t="s">
        <v>3462</v>
      </c>
      <c r="B4017">
        <v>679</v>
      </c>
      <c r="C4017" t="s">
        <v>951</v>
      </c>
      <c r="D4017" t="s">
        <v>233</v>
      </c>
      <c r="E4017" t="s">
        <v>642</v>
      </c>
      <c r="F4017" t="s">
        <v>657</v>
      </c>
      <c r="G4017" t="s">
        <v>952</v>
      </c>
      <c r="X4017">
        <v>679</v>
      </c>
      <c r="CH4017" t="str">
        <f t="shared" si="62"/>
        <v>D-0265</v>
      </c>
    </row>
    <row r="4018" spans="1:86">
      <c r="A4018" t="s">
        <v>3465</v>
      </c>
      <c r="B4018">
        <v>849</v>
      </c>
      <c r="C4018" t="s">
        <v>951</v>
      </c>
      <c r="D4018" t="s">
        <v>233</v>
      </c>
      <c r="E4018" t="s">
        <v>642</v>
      </c>
      <c r="F4018" t="s">
        <v>657</v>
      </c>
      <c r="G4018" t="s">
        <v>952</v>
      </c>
      <c r="U4018">
        <v>849</v>
      </c>
      <c r="CH4018" t="str">
        <f t="shared" si="62"/>
        <v>D-0265</v>
      </c>
    </row>
    <row r="4019" spans="1:86">
      <c r="A4019" t="s">
        <v>3466</v>
      </c>
      <c r="B4019">
        <v>895</v>
      </c>
      <c r="C4019" t="s">
        <v>951</v>
      </c>
      <c r="D4019" t="s">
        <v>233</v>
      </c>
      <c r="E4019" t="s">
        <v>642</v>
      </c>
      <c r="F4019" t="s">
        <v>657</v>
      </c>
      <c r="G4019" t="s">
        <v>952</v>
      </c>
      <c r="T4019">
        <v>895</v>
      </c>
      <c r="CH4019" t="str">
        <f t="shared" si="62"/>
        <v>D-0265</v>
      </c>
    </row>
    <row r="4020" spans="1:86">
      <c r="A4020" t="s">
        <v>3467</v>
      </c>
      <c r="B4020">
        <v>905</v>
      </c>
      <c r="C4020" t="s">
        <v>951</v>
      </c>
      <c r="D4020" t="s">
        <v>233</v>
      </c>
      <c r="E4020" t="s">
        <v>642</v>
      </c>
      <c r="F4020" t="s">
        <v>657</v>
      </c>
      <c r="G4020" t="s">
        <v>952</v>
      </c>
      <c r="S4020">
        <v>905</v>
      </c>
      <c r="CH4020" t="str">
        <f t="shared" si="62"/>
        <v>D-0265</v>
      </c>
    </row>
    <row r="4021" spans="1:86">
      <c r="A4021" t="s">
        <v>3468</v>
      </c>
      <c r="B4021">
        <v>500</v>
      </c>
      <c r="C4021" t="s">
        <v>951</v>
      </c>
      <c r="D4021" t="s">
        <v>233</v>
      </c>
      <c r="E4021" t="s">
        <v>642</v>
      </c>
      <c r="F4021" t="s">
        <v>657</v>
      </c>
      <c r="G4021" t="s">
        <v>952</v>
      </c>
      <c r="R4021">
        <v>500</v>
      </c>
      <c r="CH4021" t="str">
        <f t="shared" si="62"/>
        <v>D-0265</v>
      </c>
    </row>
    <row r="4022" spans="1:86">
      <c r="A4022" t="s">
        <v>3469</v>
      </c>
      <c r="B4022">
        <v>338</v>
      </c>
      <c r="C4022" t="s">
        <v>951</v>
      </c>
      <c r="D4022" t="s">
        <v>233</v>
      </c>
      <c r="E4022" t="s">
        <v>642</v>
      </c>
      <c r="F4022" t="s">
        <v>657</v>
      </c>
      <c r="G4022" t="s">
        <v>952</v>
      </c>
      <c r="Q4022">
        <v>338</v>
      </c>
      <c r="CH4022" t="str">
        <f t="shared" si="62"/>
        <v>D-0265</v>
      </c>
    </row>
    <row r="4023" spans="1:86">
      <c r="A4023" t="s">
        <v>5596</v>
      </c>
      <c r="B4023">
        <v>6049</v>
      </c>
      <c r="C4023" t="s">
        <v>987</v>
      </c>
      <c r="D4023" t="s">
        <v>308</v>
      </c>
      <c r="E4023" t="s">
        <v>629</v>
      </c>
      <c r="F4023" t="s">
        <v>633</v>
      </c>
      <c r="G4023" t="s">
        <v>2593</v>
      </c>
      <c r="R4023">
        <v>121</v>
      </c>
      <c r="S4023">
        <v>145</v>
      </c>
      <c r="T4023">
        <v>480</v>
      </c>
      <c r="U4023">
        <v>455</v>
      </c>
      <c r="V4023">
        <v>522</v>
      </c>
      <c r="W4023">
        <v>533</v>
      </c>
      <c r="X4023">
        <v>522</v>
      </c>
      <c r="Y4023">
        <v>557</v>
      </c>
      <c r="Z4023">
        <v>569</v>
      </c>
      <c r="AA4023">
        <v>593</v>
      </c>
      <c r="AB4023">
        <v>496</v>
      </c>
      <c r="AC4023">
        <v>337</v>
      </c>
      <c r="AD4023">
        <v>410</v>
      </c>
      <c r="AF4023">
        <v>303</v>
      </c>
      <c r="AH4023">
        <v>6</v>
      </c>
      <c r="CH4023" t="str">
        <f t="shared" si="62"/>
        <v>D-0454</v>
      </c>
    </row>
    <row r="4024" spans="1:86">
      <c r="A4024" t="s">
        <v>3812</v>
      </c>
      <c r="B4024">
        <v>1</v>
      </c>
      <c r="C4024" t="s">
        <v>1270</v>
      </c>
      <c r="D4024" t="s">
        <v>444</v>
      </c>
      <c r="E4024" t="s">
        <v>629</v>
      </c>
      <c r="F4024" t="s">
        <v>636</v>
      </c>
      <c r="G4024" t="s">
        <v>1271</v>
      </c>
      <c r="AB4024">
        <v>1</v>
      </c>
      <c r="CH4024" t="str">
        <f t="shared" si="62"/>
        <v>D-0686</v>
      </c>
    </row>
    <row r="4025" spans="1:86">
      <c r="A4025" t="s">
        <v>3854</v>
      </c>
      <c r="B4025">
        <v>3</v>
      </c>
      <c r="C4025" t="s">
        <v>3248</v>
      </c>
      <c r="D4025" t="s">
        <v>308</v>
      </c>
      <c r="E4025" t="s">
        <v>629</v>
      </c>
      <c r="F4025" t="s">
        <v>633</v>
      </c>
      <c r="G4025" t="s">
        <v>3243</v>
      </c>
      <c r="N4025">
        <v>3</v>
      </c>
      <c r="CH4025" t="str">
        <f t="shared" si="62"/>
        <v>D-0454</v>
      </c>
    </row>
    <row r="4026" spans="1:86">
      <c r="A4026" t="s">
        <v>3901</v>
      </c>
      <c r="B4026">
        <v>66</v>
      </c>
      <c r="C4026" t="s">
        <v>3902</v>
      </c>
      <c r="D4026" t="s">
        <v>430</v>
      </c>
      <c r="E4026" t="s">
        <v>974</v>
      </c>
      <c r="F4026" t="s">
        <v>661</v>
      </c>
      <c r="G4026" t="s">
        <v>3420</v>
      </c>
      <c r="CB4026">
        <v>66</v>
      </c>
      <c r="CH4026" t="str">
        <f t="shared" si="62"/>
        <v>D-0631</v>
      </c>
    </row>
    <row r="4027" spans="1:86">
      <c r="A4027" t="s">
        <v>3903</v>
      </c>
      <c r="B4027">
        <v>60</v>
      </c>
      <c r="C4027" t="s">
        <v>3902</v>
      </c>
      <c r="D4027" t="s">
        <v>430</v>
      </c>
      <c r="E4027" t="s">
        <v>974</v>
      </c>
      <c r="F4027" t="s">
        <v>661</v>
      </c>
      <c r="G4027" t="s">
        <v>3420</v>
      </c>
      <c r="CA4027">
        <v>60</v>
      </c>
      <c r="CH4027" t="str">
        <f t="shared" si="62"/>
        <v>D-0631</v>
      </c>
    </row>
    <row r="4028" spans="1:86">
      <c r="A4028" t="s">
        <v>3904</v>
      </c>
      <c r="B4028">
        <v>18</v>
      </c>
      <c r="C4028" t="s">
        <v>3902</v>
      </c>
      <c r="D4028" t="s">
        <v>430</v>
      </c>
      <c r="E4028" t="s">
        <v>974</v>
      </c>
      <c r="F4028" t="s">
        <v>661</v>
      </c>
      <c r="G4028" t="s">
        <v>3420</v>
      </c>
      <c r="BZ4028">
        <v>18</v>
      </c>
      <c r="CH4028" t="str">
        <f t="shared" si="62"/>
        <v>D-0631</v>
      </c>
    </row>
    <row r="4029" spans="1:86">
      <c r="A4029" t="s">
        <v>3905</v>
      </c>
      <c r="B4029">
        <v>139</v>
      </c>
      <c r="C4029" t="s">
        <v>3902</v>
      </c>
      <c r="D4029" t="s">
        <v>430</v>
      </c>
      <c r="E4029" t="s">
        <v>974</v>
      </c>
      <c r="F4029" t="s">
        <v>661</v>
      </c>
      <c r="G4029" t="s">
        <v>3420</v>
      </c>
      <c r="BY4029">
        <v>139</v>
      </c>
      <c r="CH4029" t="str">
        <f t="shared" si="62"/>
        <v>D-0631</v>
      </c>
    </row>
    <row r="4030" spans="1:86">
      <c r="A4030" t="s">
        <v>3906</v>
      </c>
      <c r="B4030">
        <v>18</v>
      </c>
      <c r="C4030" t="s">
        <v>3902</v>
      </c>
      <c r="D4030" t="s">
        <v>430</v>
      </c>
      <c r="E4030" t="s">
        <v>974</v>
      </c>
      <c r="F4030" t="s">
        <v>661</v>
      </c>
      <c r="G4030" t="s">
        <v>3420</v>
      </c>
      <c r="BX4030">
        <v>18</v>
      </c>
      <c r="CH4030" t="str">
        <f t="shared" si="62"/>
        <v>D-0631</v>
      </c>
    </row>
    <row r="4031" spans="1:86">
      <c r="A4031" t="s">
        <v>3907</v>
      </c>
      <c r="B4031">
        <v>109</v>
      </c>
      <c r="C4031" t="s">
        <v>3902</v>
      </c>
      <c r="D4031" t="s">
        <v>430</v>
      </c>
      <c r="E4031" t="s">
        <v>974</v>
      </c>
      <c r="F4031" t="s">
        <v>661</v>
      </c>
      <c r="G4031" t="s">
        <v>3420</v>
      </c>
      <c r="BW4031">
        <v>109</v>
      </c>
      <c r="CH4031" t="str">
        <f t="shared" si="62"/>
        <v>D-0631</v>
      </c>
    </row>
    <row r="4032" spans="1:86">
      <c r="A4032" t="s">
        <v>3908</v>
      </c>
      <c r="B4032">
        <v>12</v>
      </c>
      <c r="C4032" t="s">
        <v>3902</v>
      </c>
      <c r="D4032" t="s">
        <v>430</v>
      </c>
      <c r="E4032" t="s">
        <v>974</v>
      </c>
      <c r="F4032" t="s">
        <v>661</v>
      </c>
      <c r="G4032" t="s">
        <v>3420</v>
      </c>
      <c r="BV4032">
        <v>12</v>
      </c>
      <c r="CH4032" t="str">
        <f t="shared" si="62"/>
        <v>D-0631</v>
      </c>
    </row>
    <row r="4033" spans="1:86">
      <c r="A4033" t="s">
        <v>3909</v>
      </c>
      <c r="B4033">
        <v>72</v>
      </c>
      <c r="C4033" t="s">
        <v>3902</v>
      </c>
      <c r="D4033" t="s">
        <v>430</v>
      </c>
      <c r="E4033" t="s">
        <v>974</v>
      </c>
      <c r="F4033" t="s">
        <v>661</v>
      </c>
      <c r="G4033" t="s">
        <v>3420</v>
      </c>
      <c r="BU4033">
        <v>72</v>
      </c>
      <c r="CH4033" t="str">
        <f t="shared" si="62"/>
        <v>D-0631</v>
      </c>
    </row>
    <row r="4034" spans="1:86">
      <c r="A4034" t="s">
        <v>4126</v>
      </c>
      <c r="B4034">
        <v>118</v>
      </c>
      <c r="C4034" t="s">
        <v>3902</v>
      </c>
      <c r="D4034" t="s">
        <v>430</v>
      </c>
      <c r="E4034" t="s">
        <v>974</v>
      </c>
      <c r="F4034" t="s">
        <v>661</v>
      </c>
      <c r="G4034" t="s">
        <v>3420</v>
      </c>
      <c r="BU4034">
        <v>118</v>
      </c>
      <c r="CH4034" t="str">
        <f t="shared" ref="CH4034:CH4073" si="63">TRIM(IFERROR(IFERROR(MID($D4034,FIND("(D-",$D4034)+1,6),LEFT($D4034,FIND("(",$D4034)-1)),$D4034))</f>
        <v>D-0631</v>
      </c>
    </row>
    <row r="4035" spans="1:86">
      <c r="A4035" t="s">
        <v>4127</v>
      </c>
      <c r="B4035">
        <v>181</v>
      </c>
      <c r="C4035" t="s">
        <v>3902</v>
      </c>
      <c r="D4035" t="s">
        <v>430</v>
      </c>
      <c r="E4035" t="s">
        <v>974</v>
      </c>
      <c r="F4035" t="s">
        <v>661</v>
      </c>
      <c r="G4035" t="s">
        <v>3420</v>
      </c>
      <c r="BW4035">
        <v>181</v>
      </c>
      <c r="CH4035" t="str">
        <f t="shared" si="63"/>
        <v>D-0631</v>
      </c>
    </row>
    <row r="4036" spans="1:86">
      <c r="A4036" t="s">
        <v>4128</v>
      </c>
      <c r="B4036">
        <v>214</v>
      </c>
      <c r="C4036" t="s">
        <v>3902</v>
      </c>
      <c r="D4036" t="s">
        <v>430</v>
      </c>
      <c r="E4036" t="s">
        <v>974</v>
      </c>
      <c r="F4036" t="s">
        <v>661</v>
      </c>
      <c r="G4036" t="s">
        <v>3420</v>
      </c>
      <c r="BY4036">
        <v>214</v>
      </c>
      <c r="CH4036" t="str">
        <f t="shared" si="63"/>
        <v>D-0631</v>
      </c>
    </row>
    <row r="4037" spans="1:86">
      <c r="A4037" t="s">
        <v>4129</v>
      </c>
      <c r="B4037">
        <v>42</v>
      </c>
      <c r="C4037" t="s">
        <v>3902</v>
      </c>
      <c r="D4037" t="s">
        <v>430</v>
      </c>
      <c r="E4037" t="s">
        <v>974</v>
      </c>
      <c r="F4037" t="s">
        <v>661</v>
      </c>
      <c r="G4037" t="s">
        <v>3420</v>
      </c>
      <c r="CA4037">
        <v>42</v>
      </c>
      <c r="CH4037" t="str">
        <f t="shared" si="63"/>
        <v>D-0631</v>
      </c>
    </row>
    <row r="4038" spans="1:86">
      <c r="A4038" t="s">
        <v>4130</v>
      </c>
      <c r="B4038">
        <v>48</v>
      </c>
      <c r="C4038" t="s">
        <v>3902</v>
      </c>
      <c r="D4038" t="s">
        <v>430</v>
      </c>
      <c r="E4038" t="s">
        <v>974</v>
      </c>
      <c r="F4038" t="s">
        <v>661</v>
      </c>
      <c r="G4038" t="s">
        <v>3420</v>
      </c>
      <c r="CB4038">
        <v>48</v>
      </c>
      <c r="CH4038" t="str">
        <f t="shared" si="63"/>
        <v>D-0631</v>
      </c>
    </row>
    <row r="4039" spans="1:86">
      <c r="A4039" t="s">
        <v>4142</v>
      </c>
      <c r="B4039">
        <v>4840</v>
      </c>
      <c r="C4039" t="s">
        <v>1449</v>
      </c>
      <c r="D4039" t="s">
        <v>249</v>
      </c>
      <c r="E4039" t="s">
        <v>642</v>
      </c>
      <c r="F4039" t="s">
        <v>657</v>
      </c>
      <c r="G4039" t="s">
        <v>719</v>
      </c>
      <c r="P4039">
        <v>8</v>
      </c>
      <c r="Q4039">
        <v>108</v>
      </c>
      <c r="R4039">
        <v>240</v>
      </c>
      <c r="S4039">
        <v>563</v>
      </c>
      <c r="T4039">
        <v>601</v>
      </c>
      <c r="U4039">
        <v>647</v>
      </c>
      <c r="V4039">
        <v>721</v>
      </c>
      <c r="W4039">
        <v>716</v>
      </c>
      <c r="X4039">
        <v>316</v>
      </c>
      <c r="Y4039">
        <v>452</v>
      </c>
      <c r="Z4039">
        <v>163</v>
      </c>
      <c r="AA4039">
        <v>121</v>
      </c>
      <c r="AB4039">
        <v>92</v>
      </c>
      <c r="AC4039">
        <v>64</v>
      </c>
      <c r="AD4039">
        <v>28</v>
      </c>
      <c r="CH4039" t="str">
        <f t="shared" si="63"/>
        <v>D-0271</v>
      </c>
    </row>
    <row r="4040" spans="1:86">
      <c r="A4040" t="s">
        <v>4237</v>
      </c>
      <c r="B4040">
        <v>2</v>
      </c>
      <c r="C4040" t="s">
        <v>1184</v>
      </c>
      <c r="D4040" t="s">
        <v>444</v>
      </c>
      <c r="E4040" t="s">
        <v>642</v>
      </c>
      <c r="F4040" t="s">
        <v>636</v>
      </c>
      <c r="G4040" t="s">
        <v>1185</v>
      </c>
      <c r="AA4040">
        <v>2</v>
      </c>
      <c r="CH4040" t="str">
        <f t="shared" si="63"/>
        <v>D-0686</v>
      </c>
    </row>
    <row r="4041" spans="1:86">
      <c r="A4041" t="s">
        <v>4276</v>
      </c>
      <c r="B4041">
        <v>5202</v>
      </c>
      <c r="C4041" t="s">
        <v>939</v>
      </c>
      <c r="D4041" t="s">
        <v>249</v>
      </c>
      <c r="E4041" t="s">
        <v>642</v>
      </c>
      <c r="F4041" t="s">
        <v>957</v>
      </c>
      <c r="G4041" t="s">
        <v>728</v>
      </c>
      <c r="Q4041">
        <v>233</v>
      </c>
      <c r="R4041">
        <v>209</v>
      </c>
      <c r="S4041">
        <v>605</v>
      </c>
      <c r="T4041">
        <v>619</v>
      </c>
      <c r="U4041">
        <v>900</v>
      </c>
      <c r="V4041">
        <v>697</v>
      </c>
      <c r="W4041">
        <v>949</v>
      </c>
      <c r="X4041">
        <v>264</v>
      </c>
      <c r="Y4041">
        <v>518</v>
      </c>
      <c r="Z4041">
        <v>106</v>
      </c>
      <c r="AA4041">
        <v>97</v>
      </c>
      <c r="AG4041">
        <v>5</v>
      </c>
      <c r="CH4041" t="str">
        <f t="shared" si="63"/>
        <v>D-0271</v>
      </c>
    </row>
    <row r="4042" spans="1:86">
      <c r="A4042" t="s">
        <v>4304</v>
      </c>
      <c r="B4042">
        <v>5014</v>
      </c>
      <c r="C4042" t="s">
        <v>1320</v>
      </c>
      <c r="D4042" t="s">
        <v>249</v>
      </c>
      <c r="E4042" t="s">
        <v>629</v>
      </c>
      <c r="F4042" t="s">
        <v>657</v>
      </c>
      <c r="G4042" t="s">
        <v>710</v>
      </c>
      <c r="T4042">
        <v>204</v>
      </c>
      <c r="U4042">
        <v>80</v>
      </c>
      <c r="V4042">
        <v>421</v>
      </c>
      <c r="W4042">
        <v>312</v>
      </c>
      <c r="X4042">
        <v>782</v>
      </c>
      <c r="Y4042">
        <v>480</v>
      </c>
      <c r="Z4042">
        <v>744</v>
      </c>
      <c r="AA4042">
        <v>300</v>
      </c>
      <c r="AB4042">
        <v>600</v>
      </c>
      <c r="AC4042">
        <v>240</v>
      </c>
      <c r="AD4042">
        <v>420</v>
      </c>
      <c r="AE4042">
        <v>43</v>
      </c>
      <c r="AF4042">
        <v>240</v>
      </c>
      <c r="AH4042">
        <v>148</v>
      </c>
      <c r="CH4042" t="str">
        <f t="shared" si="63"/>
        <v>D-0271</v>
      </c>
    </row>
    <row r="4043" spans="1:86">
      <c r="A4043" t="s">
        <v>4305</v>
      </c>
      <c r="B4043">
        <v>4527</v>
      </c>
      <c r="C4043" t="s">
        <v>1320</v>
      </c>
      <c r="D4043" t="s">
        <v>249</v>
      </c>
      <c r="E4043" t="s">
        <v>629</v>
      </c>
      <c r="F4043" t="s">
        <v>657</v>
      </c>
      <c r="G4043" t="s">
        <v>710</v>
      </c>
      <c r="T4043">
        <v>204</v>
      </c>
      <c r="V4043">
        <v>397</v>
      </c>
      <c r="W4043">
        <v>312</v>
      </c>
      <c r="X4043">
        <v>746</v>
      </c>
      <c r="Y4043">
        <v>480</v>
      </c>
      <c r="Z4043">
        <v>720</v>
      </c>
      <c r="AA4043">
        <v>240</v>
      </c>
      <c r="AB4043">
        <v>600</v>
      </c>
      <c r="AC4043">
        <v>240</v>
      </c>
      <c r="AD4043">
        <v>384</v>
      </c>
      <c r="AF4043">
        <v>204</v>
      </c>
      <c r="CH4043" t="str">
        <f t="shared" si="63"/>
        <v>D-0271</v>
      </c>
    </row>
    <row r="4044" spans="1:86">
      <c r="A4044" t="s">
        <v>4510</v>
      </c>
      <c r="B4044">
        <v>610</v>
      </c>
      <c r="C4044" t="s">
        <v>2559</v>
      </c>
      <c r="D4044" t="s">
        <v>213</v>
      </c>
      <c r="E4044" t="s">
        <v>629</v>
      </c>
      <c r="F4044" t="s">
        <v>643</v>
      </c>
      <c r="G4044" t="s">
        <v>4511</v>
      </c>
      <c r="R4044">
        <v>6</v>
      </c>
      <c r="S4044">
        <v>6</v>
      </c>
      <c r="T4044">
        <v>34</v>
      </c>
      <c r="U4044">
        <v>30</v>
      </c>
      <c r="V4044">
        <v>96</v>
      </c>
      <c r="W4044">
        <v>78</v>
      </c>
      <c r="X4044">
        <v>144</v>
      </c>
      <c r="Y4044">
        <v>84</v>
      </c>
      <c r="Z4044">
        <v>66</v>
      </c>
      <c r="AA4044">
        <v>30</v>
      </c>
      <c r="AB4044">
        <v>36</v>
      </c>
      <c r="CH4044" t="str">
        <f t="shared" si="63"/>
        <v>D-0257</v>
      </c>
    </row>
    <row r="4045" spans="1:86">
      <c r="A4045" t="s">
        <v>4577</v>
      </c>
      <c r="B4045">
        <v>4</v>
      </c>
      <c r="C4045" t="s">
        <v>1045</v>
      </c>
      <c r="D4045" t="s">
        <v>223</v>
      </c>
      <c r="E4045" t="s">
        <v>629</v>
      </c>
      <c r="F4045" t="s">
        <v>693</v>
      </c>
      <c r="G4045" t="s">
        <v>2283</v>
      </c>
      <c r="S4045">
        <v>2</v>
      </c>
      <c r="AD4045">
        <v>1</v>
      </c>
      <c r="AF4045">
        <v>1</v>
      </c>
      <c r="CH4045" t="str">
        <f t="shared" si="63"/>
        <v>D-0263</v>
      </c>
    </row>
    <row r="4046" spans="1:86">
      <c r="A4046" t="s">
        <v>4584</v>
      </c>
      <c r="B4046">
        <v>14</v>
      </c>
      <c r="C4046" t="s">
        <v>1045</v>
      </c>
      <c r="D4046" t="s">
        <v>223</v>
      </c>
      <c r="E4046" t="s">
        <v>629</v>
      </c>
      <c r="F4046" t="s">
        <v>693</v>
      </c>
      <c r="G4046" t="s">
        <v>2283</v>
      </c>
      <c r="R4046">
        <v>2</v>
      </c>
      <c r="T4046">
        <v>2</v>
      </c>
      <c r="V4046">
        <v>2</v>
      </c>
      <c r="X4046">
        <v>2</v>
      </c>
      <c r="Z4046">
        <v>2</v>
      </c>
      <c r="AA4046">
        <v>1</v>
      </c>
      <c r="AD4046">
        <v>1</v>
      </c>
      <c r="AF4046">
        <v>1</v>
      </c>
      <c r="AJ4046">
        <v>1</v>
      </c>
      <c r="CH4046" t="str">
        <f t="shared" si="63"/>
        <v>D-0263</v>
      </c>
    </row>
    <row r="4047" spans="1:86">
      <c r="A4047" t="s">
        <v>4588</v>
      </c>
      <c r="B4047">
        <v>3061</v>
      </c>
      <c r="C4047" t="s">
        <v>4589</v>
      </c>
      <c r="D4047" t="s">
        <v>210</v>
      </c>
      <c r="E4047" t="s">
        <v>629</v>
      </c>
      <c r="F4047" t="s">
        <v>633</v>
      </c>
      <c r="G4047" t="s">
        <v>2593</v>
      </c>
      <c r="T4047">
        <v>122</v>
      </c>
      <c r="U4047">
        <v>232</v>
      </c>
      <c r="V4047">
        <v>252</v>
      </c>
      <c r="W4047">
        <v>254</v>
      </c>
      <c r="X4047">
        <v>363</v>
      </c>
      <c r="Y4047">
        <v>362</v>
      </c>
      <c r="Z4047">
        <v>372</v>
      </c>
      <c r="AA4047">
        <v>272</v>
      </c>
      <c r="AB4047">
        <v>267</v>
      </c>
      <c r="AC4047">
        <v>146</v>
      </c>
      <c r="AD4047">
        <v>253</v>
      </c>
      <c r="AE4047">
        <v>1</v>
      </c>
      <c r="AF4047">
        <v>146</v>
      </c>
      <c r="AH4047">
        <v>11</v>
      </c>
      <c r="AJ4047">
        <v>8</v>
      </c>
      <c r="CH4047" t="str">
        <f t="shared" si="63"/>
        <v>D-0256</v>
      </c>
    </row>
    <row r="4048" spans="1:86">
      <c r="A4048" t="s">
        <v>4590</v>
      </c>
      <c r="B4048">
        <v>4926</v>
      </c>
      <c r="C4048" t="s">
        <v>2817</v>
      </c>
      <c r="D4048" t="s">
        <v>210</v>
      </c>
      <c r="E4048" t="s">
        <v>629</v>
      </c>
      <c r="F4048" t="s">
        <v>633</v>
      </c>
      <c r="G4048" t="s">
        <v>2593</v>
      </c>
      <c r="R4048">
        <v>14</v>
      </c>
      <c r="T4048">
        <v>274</v>
      </c>
      <c r="U4048">
        <v>422</v>
      </c>
      <c r="V4048">
        <v>534</v>
      </c>
      <c r="W4048">
        <v>738</v>
      </c>
      <c r="X4048">
        <v>673</v>
      </c>
      <c r="Y4048">
        <v>750</v>
      </c>
      <c r="Z4048">
        <v>688</v>
      </c>
      <c r="AA4048">
        <v>216</v>
      </c>
      <c r="AB4048">
        <v>342</v>
      </c>
      <c r="AC4048">
        <v>66</v>
      </c>
      <c r="AD4048">
        <v>122</v>
      </c>
      <c r="AF4048">
        <v>55</v>
      </c>
      <c r="AH4048">
        <v>16</v>
      </c>
      <c r="AJ4048">
        <v>16</v>
      </c>
      <c r="CH4048" t="str">
        <f t="shared" si="63"/>
        <v>D-0256</v>
      </c>
    </row>
    <row r="4049" spans="1:86">
      <c r="A4049" t="s">
        <v>4591</v>
      </c>
      <c r="B4049">
        <v>8300</v>
      </c>
      <c r="C4049" t="s">
        <v>3400</v>
      </c>
      <c r="D4049" t="s">
        <v>210</v>
      </c>
      <c r="E4049" t="s">
        <v>629</v>
      </c>
      <c r="F4049" t="s">
        <v>633</v>
      </c>
      <c r="G4049" t="s">
        <v>2593</v>
      </c>
      <c r="R4049">
        <v>18</v>
      </c>
      <c r="S4049">
        <v>48</v>
      </c>
      <c r="T4049">
        <v>326</v>
      </c>
      <c r="U4049">
        <v>567</v>
      </c>
      <c r="V4049">
        <v>693</v>
      </c>
      <c r="W4049">
        <v>651</v>
      </c>
      <c r="X4049">
        <v>836</v>
      </c>
      <c r="Y4049">
        <v>810</v>
      </c>
      <c r="Z4049">
        <v>1004</v>
      </c>
      <c r="AA4049">
        <v>911</v>
      </c>
      <c r="AB4049">
        <v>881</v>
      </c>
      <c r="AC4049">
        <v>368</v>
      </c>
      <c r="AD4049">
        <v>621</v>
      </c>
      <c r="AE4049">
        <v>18</v>
      </c>
      <c r="AF4049">
        <v>368</v>
      </c>
      <c r="AH4049">
        <v>102</v>
      </c>
      <c r="AJ4049">
        <v>78</v>
      </c>
      <c r="CH4049" t="str">
        <f t="shared" si="63"/>
        <v>D-0256</v>
      </c>
    </row>
    <row r="4050" spans="1:86">
      <c r="A4050" t="s">
        <v>4627</v>
      </c>
      <c r="B4050">
        <v>1784</v>
      </c>
      <c r="C4050" t="s">
        <v>3750</v>
      </c>
      <c r="D4050" t="s">
        <v>214</v>
      </c>
      <c r="E4050" t="s">
        <v>629</v>
      </c>
      <c r="F4050" t="s">
        <v>721</v>
      </c>
      <c r="G4050" t="s">
        <v>3751</v>
      </c>
      <c r="S4050">
        <v>6</v>
      </c>
      <c r="T4050">
        <v>60</v>
      </c>
      <c r="U4050">
        <v>48</v>
      </c>
      <c r="V4050">
        <v>180</v>
      </c>
      <c r="W4050">
        <v>150</v>
      </c>
      <c r="X4050">
        <v>374</v>
      </c>
      <c r="Y4050">
        <v>288</v>
      </c>
      <c r="Z4050">
        <v>324</v>
      </c>
      <c r="AA4050">
        <v>120</v>
      </c>
      <c r="AB4050">
        <v>144</v>
      </c>
      <c r="AC4050">
        <v>30</v>
      </c>
      <c r="AD4050">
        <v>48</v>
      </c>
      <c r="AE4050">
        <v>6</v>
      </c>
      <c r="AF4050">
        <v>6</v>
      </c>
      <c r="CH4050" t="str">
        <f t="shared" si="63"/>
        <v>D-0258</v>
      </c>
    </row>
    <row r="4051" spans="1:86">
      <c r="A4051" t="s">
        <v>4628</v>
      </c>
      <c r="B4051">
        <v>2008</v>
      </c>
      <c r="C4051" t="s">
        <v>3750</v>
      </c>
      <c r="D4051" t="s">
        <v>214</v>
      </c>
      <c r="E4051" t="s">
        <v>629</v>
      </c>
      <c r="F4051" t="s">
        <v>721</v>
      </c>
      <c r="G4051" t="s">
        <v>3751</v>
      </c>
      <c r="R4051">
        <v>3</v>
      </c>
      <c r="S4051">
        <v>7</v>
      </c>
      <c r="T4051">
        <v>56</v>
      </c>
      <c r="U4051">
        <v>86</v>
      </c>
      <c r="V4051">
        <v>246</v>
      </c>
      <c r="W4051">
        <v>264</v>
      </c>
      <c r="X4051">
        <v>404</v>
      </c>
      <c r="Y4051">
        <v>293</v>
      </c>
      <c r="Z4051">
        <v>255</v>
      </c>
      <c r="AA4051">
        <v>138</v>
      </c>
      <c r="AB4051">
        <v>114</v>
      </c>
      <c r="AC4051">
        <v>46</v>
      </c>
      <c r="AD4051">
        <v>50</v>
      </c>
      <c r="AE4051">
        <v>9</v>
      </c>
      <c r="AF4051">
        <v>25</v>
      </c>
      <c r="AH4051">
        <v>6</v>
      </c>
      <c r="AJ4051">
        <v>6</v>
      </c>
      <c r="CH4051" t="str">
        <f t="shared" si="63"/>
        <v>D-0258</v>
      </c>
    </row>
    <row r="4052" spans="1:86">
      <c r="A4052" t="s">
        <v>4629</v>
      </c>
      <c r="B4052">
        <v>1316</v>
      </c>
      <c r="C4052" t="s">
        <v>3750</v>
      </c>
      <c r="D4052" t="s">
        <v>214</v>
      </c>
      <c r="E4052" t="s">
        <v>629</v>
      </c>
      <c r="F4052" t="s">
        <v>721</v>
      </c>
      <c r="G4052" t="s">
        <v>3751</v>
      </c>
      <c r="T4052">
        <v>24</v>
      </c>
      <c r="U4052">
        <v>12</v>
      </c>
      <c r="V4052">
        <v>138</v>
      </c>
      <c r="W4052">
        <v>156</v>
      </c>
      <c r="X4052">
        <v>248</v>
      </c>
      <c r="Y4052">
        <v>186</v>
      </c>
      <c r="Z4052">
        <v>210</v>
      </c>
      <c r="AA4052">
        <v>108</v>
      </c>
      <c r="AB4052">
        <v>132</v>
      </c>
      <c r="AC4052">
        <v>54</v>
      </c>
      <c r="AD4052">
        <v>48</v>
      </c>
      <c r="CH4052" t="str">
        <f t="shared" si="63"/>
        <v>D-0258</v>
      </c>
    </row>
    <row r="4053" spans="1:86">
      <c r="A4053" t="s">
        <v>4727</v>
      </c>
      <c r="B4053">
        <v>238</v>
      </c>
      <c r="C4053" t="s">
        <v>939</v>
      </c>
      <c r="D4053" t="s">
        <v>249</v>
      </c>
      <c r="E4053" t="s">
        <v>642</v>
      </c>
      <c r="F4053" t="s">
        <v>709</v>
      </c>
      <c r="G4053" t="s">
        <v>728</v>
      </c>
      <c r="P4053">
        <v>2</v>
      </c>
      <c r="Q4053">
        <v>12</v>
      </c>
      <c r="R4053">
        <v>15</v>
      </c>
      <c r="S4053">
        <v>24</v>
      </c>
      <c r="T4053">
        <v>31</v>
      </c>
      <c r="U4053">
        <v>18</v>
      </c>
      <c r="V4053">
        <v>48</v>
      </c>
      <c r="W4053">
        <v>42</v>
      </c>
      <c r="X4053">
        <v>25</v>
      </c>
      <c r="Y4053">
        <v>12</v>
      </c>
      <c r="Z4053">
        <v>9</v>
      </c>
      <c r="CH4053" t="str">
        <f t="shared" si="63"/>
        <v>D-0271</v>
      </c>
    </row>
    <row r="4054" spans="1:86">
      <c r="A4054" t="s">
        <v>4751</v>
      </c>
      <c r="B4054">
        <v>2640</v>
      </c>
      <c r="C4054" t="s">
        <v>1188</v>
      </c>
      <c r="D4054" t="s">
        <v>308</v>
      </c>
      <c r="E4054" t="s">
        <v>629</v>
      </c>
      <c r="F4054" t="s">
        <v>633</v>
      </c>
      <c r="G4054" t="s">
        <v>3243</v>
      </c>
      <c r="M4054">
        <v>30</v>
      </c>
      <c r="N4054">
        <v>54</v>
      </c>
      <c r="O4054">
        <v>336</v>
      </c>
      <c r="P4054">
        <v>48</v>
      </c>
      <c r="Q4054">
        <v>264</v>
      </c>
      <c r="R4054">
        <v>270</v>
      </c>
      <c r="S4054">
        <v>402</v>
      </c>
      <c r="T4054">
        <v>258</v>
      </c>
      <c r="U4054">
        <v>228</v>
      </c>
      <c r="V4054">
        <v>336</v>
      </c>
      <c r="W4054">
        <v>306</v>
      </c>
      <c r="Y4054">
        <v>96</v>
      </c>
      <c r="AA4054">
        <v>12</v>
      </c>
      <c r="CH4054" t="str">
        <f t="shared" si="63"/>
        <v>D-0454</v>
      </c>
    </row>
    <row r="4055" spans="1:86">
      <c r="A4055" t="s">
        <v>4781</v>
      </c>
      <c r="B4055">
        <v>600</v>
      </c>
      <c r="C4055" t="s">
        <v>3493</v>
      </c>
      <c r="D4055" t="s">
        <v>3494</v>
      </c>
      <c r="E4055" t="s">
        <v>629</v>
      </c>
      <c r="F4055" t="s">
        <v>635</v>
      </c>
      <c r="G4055" t="s">
        <v>1647</v>
      </c>
      <c r="N4055">
        <v>144</v>
      </c>
      <c r="O4055">
        <v>24</v>
      </c>
      <c r="P4055">
        <v>144</v>
      </c>
      <c r="Q4055">
        <v>36</v>
      </c>
      <c r="R4055">
        <v>132</v>
      </c>
      <c r="S4055">
        <v>48</v>
      </c>
      <c r="T4055">
        <v>72</v>
      </c>
      <c r="CH4055" t="str">
        <f t="shared" si="63"/>
        <v>D-0493</v>
      </c>
    </row>
    <row r="4056" spans="1:86">
      <c r="A4056" t="s">
        <v>4900</v>
      </c>
      <c r="B4056">
        <v>27</v>
      </c>
      <c r="C4056" t="s">
        <v>1123</v>
      </c>
      <c r="D4056" t="s">
        <v>291</v>
      </c>
      <c r="E4056" t="s">
        <v>642</v>
      </c>
      <c r="F4056" t="s">
        <v>661</v>
      </c>
      <c r="G4056" t="s">
        <v>3124</v>
      </c>
      <c r="AD4056">
        <v>27</v>
      </c>
      <c r="CH4056" t="str">
        <f t="shared" si="63"/>
        <v>D-0419</v>
      </c>
    </row>
    <row r="4057" spans="1:86">
      <c r="A4057" t="s">
        <v>4901</v>
      </c>
      <c r="B4057">
        <v>29</v>
      </c>
      <c r="C4057" t="s">
        <v>1123</v>
      </c>
      <c r="D4057" t="s">
        <v>291</v>
      </c>
      <c r="E4057" t="s">
        <v>642</v>
      </c>
      <c r="F4057" t="s">
        <v>661</v>
      </c>
      <c r="G4057" t="s">
        <v>3124</v>
      </c>
      <c r="AC4057">
        <v>29</v>
      </c>
      <c r="CH4057" t="str">
        <f t="shared" si="63"/>
        <v>D-0419</v>
      </c>
    </row>
    <row r="4058" spans="1:86">
      <c r="A4058" t="s">
        <v>4902</v>
      </c>
      <c r="B4058">
        <v>53</v>
      </c>
      <c r="C4058" t="s">
        <v>1123</v>
      </c>
      <c r="D4058" t="s">
        <v>291</v>
      </c>
      <c r="E4058" t="s">
        <v>642</v>
      </c>
      <c r="F4058" t="s">
        <v>661</v>
      </c>
      <c r="G4058" t="s">
        <v>3124</v>
      </c>
      <c r="AA4058">
        <v>53</v>
      </c>
      <c r="CH4058" t="str">
        <f t="shared" si="63"/>
        <v>D-0419</v>
      </c>
    </row>
    <row r="4059" spans="1:86">
      <c r="A4059" t="s">
        <v>4903</v>
      </c>
      <c r="B4059">
        <v>52</v>
      </c>
      <c r="C4059" t="s">
        <v>1123</v>
      </c>
      <c r="D4059" t="s">
        <v>291</v>
      </c>
      <c r="E4059" t="s">
        <v>642</v>
      </c>
      <c r="F4059" t="s">
        <v>661</v>
      </c>
      <c r="G4059" t="s">
        <v>3124</v>
      </c>
      <c r="Z4059">
        <v>52</v>
      </c>
      <c r="CH4059" t="str">
        <f t="shared" si="63"/>
        <v>D-0419</v>
      </c>
    </row>
    <row r="4060" spans="1:86">
      <c r="A4060" t="s">
        <v>4904</v>
      </c>
      <c r="B4060">
        <v>35</v>
      </c>
      <c r="C4060" t="s">
        <v>1123</v>
      </c>
      <c r="D4060" t="s">
        <v>291</v>
      </c>
      <c r="E4060" t="s">
        <v>642</v>
      </c>
      <c r="F4060" t="s">
        <v>661</v>
      </c>
      <c r="G4060" t="s">
        <v>3124</v>
      </c>
      <c r="X4060">
        <v>35</v>
      </c>
      <c r="CH4060" t="str">
        <f t="shared" si="63"/>
        <v>D-0419</v>
      </c>
    </row>
    <row r="4061" spans="1:86">
      <c r="A4061" t="s">
        <v>4905</v>
      </c>
      <c r="B4061">
        <v>35</v>
      </c>
      <c r="C4061" t="s">
        <v>1123</v>
      </c>
      <c r="D4061" t="s">
        <v>291</v>
      </c>
      <c r="E4061" t="s">
        <v>642</v>
      </c>
      <c r="F4061" t="s">
        <v>661</v>
      </c>
      <c r="G4061" t="s">
        <v>3124</v>
      </c>
      <c r="W4061">
        <v>35</v>
      </c>
      <c r="CH4061" t="str">
        <f t="shared" si="63"/>
        <v>D-0419</v>
      </c>
    </row>
    <row r="4062" spans="1:86">
      <c r="A4062" t="s">
        <v>4906</v>
      </c>
      <c r="B4062">
        <v>48</v>
      </c>
      <c r="C4062" t="s">
        <v>1123</v>
      </c>
      <c r="D4062" t="s">
        <v>291</v>
      </c>
      <c r="E4062" t="s">
        <v>642</v>
      </c>
      <c r="F4062" t="s">
        <v>661</v>
      </c>
      <c r="G4062" t="s">
        <v>3124</v>
      </c>
      <c r="U4062">
        <v>48</v>
      </c>
      <c r="CH4062" t="str">
        <f t="shared" si="63"/>
        <v>D-0419</v>
      </c>
    </row>
    <row r="4063" spans="1:86">
      <c r="A4063" t="s">
        <v>4907</v>
      </c>
      <c r="B4063">
        <v>51</v>
      </c>
      <c r="C4063" t="s">
        <v>1123</v>
      </c>
      <c r="D4063" t="s">
        <v>291</v>
      </c>
      <c r="E4063" t="s">
        <v>642</v>
      </c>
      <c r="F4063" t="s">
        <v>661</v>
      </c>
      <c r="G4063" t="s">
        <v>3124</v>
      </c>
      <c r="T4063">
        <v>51</v>
      </c>
      <c r="CH4063" t="str">
        <f t="shared" si="63"/>
        <v>D-0419</v>
      </c>
    </row>
    <row r="4064" spans="1:86">
      <c r="A4064" t="s">
        <v>4908</v>
      </c>
      <c r="B4064">
        <v>35</v>
      </c>
      <c r="C4064" t="s">
        <v>1123</v>
      </c>
      <c r="D4064" t="s">
        <v>291</v>
      </c>
      <c r="E4064" t="s">
        <v>642</v>
      </c>
      <c r="F4064" t="s">
        <v>661</v>
      </c>
      <c r="G4064" t="s">
        <v>3124</v>
      </c>
      <c r="R4064">
        <v>35</v>
      </c>
      <c r="CH4064" t="str">
        <f t="shared" si="63"/>
        <v>D-0419</v>
      </c>
    </row>
    <row r="4065" spans="1:86">
      <c r="A4065" t="s">
        <v>4909</v>
      </c>
      <c r="B4065">
        <v>11</v>
      </c>
      <c r="C4065" t="s">
        <v>1123</v>
      </c>
      <c r="D4065" t="s">
        <v>291</v>
      </c>
      <c r="E4065" t="s">
        <v>642</v>
      </c>
      <c r="F4065" t="s">
        <v>661</v>
      </c>
      <c r="G4065" t="s">
        <v>3124</v>
      </c>
      <c r="Q4065">
        <v>11</v>
      </c>
      <c r="CH4065" t="str">
        <f t="shared" si="63"/>
        <v>D-0419</v>
      </c>
    </row>
    <row r="4066" spans="1:86">
      <c r="A4066" t="s">
        <v>5089</v>
      </c>
      <c r="B4066">
        <v>5</v>
      </c>
      <c r="C4066" t="s">
        <v>3248</v>
      </c>
      <c r="D4066" t="s">
        <v>308</v>
      </c>
      <c r="E4066" t="s">
        <v>629</v>
      </c>
      <c r="F4066" t="s">
        <v>633</v>
      </c>
      <c r="G4066" t="s">
        <v>3243</v>
      </c>
      <c r="Q4066">
        <v>5</v>
      </c>
      <c r="CH4066" t="str">
        <f t="shared" si="63"/>
        <v>D-0454</v>
      </c>
    </row>
    <row r="4067" spans="1:86">
      <c r="A4067" t="s">
        <v>5090</v>
      </c>
      <c r="B4067">
        <v>159</v>
      </c>
      <c r="C4067" t="s">
        <v>2271</v>
      </c>
      <c r="D4067" t="s">
        <v>256</v>
      </c>
      <c r="E4067" t="s">
        <v>629</v>
      </c>
      <c r="F4067" t="s">
        <v>2272</v>
      </c>
      <c r="G4067" t="s">
        <v>5091</v>
      </c>
      <c r="M4067">
        <v>7</v>
      </c>
      <c r="N4067">
        <v>8</v>
      </c>
      <c r="O4067">
        <v>18</v>
      </c>
      <c r="P4067">
        <v>12</v>
      </c>
      <c r="R4067">
        <v>12</v>
      </c>
      <c r="T4067">
        <v>12</v>
      </c>
      <c r="V4067">
        <v>12</v>
      </c>
      <c r="X4067">
        <v>12</v>
      </c>
      <c r="Z4067">
        <v>12</v>
      </c>
      <c r="AB4067">
        <v>15</v>
      </c>
      <c r="AC4067">
        <v>13</v>
      </c>
      <c r="AD4067">
        <v>11</v>
      </c>
      <c r="AE4067">
        <v>4</v>
      </c>
      <c r="AF4067">
        <v>9</v>
      </c>
      <c r="AH4067">
        <v>2</v>
      </c>
      <c r="CH4067" t="str">
        <f t="shared" si="63"/>
        <v>D-0275</v>
      </c>
    </row>
    <row r="4068" spans="1:86">
      <c r="A4068" t="s">
        <v>5597</v>
      </c>
      <c r="B4068">
        <v>4</v>
      </c>
      <c r="C4068" t="s">
        <v>3902</v>
      </c>
      <c r="D4068" t="s">
        <v>430</v>
      </c>
      <c r="E4068" t="s">
        <v>974</v>
      </c>
      <c r="F4068" t="s">
        <v>661</v>
      </c>
      <c r="G4068" t="s">
        <v>3420</v>
      </c>
      <c r="BZ4068">
        <v>4</v>
      </c>
      <c r="CH4068" t="str">
        <f t="shared" si="63"/>
        <v>D-0631</v>
      </c>
    </row>
    <row r="4069" spans="1:86">
      <c r="A4069" t="s">
        <v>5598</v>
      </c>
      <c r="B4069">
        <v>6</v>
      </c>
      <c r="C4069" t="s">
        <v>3902</v>
      </c>
      <c r="D4069" t="s">
        <v>430</v>
      </c>
      <c r="E4069" t="s">
        <v>974</v>
      </c>
      <c r="F4069" t="s">
        <v>661</v>
      </c>
      <c r="G4069" t="s">
        <v>3420</v>
      </c>
      <c r="BV4069">
        <v>6</v>
      </c>
      <c r="CH4069" t="str">
        <f t="shared" si="63"/>
        <v>D-0631</v>
      </c>
    </row>
    <row r="4070" spans="1:86">
      <c r="A4070" t="s">
        <v>5599</v>
      </c>
      <c r="B4070">
        <v>22</v>
      </c>
      <c r="C4070" t="s">
        <v>3902</v>
      </c>
      <c r="D4070" t="s">
        <v>430</v>
      </c>
      <c r="E4070" t="s">
        <v>974</v>
      </c>
      <c r="F4070" t="s">
        <v>661</v>
      </c>
      <c r="G4070" t="s">
        <v>3420</v>
      </c>
      <c r="BW4070">
        <v>22</v>
      </c>
      <c r="CH4070" t="str">
        <f t="shared" si="63"/>
        <v>D-0631</v>
      </c>
    </row>
    <row r="4071" spans="1:86">
      <c r="A4071" t="s">
        <v>5600</v>
      </c>
      <c r="B4071">
        <v>20</v>
      </c>
      <c r="C4071" t="s">
        <v>3902</v>
      </c>
      <c r="D4071" t="s">
        <v>430</v>
      </c>
      <c r="E4071" t="s">
        <v>974</v>
      </c>
      <c r="F4071" t="s">
        <v>661</v>
      </c>
      <c r="G4071" t="s">
        <v>3420</v>
      </c>
      <c r="BY4071">
        <v>20</v>
      </c>
      <c r="CH4071" t="str">
        <f t="shared" si="63"/>
        <v>D-0631</v>
      </c>
    </row>
    <row r="4072" spans="1:86">
      <c r="A4072" t="s">
        <v>5601</v>
      </c>
      <c r="B4072">
        <v>18</v>
      </c>
      <c r="C4072" t="s">
        <v>3902</v>
      </c>
      <c r="D4072" t="s">
        <v>430</v>
      </c>
      <c r="E4072" t="s">
        <v>974</v>
      </c>
      <c r="F4072" t="s">
        <v>661</v>
      </c>
      <c r="G4072" t="s">
        <v>3420</v>
      </c>
      <c r="BZ4072">
        <v>18</v>
      </c>
      <c r="CH4072" t="str">
        <f t="shared" si="63"/>
        <v>D-0631</v>
      </c>
    </row>
    <row r="4073" spans="1:86">
      <c r="A4073" t="s">
        <v>5602</v>
      </c>
      <c r="B4073">
        <v>10</v>
      </c>
      <c r="C4073" t="s">
        <v>3902</v>
      </c>
      <c r="D4073" t="s">
        <v>430</v>
      </c>
      <c r="E4073" t="s">
        <v>974</v>
      </c>
      <c r="F4073" t="s">
        <v>661</v>
      </c>
      <c r="G4073" t="s">
        <v>3420</v>
      </c>
      <c r="CB4073">
        <v>10</v>
      </c>
      <c r="CH4073" t="str">
        <f t="shared" si="63"/>
        <v>D-0631</v>
      </c>
    </row>
  </sheetData>
  <phoneticPr fontId="5" type="noConversion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65cb79d-c821-4d3d-aab2-5ef15e9cc85e">
      <Terms xmlns="http://schemas.microsoft.com/office/infopath/2007/PartnerControls"/>
    </lcf76f155ced4ddcb4097134ff3c332f>
    <_Flow_SignoffStatus xmlns="b65cb79d-c821-4d3d-aab2-5ef15e9cc85e" xsi:nil="true"/>
    <TaxCatchAll xmlns="71b44b8b-5734-40bc-bcd6-983774da7c1c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A881C598A1DC4096D4B66B961FB704" ma:contentTypeVersion="21" ma:contentTypeDescription="Create a new document." ma:contentTypeScope="" ma:versionID="ca0a34949405af18a2a1038fedd5973f">
  <xsd:schema xmlns:xsd="http://www.w3.org/2001/XMLSchema" xmlns:xs="http://www.w3.org/2001/XMLSchema" xmlns:p="http://schemas.microsoft.com/office/2006/metadata/properties" xmlns:ns2="b65cb79d-c821-4d3d-aab2-5ef15e9cc85e" xmlns:ns3="71b44b8b-5734-40bc-bcd6-983774da7c1c" targetNamespace="http://schemas.microsoft.com/office/2006/metadata/properties" ma:root="true" ma:fieldsID="56f3efbd08470b89beac8b88620aafc3" ns2:_="" ns3:_="">
    <xsd:import namespace="b65cb79d-c821-4d3d-aab2-5ef15e9cc85e"/>
    <xsd:import namespace="71b44b8b-5734-40bc-bcd6-983774da7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5cb79d-c821-4d3d-aab2-5ef15e9cc8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05217ae-ff82-44d8-b406-a0bd577a6e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5" nillable="true" ma:displayName="Sign-off status" ma:internalName="Sign_x002d_off_x0020_status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7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b44b8b-5734-40bc-bcd6-983774da7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855bab7-e95a-48a3-80ae-693c629d5690}" ma:internalName="TaxCatchAll" ma:showField="CatchAllData" ma:web="71b44b8b-5734-40bc-bcd6-983774da7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64155EF-9532-4CE1-ADD2-08A62F5A681D}">
  <ds:schemaRefs>
    <ds:schemaRef ds:uri="http://schemas.microsoft.com/office/2006/documentManagement/types"/>
    <ds:schemaRef ds:uri="http://purl.org/dc/elements/1.1/"/>
    <ds:schemaRef ds:uri="http://purl.org/dc/dcmitype/"/>
    <ds:schemaRef ds:uri="http://purl.org/dc/terms/"/>
    <ds:schemaRef ds:uri="http://www.w3.org/XML/1998/namespace"/>
    <ds:schemaRef ds:uri="b65cb79d-c821-4d3d-aab2-5ef15e9cc85e"/>
    <ds:schemaRef ds:uri="71b44b8b-5734-40bc-bcd6-983774da7c1c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2CD755E1-5B3D-4FE5-9E08-903C875CAED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5cb79d-c821-4d3d-aab2-5ef15e9cc85e"/>
    <ds:schemaRef ds:uri="71b44b8b-5734-40bc-bcd6-983774da7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1A1564B-688E-4894-8114-CDB68717355A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513C454C-4C7D-49C1-91BE-0101270A03B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FORM IN Leanline 7</vt:lpstr>
      <vt:lpstr>Sheet1</vt:lpstr>
      <vt:lpstr>SETUP DAO</vt:lpstr>
      <vt:lpstr>CHECK DAO</vt:lpstr>
      <vt:lpstr>PPC</vt:lpstr>
      <vt:lpstr>'FORM IN Leanline 7'!Print_Area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Vo Minh Quan</dc:creator>
  <cp:keywords/>
  <dc:description/>
  <cp:lastModifiedBy>Long Nguyen - Maintenance</cp:lastModifiedBy>
  <cp:revision/>
  <cp:lastPrinted>2026-03-09T23:51:09Z</cp:lastPrinted>
  <dcterms:created xsi:type="dcterms:W3CDTF">2015-06-05T18:17:20Z</dcterms:created>
  <dcterms:modified xsi:type="dcterms:W3CDTF">2026-03-11T02:25:00Z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0x010100ABA881C598A1DC4096D4B66B961FB704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